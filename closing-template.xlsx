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hyobi\Desktop\"/>
    </mc:Choice>
  </mc:AlternateContent>
  <xr:revisionPtr revIDLastSave="0" documentId="8_{2EEA794F-F061-4F74-AFF9-615D38844924}" xr6:coauthVersionLast="47" xr6:coauthVersionMax="47" xr10:uidLastSave="{00000000-0000-0000-0000-000000000000}"/>
  <bookViews>
    <workbookView xWindow="0" yWindow="0" windowWidth="28800" windowHeight="12180" tabRatio="909" firstSheet="13" activeTab="13" xr2:uid="{00000000-000D-0000-FFFF-FFFF00000000}"/>
  </bookViews>
  <sheets>
    <sheet name="물류비 청구서" sheetId="12" r:id="rId1"/>
    <sheet name="물류비 내역서" sheetId="56" r:id="rId2"/>
    <sheet name="일반" sheetId="80" r:id="rId3"/>
    <sheet name="홈쇼핑" sheetId="117" r:id="rId4"/>
    <sheet name="쿠팡택배" sheetId="109" r:id="rId5"/>
    <sheet name="도착보장" sheetId="105" r:id="rId6"/>
    <sheet name="보관료_주력품목 제외" sheetId="114" r:id="rId7"/>
    <sheet name="보관료_주력품목만" sheetId="113" r:id="rId8"/>
    <sheet name="보관료_합계" sheetId="112" r:id="rId9"/>
    <sheet name="제주도서" sheetId="82" r:id="rId10"/>
    <sheet name="반품" sheetId="84" r:id="rId11"/>
    <sheet name="차량출고" sheetId="99" r:id="rId12"/>
    <sheet name="폐기" sheetId="110" r:id="rId13"/>
    <sheet name="클레임" sheetId="100" r:id="rId14"/>
    <sheet name="재고실사" sheetId="111" r:id="rId15"/>
    <sheet name="견적서" sheetId="57" r:id="rId16"/>
  </sheets>
  <externalReferences>
    <externalReference r:id="rId17"/>
  </externalReferences>
  <definedNames>
    <definedName name="_xlnm._FilterDatabase" localSheetId="1" hidden="1">'물류비 내역서'!#REF!</definedName>
    <definedName name="_xlnm._FilterDatabase" localSheetId="0" hidden="1">'물류비 청구서'!$B$1:$AC$3</definedName>
    <definedName name="_xlnm._FilterDatabase" localSheetId="10" hidden="1">반품!$A$1:$G$1</definedName>
    <definedName name="_xlnm._FilterDatabase" localSheetId="14" hidden="1">재고실사!$A$7:$M$7</definedName>
    <definedName name="_xlnm._FilterDatabase" localSheetId="9" hidden="1">제주도서!$A$1:$H$249</definedName>
    <definedName name="_xlnm._FilterDatabase" localSheetId="13" hidden="1">클레임!$A$1:$S$365</definedName>
    <definedName name="_xlnm.Print_Area" localSheetId="0">'물류비 청구서'!$B:$AC</definedName>
    <definedName name="w">#REF!</definedName>
    <definedName name="과일양" localSheetId="5">#REF!</definedName>
    <definedName name="과일양" localSheetId="8">#REF!</definedName>
    <definedName name="과일양" localSheetId="4">#REF!</definedName>
    <definedName name="과일양" localSheetId="3">#REF!</definedName>
    <definedName name="과일양">#REF!</definedName>
    <definedName name="요약" localSheetId="15">'[1]물류비 내역서'!$B$4:$G$121</definedName>
    <definedName name="요약" localSheetId="3">#REF!</definedName>
    <definedName name="요약">'물류비 내역서'!$B$4:$G$145</definedName>
    <definedName name="월생산일수" localSheetId="5">#REF!</definedName>
    <definedName name="월생산일수" localSheetId="8">#REF!</definedName>
    <definedName name="월생산일수" localSheetId="4">#REF!</definedName>
    <definedName name="월생산일수" localSheetId="3">#REF!</definedName>
    <definedName name="월생산일수">#REF!</definedName>
    <definedName name="입고예정서" localSheetId="5">#REF!</definedName>
    <definedName name="입고예정서" localSheetId="8">#REF!</definedName>
    <definedName name="입고예정서" localSheetId="4">#REF!</definedName>
    <definedName name="입고예정서" localSheetId="3">#REF!</definedName>
    <definedName name="입고예정서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6" i="100" l="1"/>
  <c r="S58" i="100"/>
  <c r="S54" i="100"/>
  <c r="S52" i="100"/>
  <c r="S347" i="100"/>
  <c r="S336" i="100"/>
  <c r="S320" i="100"/>
  <c r="S302" i="100"/>
  <c r="S226" i="100"/>
  <c r="S206" i="100"/>
  <c r="S212" i="100"/>
  <c r="S193" i="100"/>
  <c r="S179" i="100"/>
  <c r="S168" i="100"/>
  <c r="S94" i="100"/>
  <c r="S90" i="100"/>
  <c r="S81" i="100"/>
  <c r="AM21" i="80"/>
  <c r="AL21" i="80"/>
  <c r="AN21" i="80"/>
  <c r="BI20" i="80"/>
  <c r="S287" i="100"/>
  <c r="S288" i="100"/>
  <c r="S289" i="100"/>
  <c r="S290" i="100"/>
  <c r="S291" i="100"/>
  <c r="S292" i="100"/>
  <c r="S293" i="100"/>
  <c r="S295" i="100"/>
  <c r="S297" i="100"/>
  <c r="S299" i="100"/>
  <c r="S301" i="100"/>
  <c r="S304" i="100"/>
  <c r="S305" i="100"/>
  <c r="S306" i="100"/>
  <c r="S307" i="100"/>
  <c r="S309" i="100"/>
  <c r="S310" i="100"/>
  <c r="S311" i="100"/>
  <c r="S323" i="100"/>
  <c r="S325" i="100"/>
  <c r="S327" i="100"/>
  <c r="S328" i="100"/>
  <c r="S329" i="100"/>
  <c r="S330" i="100"/>
  <c r="S331" i="100"/>
  <c r="S332" i="100"/>
  <c r="S333" i="100"/>
  <c r="S334" i="100"/>
  <c r="S338" i="100"/>
  <c r="S339" i="100"/>
  <c r="S340" i="100"/>
  <c r="S341" i="100"/>
  <c r="S342" i="100"/>
  <c r="S343" i="100"/>
  <c r="S344" i="100"/>
  <c r="S345" i="100"/>
  <c r="S346" i="100"/>
  <c r="S351" i="100"/>
  <c r="S352" i="100"/>
  <c r="S354" i="100"/>
  <c r="S355" i="100"/>
  <c r="S275" i="100"/>
  <c r="S276" i="100"/>
  <c r="S277" i="100"/>
  <c r="S278" i="100"/>
  <c r="S279" i="100"/>
  <c r="S280" i="100"/>
  <c r="S281" i="100"/>
  <c r="S282" i="100"/>
  <c r="S285" i="100"/>
  <c r="S286" i="100"/>
  <c r="S255" i="100"/>
  <c r="S256" i="100"/>
  <c r="S257" i="100"/>
  <c r="S258" i="100"/>
  <c r="S259" i="100"/>
  <c r="S260" i="100"/>
  <c r="S261" i="100"/>
  <c r="S262" i="100"/>
  <c r="S263" i="100"/>
  <c r="S264" i="100"/>
  <c r="S265" i="100"/>
  <c r="S267" i="100"/>
  <c r="S268" i="100"/>
  <c r="S269" i="100"/>
  <c r="S270" i="100"/>
  <c r="S271" i="100"/>
  <c r="S272" i="100"/>
  <c r="S273" i="100"/>
  <c r="S233" i="100"/>
  <c r="S234" i="100"/>
  <c r="S235" i="100"/>
  <c r="S239" i="100"/>
  <c r="S240" i="100"/>
  <c r="S241" i="100"/>
  <c r="S242" i="100"/>
  <c r="S248" i="100"/>
  <c r="S249" i="100"/>
  <c r="S250" i="100"/>
  <c r="S252" i="100"/>
  <c r="S253" i="100"/>
  <c r="S254" i="100"/>
  <c r="S214" i="100"/>
  <c r="S215" i="100"/>
  <c r="S216" i="100"/>
  <c r="S217" i="100"/>
  <c r="S219" i="100"/>
  <c r="S221" i="100"/>
  <c r="S222" i="100"/>
  <c r="S223" i="100"/>
  <c r="S224" i="100"/>
  <c r="S225" i="100"/>
  <c r="S231" i="100"/>
  <c r="S232" i="100"/>
  <c r="S147" i="100"/>
  <c r="S148" i="100"/>
  <c r="S149" i="100"/>
  <c r="S155" i="100"/>
  <c r="S156" i="100"/>
  <c r="S157" i="100"/>
  <c r="S158" i="100"/>
  <c r="S159" i="100"/>
  <c r="S160" i="100"/>
  <c r="S161" i="100"/>
  <c r="S162" i="100"/>
  <c r="S163" i="100"/>
  <c r="S164" i="100"/>
  <c r="S165" i="100"/>
  <c r="S166" i="100"/>
  <c r="S167" i="100"/>
  <c r="S174" i="100"/>
  <c r="S175" i="100"/>
  <c r="S176" i="100"/>
  <c r="S177" i="100"/>
  <c r="S178" i="100"/>
  <c r="S182" i="100"/>
  <c r="S183" i="100"/>
  <c r="S184" i="100"/>
  <c r="S185" i="100"/>
  <c r="S186" i="100"/>
  <c r="S187" i="100"/>
  <c r="S188" i="100"/>
  <c r="A332" i="100"/>
  <c r="A333" i="100"/>
  <c r="A334" i="100"/>
  <c r="A335" i="100"/>
  <c r="A336" i="100"/>
  <c r="A337" i="100"/>
  <c r="A338" i="100"/>
  <c r="A339" i="100"/>
  <c r="A340" i="100"/>
  <c r="A341" i="100"/>
  <c r="A342" i="100"/>
  <c r="A343" i="100"/>
  <c r="A344" i="100"/>
  <c r="A345" i="100"/>
  <c r="A346" i="100"/>
  <c r="A347" i="100"/>
  <c r="A348" i="100"/>
  <c r="A349" i="100"/>
  <c r="A350" i="100"/>
  <c r="A351" i="100"/>
  <c r="A352" i="100"/>
  <c r="AA8" i="99"/>
  <c r="AA7" i="99"/>
  <c r="AA4" i="99"/>
  <c r="AA2" i="99"/>
  <c r="AA3" i="99"/>
  <c r="AA5" i="99"/>
  <c r="AA6" i="99"/>
  <c r="G21" i="112"/>
  <c r="G22" i="112"/>
  <c r="G23" i="112"/>
  <c r="G24" i="112"/>
  <c r="G25" i="112"/>
  <c r="G26" i="112"/>
  <c r="G27" i="112"/>
  <c r="G28" i="112"/>
  <c r="G29" i="112"/>
  <c r="G30" i="112"/>
  <c r="G31" i="112"/>
  <c r="G32" i="112"/>
  <c r="G33" i="112"/>
  <c r="G34" i="112"/>
  <c r="G35" i="112"/>
  <c r="G36" i="112"/>
  <c r="G7" i="113"/>
  <c r="AN30" i="80"/>
  <c r="AM30" i="80"/>
  <c r="AL30" i="80"/>
  <c r="AN15" i="80"/>
  <c r="AN16" i="80"/>
  <c r="AL16" i="80"/>
  <c r="AL15" i="80"/>
  <c r="AL5" i="80"/>
  <c r="AM5" i="80"/>
  <c r="AN5" i="80"/>
  <c r="AL6" i="80"/>
  <c r="AM6" i="80"/>
  <c r="AN6" i="80"/>
  <c r="AL7" i="80"/>
  <c r="AM7" i="80"/>
  <c r="AN7" i="80"/>
  <c r="AL8" i="80"/>
  <c r="AM8" i="80"/>
  <c r="AN8" i="80"/>
  <c r="AL9" i="80"/>
  <c r="AM9" i="80"/>
  <c r="AN9" i="80"/>
  <c r="AL10" i="80"/>
  <c r="AM10" i="80"/>
  <c r="AN10" i="80"/>
  <c r="AL11" i="80"/>
  <c r="AM11" i="80"/>
  <c r="AN11" i="80"/>
  <c r="AL12" i="80"/>
  <c r="AM12" i="80"/>
  <c r="AN12" i="80"/>
  <c r="AL13" i="80"/>
  <c r="AM13" i="80"/>
  <c r="AN13" i="80"/>
  <c r="AL14" i="80"/>
  <c r="AM14" i="80"/>
  <c r="AN14" i="80"/>
  <c r="AM15" i="80"/>
  <c r="AM16" i="80"/>
  <c r="AL17" i="80"/>
  <c r="AM17" i="80"/>
  <c r="AN17" i="80"/>
  <c r="AL18" i="80"/>
  <c r="AM18" i="80"/>
  <c r="AN18" i="80"/>
  <c r="AL19" i="80"/>
  <c r="AM19" i="80"/>
  <c r="AN19" i="80"/>
  <c r="AL20" i="80"/>
  <c r="AM20" i="80"/>
  <c r="AN20" i="80"/>
  <c r="AL22" i="80"/>
  <c r="AM22" i="80"/>
  <c r="AN22" i="80"/>
  <c r="AL23" i="80"/>
  <c r="AM23" i="80"/>
  <c r="AN23" i="80"/>
  <c r="AL24" i="80"/>
  <c r="AM24" i="80"/>
  <c r="AN24" i="80"/>
  <c r="AL25" i="80"/>
  <c r="AM25" i="80"/>
  <c r="AN25" i="80"/>
  <c r="AL26" i="80"/>
  <c r="AM26" i="80"/>
  <c r="AN26" i="80"/>
  <c r="AL27" i="80"/>
  <c r="AM27" i="80"/>
  <c r="AN27" i="80"/>
  <c r="AL28" i="80"/>
  <c r="AM28" i="80"/>
  <c r="AN28" i="80"/>
  <c r="AL29" i="80"/>
  <c r="AM29" i="80"/>
  <c r="AN29" i="80"/>
  <c r="AL31" i="80"/>
  <c r="AM31" i="80"/>
  <c r="AN31" i="80"/>
  <c r="AL32" i="80"/>
  <c r="AM32" i="80"/>
  <c r="AN32" i="80"/>
  <c r="AL33" i="80"/>
  <c r="AM33" i="80"/>
  <c r="AN33" i="80"/>
  <c r="AL34" i="80"/>
  <c r="AM34" i="80"/>
  <c r="AN34" i="80"/>
  <c r="AL35" i="80"/>
  <c r="AM35" i="80"/>
  <c r="AN35" i="80"/>
  <c r="A9" i="84"/>
  <c r="A10" i="84"/>
  <c r="A11" i="84"/>
  <c r="A12" i="84"/>
  <c r="A13" i="84"/>
  <c r="A14" i="84"/>
  <c r="A15" i="84"/>
  <c r="A16" i="84"/>
  <c r="A17" i="84"/>
  <c r="A18" i="84"/>
  <c r="A19" i="84"/>
  <c r="A20" i="84"/>
  <c r="A21" i="84"/>
  <c r="A22" i="84"/>
  <c r="A23" i="84"/>
  <c r="Z8" i="99"/>
  <c r="Z7" i="99"/>
  <c r="Z4" i="99"/>
  <c r="E8" i="99"/>
  <c r="E7" i="99"/>
  <c r="H254" i="111"/>
  <c r="H255" i="111"/>
  <c r="B282" i="111"/>
  <c r="B283" i="111"/>
  <c r="B284" i="111"/>
  <c r="B285" i="111"/>
  <c r="B286" i="111"/>
  <c r="B287" i="111"/>
  <c r="B288" i="111"/>
  <c r="B289" i="111"/>
  <c r="B290" i="111"/>
  <c r="B291" i="111"/>
  <c r="B292" i="111"/>
  <c r="B293" i="111"/>
  <c r="B294" i="111"/>
  <c r="B295" i="111"/>
  <c r="B296" i="111"/>
  <c r="B297" i="111"/>
  <c r="B298" i="111"/>
  <c r="B299" i="111"/>
  <c r="B300" i="111"/>
  <c r="L7" i="109"/>
  <c r="N7" i="109"/>
  <c r="AV34" i="117"/>
  <c r="AV33" i="117"/>
  <c r="AV32" i="117"/>
  <c r="AV31" i="117"/>
  <c r="AV30" i="117"/>
  <c r="AV29" i="117"/>
  <c r="AV28" i="117"/>
  <c r="AV27" i="117"/>
  <c r="AV26" i="117"/>
  <c r="AV25" i="117"/>
  <c r="AV24" i="117"/>
  <c r="AV23" i="117"/>
  <c r="AV22" i="117"/>
  <c r="AV21" i="117"/>
  <c r="AV20" i="117"/>
  <c r="AV19" i="117"/>
  <c r="AV18" i="117"/>
  <c r="AV17" i="117"/>
  <c r="AV16" i="117"/>
  <c r="AT34" i="117"/>
  <c r="AT33" i="117"/>
  <c r="AT32" i="117"/>
  <c r="AT31" i="117"/>
  <c r="AT30" i="117"/>
  <c r="AT29" i="117"/>
  <c r="AT28" i="117"/>
  <c r="AT27" i="117"/>
  <c r="AT26" i="117"/>
  <c r="AT25" i="117"/>
  <c r="AT24" i="117"/>
  <c r="AT23" i="117"/>
  <c r="AT22" i="117"/>
  <c r="AT21" i="117"/>
  <c r="AT20" i="117"/>
  <c r="AT19" i="117"/>
  <c r="AT18" i="117"/>
  <c r="AT17" i="117"/>
  <c r="AT16" i="117"/>
  <c r="AV15" i="117"/>
  <c r="AT15" i="117"/>
  <c r="AN35" i="105"/>
  <c r="AN34" i="105"/>
  <c r="AN33" i="105"/>
  <c r="AN32" i="105"/>
  <c r="AN31" i="105"/>
  <c r="AN30" i="105"/>
  <c r="AN29" i="105"/>
  <c r="AN28" i="105"/>
  <c r="AN27" i="105"/>
  <c r="AN26" i="105"/>
  <c r="AN25" i="105"/>
  <c r="AN24" i="105"/>
  <c r="AN23" i="105"/>
  <c r="AN22" i="105"/>
  <c r="AN21" i="105"/>
  <c r="AN20" i="105"/>
  <c r="AN19" i="105"/>
  <c r="AN18" i="105"/>
  <c r="AN17" i="105"/>
  <c r="AL35" i="105"/>
  <c r="AL34" i="105"/>
  <c r="AL33" i="105"/>
  <c r="AL32" i="105"/>
  <c r="AL31" i="105"/>
  <c r="AL30" i="105"/>
  <c r="AL29" i="105"/>
  <c r="AL28" i="105"/>
  <c r="AL27" i="105"/>
  <c r="AL26" i="105"/>
  <c r="AL25" i="105"/>
  <c r="AL24" i="105"/>
  <c r="AL23" i="105"/>
  <c r="AL22" i="105"/>
  <c r="AL21" i="105"/>
  <c r="AL20" i="105"/>
  <c r="AL19" i="105"/>
  <c r="AL18" i="105"/>
  <c r="AL17" i="105"/>
  <c r="AN16" i="105"/>
  <c r="AL16" i="105"/>
  <c r="AV5" i="117"/>
  <c r="AV6" i="117"/>
  <c r="AV7" i="117"/>
  <c r="AV8" i="117"/>
  <c r="AV9" i="117"/>
  <c r="AV10" i="117"/>
  <c r="AV11" i="117"/>
  <c r="AV12" i="117"/>
  <c r="AV13" i="117"/>
  <c r="AV14" i="117"/>
  <c r="K79" i="12"/>
  <c r="F52" i="56"/>
  <c r="E52" i="56"/>
  <c r="G52" i="56"/>
  <c r="O79" i="12"/>
  <c r="BB33" i="117"/>
  <c r="BB34" i="117"/>
  <c r="BB19" i="117"/>
  <c r="BB20" i="117"/>
  <c r="BB21" i="117"/>
  <c r="BB22" i="117"/>
  <c r="BB23" i="117"/>
  <c r="BB24" i="117"/>
  <c r="BB25" i="117"/>
  <c r="BB26" i="117"/>
  <c r="BB27" i="117"/>
  <c r="BB28" i="117"/>
  <c r="BB29" i="117"/>
  <c r="BB30" i="117"/>
  <c r="BB31" i="117"/>
  <c r="BB32" i="117"/>
  <c r="BB5" i="117"/>
  <c r="BB6" i="117"/>
  <c r="BB7" i="117"/>
  <c r="BB8" i="117"/>
  <c r="BB9" i="117"/>
  <c r="BB10" i="117"/>
  <c r="BB11" i="117"/>
  <c r="BB12" i="117"/>
  <c r="BB13" i="117"/>
  <c r="BB14" i="117"/>
  <c r="BB15" i="117"/>
  <c r="BB16" i="117"/>
  <c r="BB17" i="117"/>
  <c r="BB18" i="117"/>
  <c r="BB4" i="117"/>
  <c r="AL6" i="105"/>
  <c r="AL7" i="105"/>
  <c r="AL8" i="105"/>
  <c r="AL9" i="105"/>
  <c r="AL10" i="105"/>
  <c r="AL11" i="105"/>
  <c r="AL12" i="105"/>
  <c r="AL13" i="105"/>
  <c r="AL14" i="105"/>
  <c r="AL15" i="105"/>
  <c r="AM6" i="105"/>
  <c r="AM7" i="105"/>
  <c r="AM8" i="105"/>
  <c r="AM9" i="105"/>
  <c r="AM10" i="105"/>
  <c r="AM11" i="105"/>
  <c r="AM12" i="105"/>
  <c r="AM13" i="105"/>
  <c r="AM14" i="105"/>
  <c r="AM15" i="105"/>
  <c r="AM16" i="105"/>
  <c r="AM17" i="105"/>
  <c r="AM18" i="105"/>
  <c r="AM19" i="105"/>
  <c r="AM20" i="105"/>
  <c r="AM21" i="105"/>
  <c r="AM22" i="105"/>
  <c r="AM23" i="105"/>
  <c r="AM24" i="105"/>
  <c r="AM25" i="105"/>
  <c r="AM26" i="105"/>
  <c r="AM27" i="105"/>
  <c r="AM28" i="105"/>
  <c r="AM29" i="105"/>
  <c r="AM30" i="105"/>
  <c r="AM31" i="105"/>
  <c r="AM32" i="105"/>
  <c r="AM33" i="105"/>
  <c r="AM34" i="105"/>
  <c r="AM35" i="105"/>
  <c r="AN6" i="105"/>
  <c r="AN7" i="105"/>
  <c r="AN8" i="105"/>
  <c r="AN9" i="105"/>
  <c r="AN10" i="105"/>
  <c r="AN11" i="105"/>
  <c r="AN12" i="105"/>
  <c r="AN13" i="105"/>
  <c r="AN14" i="105"/>
  <c r="AN15" i="105"/>
  <c r="AN5" i="105"/>
  <c r="AL5" i="105"/>
  <c r="AU5" i="117"/>
  <c r="AU6" i="117"/>
  <c r="AU7" i="117"/>
  <c r="AU8" i="117"/>
  <c r="AU9" i="117"/>
  <c r="AU10" i="117"/>
  <c r="AU11" i="117"/>
  <c r="AU12" i="117"/>
  <c r="AU13" i="117"/>
  <c r="AU14" i="117"/>
  <c r="AU15" i="117"/>
  <c r="AU16" i="117"/>
  <c r="AU17" i="117"/>
  <c r="AU18" i="117"/>
  <c r="AU19" i="117"/>
  <c r="AU20" i="117"/>
  <c r="AU21" i="117"/>
  <c r="AU22" i="117"/>
  <c r="AU23" i="117"/>
  <c r="AU24" i="117"/>
  <c r="AU25" i="117"/>
  <c r="AU26" i="117"/>
  <c r="AU27" i="117"/>
  <c r="AU28" i="117"/>
  <c r="AU29" i="117"/>
  <c r="AU30" i="117"/>
  <c r="AU31" i="117"/>
  <c r="AU32" i="117"/>
  <c r="AU33" i="117"/>
  <c r="AU34" i="117"/>
  <c r="AU4" i="117"/>
  <c r="AV4" i="117"/>
  <c r="AT4" i="117"/>
  <c r="AR36" i="80"/>
  <c r="S26" i="56"/>
  <c r="C26" i="56"/>
  <c r="H40" i="12"/>
  <c r="E26" i="56"/>
  <c r="O40" i="12"/>
  <c r="AS29" i="80"/>
  <c r="AS19" i="80"/>
  <c r="K307" i="111"/>
  <c r="J307" i="111"/>
  <c r="F11" i="113"/>
  <c r="D37" i="113"/>
  <c r="C37" i="113"/>
  <c r="K11" i="114"/>
  <c r="S356" i="100"/>
  <c r="S200" i="100"/>
  <c r="S208" i="100"/>
  <c r="S209" i="100"/>
  <c r="S210" i="100"/>
  <c r="S211" i="100"/>
  <c r="S130" i="100"/>
  <c r="S131" i="100"/>
  <c r="S132" i="100"/>
  <c r="S133" i="100"/>
  <c r="S134" i="100"/>
  <c r="S135" i="100"/>
  <c r="S136" i="100"/>
  <c r="S137" i="100"/>
  <c r="S138" i="100"/>
  <c r="S139" i="100"/>
  <c r="S140" i="100"/>
  <c r="S189" i="100"/>
  <c r="S190" i="100"/>
  <c r="S191" i="100"/>
  <c r="S192" i="100"/>
  <c r="S196" i="100"/>
  <c r="S197" i="100"/>
  <c r="S31" i="100"/>
  <c r="S32" i="100"/>
  <c r="S33" i="100"/>
  <c r="S34" i="100"/>
  <c r="S35" i="100"/>
  <c r="S36" i="100"/>
  <c r="S37" i="100"/>
  <c r="S38" i="100"/>
  <c r="S39" i="100"/>
  <c r="S8" i="100"/>
  <c r="S9" i="100"/>
  <c r="S10" i="100"/>
  <c r="S11" i="100"/>
  <c r="S12" i="100"/>
  <c r="S13" i="100"/>
  <c r="S14" i="100"/>
  <c r="S15" i="100"/>
  <c r="S17" i="100"/>
  <c r="S18" i="100"/>
  <c r="S19" i="100"/>
  <c r="S20" i="100"/>
  <c r="S21" i="100"/>
  <c r="S22" i="100"/>
  <c r="S23" i="100"/>
  <c r="S24" i="100"/>
  <c r="S25" i="100"/>
  <c r="S26" i="100"/>
  <c r="S27" i="100"/>
  <c r="S28" i="100"/>
  <c r="S29" i="100"/>
  <c r="S30" i="100"/>
  <c r="L8" i="111"/>
  <c r="Z2" i="99"/>
  <c r="Z6" i="99"/>
  <c r="AJ19" i="80"/>
  <c r="BB35" i="117"/>
  <c r="V35" i="117"/>
  <c r="W35" i="117"/>
  <c r="X35" i="117"/>
  <c r="H281" i="111"/>
  <c r="H298" i="111"/>
  <c r="H299" i="111"/>
  <c r="H300" i="111"/>
  <c r="H301" i="111"/>
  <c r="H302" i="111"/>
  <c r="H303" i="111"/>
  <c r="H304" i="111"/>
  <c r="H305" i="111"/>
  <c r="BC28" i="117"/>
  <c r="BC29" i="117"/>
  <c r="BC30" i="117"/>
  <c r="BC31" i="117"/>
  <c r="BC32" i="117"/>
  <c r="BC33" i="117"/>
  <c r="BC34" i="117"/>
  <c r="BC17" i="117"/>
  <c r="BC18" i="117"/>
  <c r="BC19" i="117"/>
  <c r="BC20" i="117"/>
  <c r="BC21" i="117"/>
  <c r="BC22" i="117"/>
  <c r="BC23" i="117"/>
  <c r="BC24" i="117"/>
  <c r="BC25" i="117"/>
  <c r="BC26" i="117"/>
  <c r="BC27" i="117"/>
  <c r="BC5" i="117"/>
  <c r="BC6" i="117"/>
  <c r="BC7" i="117"/>
  <c r="BC8" i="117"/>
  <c r="BC9" i="117"/>
  <c r="BC10" i="117"/>
  <c r="BC11" i="117"/>
  <c r="BC12" i="117"/>
  <c r="BC13" i="117"/>
  <c r="BC14" i="117"/>
  <c r="BC15" i="117"/>
  <c r="BC16" i="117"/>
  <c r="BC4" i="117"/>
  <c r="BA25" i="117"/>
  <c r="BA26" i="117"/>
  <c r="BA27" i="117"/>
  <c r="BA28" i="117"/>
  <c r="BA29" i="117"/>
  <c r="BA30" i="117"/>
  <c r="BA31" i="117"/>
  <c r="BA32" i="117"/>
  <c r="BA33" i="117"/>
  <c r="BA34" i="117"/>
  <c r="BA13" i="117"/>
  <c r="BA14" i="117"/>
  <c r="BA15" i="117"/>
  <c r="BA16" i="117"/>
  <c r="BA17" i="117"/>
  <c r="BA18" i="117"/>
  <c r="BA19" i="117"/>
  <c r="BA20" i="117"/>
  <c r="BA21" i="117"/>
  <c r="BA22" i="117"/>
  <c r="BA23" i="117"/>
  <c r="BA24" i="117"/>
  <c r="BA5" i="117"/>
  <c r="BA6" i="117"/>
  <c r="BA7" i="117"/>
  <c r="BA8" i="117"/>
  <c r="BA9" i="117"/>
  <c r="BA10" i="117"/>
  <c r="BA11" i="117"/>
  <c r="BA12" i="117"/>
  <c r="BA4" i="117"/>
  <c r="BA35" i="117" s="1"/>
  <c r="G8" i="112"/>
  <c r="G9" i="112"/>
  <c r="G10" i="112"/>
  <c r="G11" i="112"/>
  <c r="G12" i="112"/>
  <c r="G13" i="112"/>
  <c r="G14" i="112"/>
  <c r="G15" i="112"/>
  <c r="G16" i="112"/>
  <c r="G17" i="112"/>
  <c r="G18" i="112"/>
  <c r="G19" i="112"/>
  <c r="G20" i="112"/>
  <c r="K11" i="112" s="1"/>
  <c r="G7" i="112"/>
  <c r="G6" i="112"/>
  <c r="M6" i="114"/>
  <c r="K17" i="12"/>
  <c r="K16" i="12"/>
  <c r="L7" i="112"/>
  <c r="L6" i="112"/>
  <c r="J7" i="112"/>
  <c r="J6" i="112"/>
  <c r="M7" i="114"/>
  <c r="J8" i="114"/>
  <c r="T79" i="12" l="1"/>
  <c r="Y79" i="12" s="1"/>
  <c r="T26" i="56"/>
  <c r="U26" i="56" s="1"/>
  <c r="T40" i="12"/>
  <c r="Y40" i="12" s="1"/>
  <c r="F26" i="56"/>
  <c r="G26" i="56" s="1"/>
  <c r="J8" i="112"/>
  <c r="I18" i="56" l="1"/>
  <c r="AW35" i="117"/>
  <c r="J18" i="56" s="1"/>
  <c r="I22" i="56"/>
  <c r="I21" i="56"/>
  <c r="I20" i="56"/>
  <c r="BD35" i="117"/>
  <c r="BE35" i="117"/>
  <c r="I17" i="56"/>
  <c r="I16" i="56"/>
  <c r="I15" i="56"/>
  <c r="T4" i="117"/>
  <c r="Y4" i="117"/>
  <c r="AR4" i="117"/>
  <c r="A5" i="117"/>
  <c r="A6" i="117" s="1"/>
  <c r="A7" i="117" s="1"/>
  <c r="A8" i="117" s="1"/>
  <c r="A9" i="117" s="1"/>
  <c r="A10" i="117" s="1"/>
  <c r="A11" i="117" s="1"/>
  <c r="A12" i="117" s="1"/>
  <c r="A13" i="117" s="1"/>
  <c r="A14" i="117" s="1"/>
  <c r="A15" i="117" s="1"/>
  <c r="A16" i="117" s="1"/>
  <c r="A17" i="117" s="1"/>
  <c r="A18" i="117" s="1"/>
  <c r="A19" i="117" s="1"/>
  <c r="A20" i="117" s="1"/>
  <c r="A21" i="117" s="1"/>
  <c r="A22" i="117" s="1"/>
  <c r="A23" i="117" s="1"/>
  <c r="A24" i="117" s="1"/>
  <c r="A25" i="117" s="1"/>
  <c r="A26" i="117" s="1"/>
  <c r="A27" i="117" s="1"/>
  <c r="A28" i="117" s="1"/>
  <c r="A29" i="117" s="1"/>
  <c r="A30" i="117" s="1"/>
  <c r="A31" i="117" s="1"/>
  <c r="A32" i="117" s="1"/>
  <c r="A33" i="117" s="1"/>
  <c r="A34" i="117" s="1"/>
  <c r="T5" i="117"/>
  <c r="Y5" i="117"/>
  <c r="AR5" i="117"/>
  <c r="AT5" i="117"/>
  <c r="T6" i="117"/>
  <c r="Y6" i="117"/>
  <c r="AR6" i="117"/>
  <c r="AT6" i="117"/>
  <c r="T7" i="117"/>
  <c r="Y7" i="117"/>
  <c r="AR7" i="117"/>
  <c r="AT7" i="117"/>
  <c r="T8" i="117"/>
  <c r="Y8" i="117"/>
  <c r="AR8" i="117"/>
  <c r="AT8" i="117"/>
  <c r="T9" i="117"/>
  <c r="Y9" i="117"/>
  <c r="AR9" i="117"/>
  <c r="AT9" i="117"/>
  <c r="T10" i="117"/>
  <c r="Y10" i="117"/>
  <c r="AR10" i="117"/>
  <c r="AT10" i="117"/>
  <c r="T11" i="117"/>
  <c r="Y11" i="117"/>
  <c r="AR11" i="117"/>
  <c r="AT11" i="117"/>
  <c r="T12" i="117"/>
  <c r="Y12" i="117"/>
  <c r="AR12" i="117"/>
  <c r="AT12" i="117"/>
  <c r="T13" i="117"/>
  <c r="Y13" i="117"/>
  <c r="AR13" i="117"/>
  <c r="AT13" i="117"/>
  <c r="T14" i="117"/>
  <c r="Y14" i="117"/>
  <c r="AR14" i="117"/>
  <c r="AT14" i="117"/>
  <c r="T15" i="117"/>
  <c r="Y15" i="117"/>
  <c r="AR15" i="117"/>
  <c r="T16" i="117"/>
  <c r="Y16" i="117"/>
  <c r="AR16" i="117"/>
  <c r="T17" i="117"/>
  <c r="Y17" i="117"/>
  <c r="AR17" i="117"/>
  <c r="T18" i="117"/>
  <c r="Y18" i="117"/>
  <c r="AR18" i="117"/>
  <c r="T19" i="117"/>
  <c r="Y19" i="117"/>
  <c r="AR19" i="117"/>
  <c r="T20" i="117"/>
  <c r="Y20" i="117"/>
  <c r="AR20" i="117"/>
  <c r="T21" i="117"/>
  <c r="Y21" i="117"/>
  <c r="AR21" i="117"/>
  <c r="T22" i="117"/>
  <c r="Y22" i="117"/>
  <c r="AR22" i="117"/>
  <c r="T23" i="117"/>
  <c r="Y23" i="117"/>
  <c r="AR23" i="117"/>
  <c r="T24" i="117"/>
  <c r="Y24" i="117"/>
  <c r="AR24" i="117"/>
  <c r="T25" i="117"/>
  <c r="Y25" i="117"/>
  <c r="AR25" i="117"/>
  <c r="T26" i="117"/>
  <c r="Y26" i="117"/>
  <c r="AR26" i="117"/>
  <c r="T27" i="117"/>
  <c r="Y27" i="117"/>
  <c r="AR27" i="117"/>
  <c r="T28" i="117"/>
  <c r="Y28" i="117"/>
  <c r="AR28" i="117"/>
  <c r="T29" i="117"/>
  <c r="Y29" i="117"/>
  <c r="AR29" i="117"/>
  <c r="T30" i="117"/>
  <c r="Y30" i="117"/>
  <c r="AR30" i="117"/>
  <c r="T31" i="117"/>
  <c r="Y31" i="117"/>
  <c r="AR31" i="117"/>
  <c r="T32" i="117"/>
  <c r="Y32" i="117"/>
  <c r="AR32" i="117"/>
  <c r="T33" i="117"/>
  <c r="Y33" i="117"/>
  <c r="AR33" i="117"/>
  <c r="T34" i="117"/>
  <c r="Y34" i="117"/>
  <c r="AR34" i="117"/>
  <c r="B35" i="117"/>
  <c r="C35" i="117"/>
  <c r="D35" i="117"/>
  <c r="E35" i="117"/>
  <c r="F35" i="117"/>
  <c r="G35" i="117"/>
  <c r="H35" i="117"/>
  <c r="I35" i="117"/>
  <c r="J35" i="117"/>
  <c r="K35" i="117"/>
  <c r="L35" i="117"/>
  <c r="M35" i="117"/>
  <c r="N35" i="117"/>
  <c r="O35" i="117"/>
  <c r="P35" i="117"/>
  <c r="Q35" i="117"/>
  <c r="R35" i="117"/>
  <c r="S35" i="117"/>
  <c r="AA35" i="117"/>
  <c r="J5" i="56" s="1"/>
  <c r="AB35" i="117"/>
  <c r="AC35" i="117"/>
  <c r="AD35" i="117"/>
  <c r="AE35" i="117"/>
  <c r="AF35" i="117"/>
  <c r="AG35" i="117"/>
  <c r="AH35" i="117"/>
  <c r="AI35" i="117"/>
  <c r="AJ35" i="117"/>
  <c r="AK35" i="117"/>
  <c r="AL35" i="117"/>
  <c r="AM35" i="117"/>
  <c r="AN35" i="117"/>
  <c r="AO35" i="117"/>
  <c r="AP35" i="117"/>
  <c r="AQ35" i="117"/>
  <c r="AZ35" i="117"/>
  <c r="BF35" i="117"/>
  <c r="AY4" i="117" l="1"/>
  <c r="AY10" i="117"/>
  <c r="AY13" i="117"/>
  <c r="AY22" i="117"/>
  <c r="J11" i="56"/>
  <c r="J12" i="56"/>
  <c r="AY16" i="117"/>
  <c r="J10" i="56"/>
  <c r="AY28" i="117"/>
  <c r="J7" i="56"/>
  <c r="J6" i="56"/>
  <c r="AY25" i="117"/>
  <c r="J9" i="56"/>
  <c r="J8" i="56"/>
  <c r="AY33" i="117"/>
  <c r="AY30" i="117"/>
  <c r="AY12" i="117"/>
  <c r="AY9" i="117"/>
  <c r="AU35" i="117"/>
  <c r="J16" i="56" s="1"/>
  <c r="AY15" i="117"/>
  <c r="AY11" i="117"/>
  <c r="AY20" i="117"/>
  <c r="AY14" i="117"/>
  <c r="AY26" i="117"/>
  <c r="AY7" i="117"/>
  <c r="AY34" i="117"/>
  <c r="AY19" i="117"/>
  <c r="AY18" i="117"/>
  <c r="AY21" i="117"/>
  <c r="AY32" i="117"/>
  <c r="AR35" i="117"/>
  <c r="AY31" i="117"/>
  <c r="AY24" i="117"/>
  <c r="AY27" i="117"/>
  <c r="AY5" i="117"/>
  <c r="AY23" i="117"/>
  <c r="AY8" i="117"/>
  <c r="J21" i="56"/>
  <c r="AV35" i="117"/>
  <c r="J17" i="56" s="1"/>
  <c r="AY17" i="117"/>
  <c r="AY29" i="117"/>
  <c r="AT35" i="117"/>
  <c r="J15" i="56" s="1"/>
  <c r="T35" i="117"/>
  <c r="BC35" i="117"/>
  <c r="J22" i="56" s="1"/>
  <c r="J20" i="56"/>
  <c r="AY6" i="117"/>
  <c r="Y35" i="117"/>
  <c r="AY35" i="117" l="1"/>
  <c r="J19" i="56" s="1"/>
  <c r="S124" i="100"/>
  <c r="S125" i="100"/>
  <c r="S126" i="100"/>
  <c r="S127" i="100"/>
  <c r="S128" i="100"/>
  <c r="G6" i="113"/>
  <c r="H3" i="110"/>
  <c r="I3" i="110" s="1"/>
  <c r="H4" i="110"/>
  <c r="I4" i="110" s="1"/>
  <c r="H5" i="110"/>
  <c r="I5" i="110" s="1"/>
  <c r="H6" i="110"/>
  <c r="I6" i="110" s="1"/>
  <c r="H7" i="110"/>
  <c r="I7" i="110" s="1"/>
  <c r="H8" i="110"/>
  <c r="I8" i="110" s="1"/>
  <c r="H9" i="110"/>
  <c r="I9" i="110" s="1"/>
  <c r="H10" i="110"/>
  <c r="I10" i="110" s="1"/>
  <c r="H11" i="110"/>
  <c r="I11" i="110" s="1"/>
  <c r="H12" i="110"/>
  <c r="I12" i="110" s="1"/>
  <c r="H13" i="110"/>
  <c r="I13" i="110" s="1"/>
  <c r="H14" i="110"/>
  <c r="I14" i="110" s="1"/>
  <c r="H15" i="110"/>
  <c r="I15" i="110" s="1"/>
  <c r="H16" i="110"/>
  <c r="I16" i="110" s="1"/>
  <c r="H17" i="110"/>
  <c r="I17" i="110" s="1"/>
  <c r="H18" i="110"/>
  <c r="I18" i="110" s="1"/>
  <c r="H19" i="110"/>
  <c r="I19" i="110" s="1"/>
  <c r="H20" i="110"/>
  <c r="I20" i="110" s="1"/>
  <c r="H21" i="110"/>
  <c r="I21" i="110" s="1"/>
  <c r="H22" i="110"/>
  <c r="I22" i="110" s="1"/>
  <c r="H23" i="110"/>
  <c r="I23" i="110" s="1"/>
  <c r="H24" i="110"/>
  <c r="I24" i="110" s="1"/>
  <c r="H25" i="110"/>
  <c r="I25" i="110" s="1"/>
  <c r="H26" i="110"/>
  <c r="I26" i="110" s="1"/>
  <c r="H27" i="110"/>
  <c r="I27" i="110" s="1"/>
  <c r="H28" i="110"/>
  <c r="I28" i="110" s="1"/>
  <c r="H29" i="110"/>
  <c r="I29" i="110" s="1"/>
  <c r="H31" i="110"/>
  <c r="I31" i="110" s="1"/>
  <c r="H32" i="110"/>
  <c r="I32" i="110" s="1"/>
  <c r="H33" i="110"/>
  <c r="I33" i="110" s="1"/>
  <c r="H34" i="110"/>
  <c r="I34" i="110" s="1"/>
  <c r="H35" i="110"/>
  <c r="I35" i="110" s="1"/>
  <c r="H36" i="110"/>
  <c r="I36" i="110" s="1"/>
  <c r="H37" i="110"/>
  <c r="I37" i="110" s="1"/>
  <c r="H38" i="110"/>
  <c r="I38" i="110" s="1"/>
  <c r="H39" i="110"/>
  <c r="I39" i="110" s="1"/>
  <c r="H40" i="110"/>
  <c r="I40" i="110" s="1"/>
  <c r="H41" i="110"/>
  <c r="I41" i="110" s="1"/>
  <c r="H42" i="110"/>
  <c r="I42" i="110" s="1"/>
  <c r="H43" i="110"/>
  <c r="I43" i="110" s="1"/>
  <c r="H44" i="110"/>
  <c r="I44" i="110" s="1"/>
  <c r="H45" i="110"/>
  <c r="I45" i="110" s="1"/>
  <c r="H30" i="110"/>
  <c r="I30" i="110" s="1"/>
  <c r="H2" i="110"/>
  <c r="I2" i="110" s="1"/>
  <c r="A3" i="110"/>
  <c r="A4" i="110" s="1"/>
  <c r="A5" i="110" s="1"/>
  <c r="A6" i="110" s="1"/>
  <c r="A7" i="110" s="1"/>
  <c r="A8" i="110" s="1"/>
  <c r="A9" i="110" s="1"/>
  <c r="A10" i="110" s="1"/>
  <c r="A11" i="110" s="1"/>
  <c r="A12" i="110" s="1"/>
  <c r="A13" i="110" s="1"/>
  <c r="A14" i="110" s="1"/>
  <c r="A15" i="110" s="1"/>
  <c r="A16" i="110" s="1"/>
  <c r="A17" i="110" s="1"/>
  <c r="A18" i="110" s="1"/>
  <c r="A19" i="110" s="1"/>
  <c r="A20" i="110" s="1"/>
  <c r="A21" i="110" s="1"/>
  <c r="A22" i="110" s="1"/>
  <c r="A23" i="110" s="1"/>
  <c r="A24" i="110" s="1"/>
  <c r="A25" i="110" s="1"/>
  <c r="A26" i="110" s="1"/>
  <c r="A27" i="110" s="1"/>
  <c r="A28" i="110" s="1"/>
  <c r="A29" i="110" s="1"/>
  <c r="L36" i="105"/>
  <c r="B36" i="105"/>
  <c r="BK33" i="80"/>
  <c r="BK34" i="80"/>
  <c r="BJ33" i="80"/>
  <c r="BJ34" i="80"/>
  <c r="BI33" i="80"/>
  <c r="BI34" i="80"/>
  <c r="BH33" i="80"/>
  <c r="BH34" i="80"/>
  <c r="AJ33" i="80"/>
  <c r="AJ34" i="80"/>
  <c r="AJ35" i="80"/>
  <c r="AJ23" i="80"/>
  <c r="AJ21" i="80"/>
  <c r="AJ6" i="80"/>
  <c r="AJ7" i="80"/>
  <c r="AJ8" i="80"/>
  <c r="AJ9" i="80"/>
  <c r="AJ10" i="80"/>
  <c r="AJ11" i="80"/>
  <c r="AJ12" i="80"/>
  <c r="AJ13" i="80"/>
  <c r="AJ14" i="80"/>
  <c r="AJ15" i="80"/>
  <c r="AJ16" i="80"/>
  <c r="AJ17" i="80"/>
  <c r="AJ18" i="80"/>
  <c r="AJ20" i="80"/>
  <c r="AJ22" i="80"/>
  <c r="AJ24" i="80"/>
  <c r="AJ25" i="80"/>
  <c r="AJ26" i="80"/>
  <c r="AJ27" i="80"/>
  <c r="AJ28" i="80"/>
  <c r="AJ29" i="80"/>
  <c r="AJ30" i="80"/>
  <c r="AJ31" i="80"/>
  <c r="AJ32" i="80"/>
  <c r="AJ5" i="80"/>
  <c r="Z36" i="80"/>
  <c r="V36" i="80"/>
  <c r="W36" i="80"/>
  <c r="X36" i="80"/>
  <c r="Y36" i="80"/>
  <c r="U36" i="80"/>
  <c r="T36" i="80"/>
  <c r="M36" i="80"/>
  <c r="N36" i="80"/>
  <c r="O36" i="80"/>
  <c r="P36" i="80"/>
  <c r="Q36" i="80"/>
  <c r="R36" i="80"/>
  <c r="L36" i="80"/>
  <c r="K36" i="80"/>
  <c r="J36" i="80"/>
  <c r="D36" i="80"/>
  <c r="E36" i="80"/>
  <c r="F36" i="80"/>
  <c r="G36" i="80"/>
  <c r="H36" i="80"/>
  <c r="I36" i="80"/>
  <c r="C36" i="80"/>
  <c r="B36" i="80"/>
  <c r="AR25" i="105"/>
  <c r="AJ25" i="105"/>
  <c r="BC33" i="105"/>
  <c r="BD33" i="105"/>
  <c r="BG33" i="105"/>
  <c r="BH33" i="105"/>
  <c r="BI33" i="105"/>
  <c r="BJ33" i="105"/>
  <c r="BC34" i="105"/>
  <c r="BD34" i="105"/>
  <c r="BG34" i="105"/>
  <c r="BH34" i="105"/>
  <c r="BI34" i="105"/>
  <c r="BJ34" i="105"/>
  <c r="BC35" i="105"/>
  <c r="BD35" i="105"/>
  <c r="BG35" i="105"/>
  <c r="BH35" i="105"/>
  <c r="BI35" i="105"/>
  <c r="BJ35" i="105"/>
  <c r="BB33" i="105"/>
  <c r="BB34" i="105"/>
  <c r="BB35" i="105"/>
  <c r="BA32" i="105"/>
  <c r="BA33" i="105"/>
  <c r="BA34" i="105"/>
  <c r="BA35" i="105"/>
  <c r="AW32" i="105"/>
  <c r="AW33" i="105"/>
  <c r="AW34" i="105"/>
  <c r="AW35" i="105"/>
  <c r="AV33" i="105"/>
  <c r="AV34" i="105"/>
  <c r="AV35" i="105"/>
  <c r="AR27" i="105"/>
  <c r="AR28" i="105"/>
  <c r="AR29" i="105"/>
  <c r="AR30" i="105"/>
  <c r="AR31" i="105"/>
  <c r="AR32" i="105"/>
  <c r="AR33" i="105"/>
  <c r="AR34" i="105"/>
  <c r="AR35" i="105"/>
  <c r="AJ33" i="105"/>
  <c r="AJ34" i="105"/>
  <c r="AJ35" i="105"/>
  <c r="BE33" i="80"/>
  <c r="BE34" i="80"/>
  <c r="BE35" i="80"/>
  <c r="BD33" i="80"/>
  <c r="BD34" i="80"/>
  <c r="BD35" i="80"/>
  <c r="BC33" i="80"/>
  <c r="BC34" i="80"/>
  <c r="BB12" i="80"/>
  <c r="BB13" i="80"/>
  <c r="BB14" i="80"/>
  <c r="BB15" i="80"/>
  <c r="BB16" i="80"/>
  <c r="BB17" i="80"/>
  <c r="BB18" i="80"/>
  <c r="BB19" i="80"/>
  <c r="BB20" i="80"/>
  <c r="BB21" i="80"/>
  <c r="BB22" i="80"/>
  <c r="BB23" i="80"/>
  <c r="BB24" i="80"/>
  <c r="BB25" i="80"/>
  <c r="BB26" i="80"/>
  <c r="BB27" i="80"/>
  <c r="BB28" i="80"/>
  <c r="BB29" i="80"/>
  <c r="BB30" i="80"/>
  <c r="BB31" i="80"/>
  <c r="BB32" i="80"/>
  <c r="BB33" i="80"/>
  <c r="BB34" i="80"/>
  <c r="AX33" i="80"/>
  <c r="AX34" i="80"/>
  <c r="AX35" i="80"/>
  <c r="AX6" i="80"/>
  <c r="AX7" i="80"/>
  <c r="AX8" i="80"/>
  <c r="AX9" i="80"/>
  <c r="AX10" i="80"/>
  <c r="AX11" i="80"/>
  <c r="AX12" i="80"/>
  <c r="AX13" i="80"/>
  <c r="AX14" i="80"/>
  <c r="AX15" i="80"/>
  <c r="AX16" i="80"/>
  <c r="AX17" i="80"/>
  <c r="AX18" i="80"/>
  <c r="AX19" i="80"/>
  <c r="AX20" i="80"/>
  <c r="AX21" i="80"/>
  <c r="AX22" i="80"/>
  <c r="AX23" i="80"/>
  <c r="AX24" i="80"/>
  <c r="AX25" i="80"/>
  <c r="AX26" i="80"/>
  <c r="AX27" i="80"/>
  <c r="AX28" i="80"/>
  <c r="AX29" i="80"/>
  <c r="AX30" i="80"/>
  <c r="AX31" i="80"/>
  <c r="AX32" i="80"/>
  <c r="AW33" i="80"/>
  <c r="AW34" i="80"/>
  <c r="AW35" i="80"/>
  <c r="AW8" i="80"/>
  <c r="AW9" i="80"/>
  <c r="AW10" i="80"/>
  <c r="AW11" i="80"/>
  <c r="AW12" i="80"/>
  <c r="AW13" i="80"/>
  <c r="AW14" i="80"/>
  <c r="AW15" i="80"/>
  <c r="AW16" i="80"/>
  <c r="AW17" i="80"/>
  <c r="AW18" i="80"/>
  <c r="AW19" i="80"/>
  <c r="AW20" i="80"/>
  <c r="AW21" i="80"/>
  <c r="AW22" i="80"/>
  <c r="AW23" i="80"/>
  <c r="AW24" i="80"/>
  <c r="AW25" i="80"/>
  <c r="AW26" i="80"/>
  <c r="AW27" i="80"/>
  <c r="AW28" i="80"/>
  <c r="AW29" i="80"/>
  <c r="AW30" i="80"/>
  <c r="AW31" i="80"/>
  <c r="AW32" i="80"/>
  <c r="AS35" i="80"/>
  <c r="AS34" i="80"/>
  <c r="AS33" i="80"/>
  <c r="AS32" i="80"/>
  <c r="AS31" i="80"/>
  <c r="AS30" i="80"/>
  <c r="AS28" i="80"/>
  <c r="AS27" i="80"/>
  <c r="AS26" i="80"/>
  <c r="AS25" i="80"/>
  <c r="AS24" i="80"/>
  <c r="AS23" i="80"/>
  <c r="AS22" i="80"/>
  <c r="AS21" i="80"/>
  <c r="AS20" i="80"/>
  <c r="AS18" i="80"/>
  <c r="AS17" i="80"/>
  <c r="AS16" i="80"/>
  <c r="AS15" i="80"/>
  <c r="AS14" i="80"/>
  <c r="AS13" i="80"/>
  <c r="AS12" i="80"/>
  <c r="AS11" i="80"/>
  <c r="AS10" i="80"/>
  <c r="AS9" i="80"/>
  <c r="AS8" i="80"/>
  <c r="K7" i="112" l="1"/>
  <c r="M7" i="112" s="1"/>
  <c r="K6" i="112"/>
  <c r="M6" i="112" s="1"/>
  <c r="AU34" i="80"/>
  <c r="AU33" i="80"/>
  <c r="AT35" i="105"/>
  <c r="AT34" i="105"/>
  <c r="AT33" i="105"/>
  <c r="A30" i="110"/>
  <c r="A31" i="110" s="1"/>
  <c r="A32" i="110" s="1"/>
  <c r="A33" i="110" s="1"/>
  <c r="A34" i="110" s="1"/>
  <c r="A35" i="110" s="1"/>
  <c r="A36" i="110" s="1"/>
  <c r="A37" i="110" s="1"/>
  <c r="A38" i="110" s="1"/>
  <c r="A39" i="110" s="1"/>
  <c r="A40" i="110" s="1"/>
  <c r="A41" i="110" s="1"/>
  <c r="A42" i="110" s="1"/>
  <c r="A43" i="110" s="1"/>
  <c r="A44" i="110" s="1"/>
  <c r="A45" i="110" s="1"/>
  <c r="A46" i="110" s="1"/>
  <c r="A47" i="110" s="1"/>
  <c r="A48" i="110" s="1"/>
  <c r="A49" i="110" s="1"/>
  <c r="A50" i="110" s="1"/>
  <c r="A51" i="110" s="1"/>
  <c r="A52" i="110" s="1"/>
  <c r="BH8" i="80"/>
  <c r="Z5" i="99" l="1"/>
  <c r="Z3" i="99"/>
  <c r="S36" i="80" l="1"/>
  <c r="AJ5" i="105"/>
  <c r="AJ6" i="105"/>
  <c r="AJ7" i="105"/>
  <c r="AJ8" i="105"/>
  <c r="AJ9" i="105"/>
  <c r="AJ10" i="105"/>
  <c r="AJ11" i="105"/>
  <c r="AJ12" i="105"/>
  <c r="AJ13" i="105"/>
  <c r="AJ14" i="105"/>
  <c r="AJ15" i="105"/>
  <c r="AJ16" i="105"/>
  <c r="AJ17" i="105"/>
  <c r="AJ18" i="105"/>
  <c r="AJ19" i="105"/>
  <c r="AJ20" i="105"/>
  <c r="AJ21" i="105"/>
  <c r="AJ22" i="105"/>
  <c r="AJ23" i="105"/>
  <c r="AJ24" i="105"/>
  <c r="AJ26" i="105"/>
  <c r="AJ27" i="105"/>
  <c r="AJ28" i="105"/>
  <c r="AJ29" i="105"/>
  <c r="AJ30" i="105"/>
  <c r="AJ31" i="105"/>
  <c r="AJ32" i="105"/>
  <c r="O5" i="109" l="1"/>
  <c r="O6" i="109"/>
  <c r="O7" i="109"/>
  <c r="O8" i="109"/>
  <c r="O9" i="109"/>
  <c r="O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O31" i="109"/>
  <c r="O32" i="109"/>
  <c r="O33" i="109"/>
  <c r="O34" i="109"/>
  <c r="O4" i="109"/>
  <c r="AM5" i="105" l="1"/>
  <c r="R5" i="109" l="1"/>
  <c r="R6" i="109"/>
  <c r="R7" i="109"/>
  <c r="R8" i="109"/>
  <c r="R9" i="109"/>
  <c r="R10" i="109"/>
  <c r="R11" i="109"/>
  <c r="R12" i="109"/>
  <c r="R13" i="109"/>
  <c r="R14" i="109"/>
  <c r="R15" i="109"/>
  <c r="R16" i="109"/>
  <c r="R17" i="109"/>
  <c r="R18" i="109"/>
  <c r="R19" i="109"/>
  <c r="R20" i="109"/>
  <c r="R21" i="109"/>
  <c r="R22" i="109"/>
  <c r="R23" i="109"/>
  <c r="R24" i="109"/>
  <c r="R25" i="109"/>
  <c r="R26" i="109"/>
  <c r="R27" i="109"/>
  <c r="R28" i="109"/>
  <c r="R29" i="109"/>
  <c r="R30" i="109"/>
  <c r="R31" i="109"/>
  <c r="R32" i="109"/>
  <c r="R33" i="109"/>
  <c r="R34" i="109"/>
  <c r="Q5" i="109"/>
  <c r="Q6" i="109"/>
  <c r="Q7" i="109"/>
  <c r="Q8" i="109"/>
  <c r="Q9" i="109"/>
  <c r="Q10" i="109"/>
  <c r="Q11" i="109"/>
  <c r="Q12" i="109"/>
  <c r="Q13" i="109"/>
  <c r="Q14" i="109"/>
  <c r="Q15" i="109"/>
  <c r="Q16" i="109"/>
  <c r="Q17" i="109"/>
  <c r="Q18" i="109"/>
  <c r="Q19" i="109"/>
  <c r="Q20" i="109"/>
  <c r="Q21" i="109"/>
  <c r="Q22" i="109"/>
  <c r="Q23" i="109"/>
  <c r="Q24" i="109"/>
  <c r="Q25" i="109"/>
  <c r="Q26" i="109"/>
  <c r="Q27" i="109"/>
  <c r="Q28" i="109"/>
  <c r="Q29" i="109"/>
  <c r="Q30" i="109"/>
  <c r="Q31" i="109"/>
  <c r="Q32" i="109"/>
  <c r="Q33" i="109"/>
  <c r="Q34" i="109"/>
  <c r="S6" i="109"/>
  <c r="S5" i="109"/>
  <c r="L5" i="109"/>
  <c r="L6" i="109"/>
  <c r="L8" i="109"/>
  <c r="L9" i="109"/>
  <c r="L10" i="109"/>
  <c r="L11" i="109"/>
  <c r="L12" i="109"/>
  <c r="L13" i="109"/>
  <c r="L14" i="109"/>
  <c r="L15" i="109"/>
  <c r="L16" i="109"/>
  <c r="L17" i="109"/>
  <c r="L18" i="109"/>
  <c r="L19" i="109"/>
  <c r="L20" i="109"/>
  <c r="L21" i="109"/>
  <c r="L22" i="109"/>
  <c r="L23" i="109"/>
  <c r="L24" i="109"/>
  <c r="L25" i="109"/>
  <c r="L26" i="109"/>
  <c r="L27" i="109"/>
  <c r="L28" i="109"/>
  <c r="L29" i="109"/>
  <c r="L30" i="109"/>
  <c r="L31" i="109"/>
  <c r="L32" i="109"/>
  <c r="L33" i="109"/>
  <c r="L34" i="109"/>
  <c r="C35" i="109"/>
  <c r="R4" i="109"/>
  <c r="R35" i="109" l="1"/>
  <c r="S69" i="100"/>
  <c r="X3" i="99" l="1"/>
  <c r="AC3" i="99" s="1"/>
  <c r="B7" i="112" l="1"/>
  <c r="B8" i="112" s="1"/>
  <c r="B9" i="112" s="1"/>
  <c r="B10" i="112" s="1"/>
  <c r="B11" i="112" s="1"/>
  <c r="B12" i="112" s="1"/>
  <c r="B13" i="112" s="1"/>
  <c r="B14" i="112" s="1"/>
  <c r="B15" i="112" s="1"/>
  <c r="B16" i="112" s="1"/>
  <c r="B17" i="112" s="1"/>
  <c r="B18" i="112" s="1"/>
  <c r="B19" i="112" s="1"/>
  <c r="B20" i="112" s="1"/>
  <c r="B21" i="112" s="1"/>
  <c r="B22" i="112" s="1"/>
  <c r="B23" i="112" s="1"/>
  <c r="B24" i="112" s="1"/>
  <c r="B25" i="112" s="1"/>
  <c r="B26" i="112" s="1"/>
  <c r="B27" i="112" s="1"/>
  <c r="B28" i="112" s="1"/>
  <c r="B29" i="112" s="1"/>
  <c r="B30" i="112" s="1"/>
  <c r="B31" i="112" s="1"/>
  <c r="B32" i="112" s="1"/>
  <c r="B33" i="112" s="1"/>
  <c r="B34" i="112" s="1"/>
  <c r="B35" i="112" s="1"/>
  <c r="X2" i="99" l="1"/>
  <c r="AC2" i="99" s="1"/>
  <c r="AV29" i="105" l="1"/>
  <c r="AV28" i="105"/>
  <c r="AV27" i="105"/>
  <c r="AV26" i="105"/>
  <c r="AV25" i="105"/>
  <c r="AV24" i="105"/>
  <c r="AV23" i="105"/>
  <c r="AV22" i="105"/>
  <c r="AV21" i="105"/>
  <c r="AV20" i="105"/>
  <c r="AV19" i="105"/>
  <c r="AV18" i="105"/>
  <c r="AV17" i="105"/>
  <c r="AV16" i="105"/>
  <c r="AV15" i="105"/>
  <c r="AV14" i="105"/>
  <c r="AV13" i="105"/>
  <c r="AV12" i="105"/>
  <c r="AV11" i="105"/>
  <c r="AV10" i="105"/>
  <c r="AV9" i="105"/>
  <c r="AV8" i="105"/>
  <c r="AV7" i="105"/>
  <c r="AV6" i="105"/>
  <c r="AV5" i="105"/>
  <c r="BK30" i="80"/>
  <c r="BJ30" i="80"/>
  <c r="BI30" i="80"/>
  <c r="BH30" i="80"/>
  <c r="BE30" i="80"/>
  <c r="BD30" i="80"/>
  <c r="BC30" i="80"/>
  <c r="AY30" i="80"/>
  <c r="AU30" i="80"/>
  <c r="BK29" i="80"/>
  <c r="BJ29" i="80"/>
  <c r="BI29" i="80"/>
  <c r="BH29" i="80"/>
  <c r="BE29" i="80"/>
  <c r="BD29" i="80"/>
  <c r="BC29" i="80"/>
  <c r="AY29" i="80"/>
  <c r="BK28" i="80"/>
  <c r="BJ28" i="80"/>
  <c r="BI28" i="80"/>
  <c r="BH28" i="80"/>
  <c r="BE28" i="80"/>
  <c r="BD28" i="80"/>
  <c r="BC28" i="80"/>
  <c r="AY28" i="80"/>
  <c r="BK27" i="80"/>
  <c r="BJ27" i="80"/>
  <c r="BI27" i="80"/>
  <c r="BH27" i="80"/>
  <c r="BE27" i="80"/>
  <c r="BD27" i="80"/>
  <c r="BC27" i="80"/>
  <c r="AY27" i="80"/>
  <c r="BK26" i="80"/>
  <c r="BJ26" i="80"/>
  <c r="BI26" i="80"/>
  <c r="BH26" i="80"/>
  <c r="BE26" i="80"/>
  <c r="BD26" i="80"/>
  <c r="BC26" i="80"/>
  <c r="AY26" i="80"/>
  <c r="BK25" i="80"/>
  <c r="BJ25" i="80"/>
  <c r="BI25" i="80"/>
  <c r="BH25" i="80"/>
  <c r="BE25" i="80"/>
  <c r="BD25" i="80"/>
  <c r="BC25" i="80"/>
  <c r="AY25" i="80"/>
  <c r="BK24" i="80"/>
  <c r="BJ24" i="80"/>
  <c r="BI24" i="80"/>
  <c r="BH24" i="80"/>
  <c r="BE24" i="80"/>
  <c r="BD24" i="80"/>
  <c r="BC24" i="80"/>
  <c r="AY24" i="80"/>
  <c r="BK23" i="80"/>
  <c r="BJ23" i="80"/>
  <c r="BI23" i="80"/>
  <c r="BH23" i="80"/>
  <c r="BE23" i="80"/>
  <c r="BD23" i="80"/>
  <c r="BC23" i="80"/>
  <c r="AY23" i="80"/>
  <c r="BK22" i="80"/>
  <c r="BJ22" i="80"/>
  <c r="BI22" i="80"/>
  <c r="BH22" i="80"/>
  <c r="BE22" i="80"/>
  <c r="BD22" i="80"/>
  <c r="BC22" i="80"/>
  <c r="AY22" i="80"/>
  <c r="AU22" i="80"/>
  <c r="BK21" i="80"/>
  <c r="BJ21" i="80"/>
  <c r="BI21" i="80"/>
  <c r="BH21" i="80"/>
  <c r="BE21" i="80"/>
  <c r="BD21" i="80"/>
  <c r="BC21" i="80"/>
  <c r="AY21" i="80"/>
  <c r="BK20" i="80"/>
  <c r="BJ20" i="80"/>
  <c r="BH20" i="80"/>
  <c r="BE20" i="80"/>
  <c r="BD20" i="80"/>
  <c r="BC20" i="80"/>
  <c r="AY20" i="80"/>
  <c r="BK19" i="80"/>
  <c r="BJ19" i="80"/>
  <c r="BI19" i="80"/>
  <c r="BH19" i="80"/>
  <c r="BE19" i="80"/>
  <c r="BD19" i="80"/>
  <c r="BC19" i="80"/>
  <c r="AY19" i="80"/>
  <c r="AU19" i="80"/>
  <c r="BK18" i="80"/>
  <c r="BJ18" i="80"/>
  <c r="BI18" i="80"/>
  <c r="BH18" i="80"/>
  <c r="BE18" i="80"/>
  <c r="BD18" i="80"/>
  <c r="BC18" i="80"/>
  <c r="AY18" i="80"/>
  <c r="BK17" i="80"/>
  <c r="BJ17" i="80"/>
  <c r="BI17" i="80"/>
  <c r="BH17" i="80"/>
  <c r="BE17" i="80"/>
  <c r="BD17" i="80"/>
  <c r="BC17" i="80"/>
  <c r="AY17" i="80"/>
  <c r="BK16" i="80"/>
  <c r="BJ16" i="80"/>
  <c r="BI16" i="80"/>
  <c r="BH16" i="80"/>
  <c r="BE16" i="80"/>
  <c r="BD16" i="80"/>
  <c r="BC16" i="80"/>
  <c r="AY16" i="80"/>
  <c r="AU16" i="80"/>
  <c r="BK15" i="80"/>
  <c r="BJ15" i="80"/>
  <c r="BI15" i="80"/>
  <c r="BH15" i="80"/>
  <c r="BE15" i="80"/>
  <c r="BD15" i="80"/>
  <c r="BC15" i="80"/>
  <c r="AY15" i="80"/>
  <c r="BK14" i="80"/>
  <c r="BJ14" i="80"/>
  <c r="BI14" i="80"/>
  <c r="BH14" i="80"/>
  <c r="BE14" i="80"/>
  <c r="BD14" i="80"/>
  <c r="BC14" i="80"/>
  <c r="AY14" i="80"/>
  <c r="BK13" i="80"/>
  <c r="BJ13" i="80"/>
  <c r="BI13" i="80"/>
  <c r="BH13" i="80"/>
  <c r="BE13" i="80"/>
  <c r="BD13" i="80"/>
  <c r="BC13" i="80"/>
  <c r="AY13" i="80"/>
  <c r="BK12" i="80"/>
  <c r="BJ12" i="80"/>
  <c r="BI12" i="80"/>
  <c r="BH12" i="80"/>
  <c r="BE12" i="80"/>
  <c r="BD12" i="80"/>
  <c r="BC12" i="80"/>
  <c r="AY12" i="80"/>
  <c r="BK11" i="80"/>
  <c r="BJ11" i="80"/>
  <c r="BI11" i="80"/>
  <c r="BH11" i="80"/>
  <c r="BE11" i="80"/>
  <c r="BD11" i="80"/>
  <c r="BC11" i="80"/>
  <c r="BB11" i="80"/>
  <c r="AY11" i="80"/>
  <c r="BK10" i="80"/>
  <c r="BJ10" i="80"/>
  <c r="BI10" i="80"/>
  <c r="BH10" i="80"/>
  <c r="BE10" i="80"/>
  <c r="BD10" i="80"/>
  <c r="BC10" i="80"/>
  <c r="BB10" i="80"/>
  <c r="AY10" i="80"/>
  <c r="BK9" i="80"/>
  <c r="BJ9" i="80"/>
  <c r="BI9" i="80"/>
  <c r="BH9" i="80"/>
  <c r="BE9" i="80"/>
  <c r="BD9" i="80"/>
  <c r="BC9" i="80"/>
  <c r="BB9" i="80"/>
  <c r="AY9" i="80"/>
  <c r="AU9" i="80"/>
  <c r="BK8" i="80"/>
  <c r="BJ8" i="80"/>
  <c r="BI8" i="80"/>
  <c r="BE8" i="80"/>
  <c r="BD8" i="80"/>
  <c r="BC8" i="80"/>
  <c r="BB8" i="80"/>
  <c r="AY8" i="80"/>
  <c r="AU8" i="80"/>
  <c r="BK7" i="80"/>
  <c r="BJ7" i="80"/>
  <c r="BI7" i="80"/>
  <c r="BH7" i="80"/>
  <c r="BE7" i="80"/>
  <c r="BD7" i="80"/>
  <c r="BC7" i="80"/>
  <c r="BB7" i="80"/>
  <c r="AY7" i="80"/>
  <c r="AW7" i="80"/>
  <c r="AS7" i="80"/>
  <c r="BK6" i="80"/>
  <c r="BJ6" i="80"/>
  <c r="BI6" i="80"/>
  <c r="BH6" i="80"/>
  <c r="BE6" i="80"/>
  <c r="BD6" i="80"/>
  <c r="BC6" i="80"/>
  <c r="BB6" i="80"/>
  <c r="AY6" i="80"/>
  <c r="AW6" i="80"/>
  <c r="AS6" i="80"/>
  <c r="BK5" i="80"/>
  <c r="BJ5" i="80"/>
  <c r="BI5" i="80"/>
  <c r="BH5" i="80"/>
  <c r="BE5" i="80"/>
  <c r="BD5" i="80"/>
  <c r="BC5" i="80"/>
  <c r="BB5" i="80"/>
  <c r="AY5" i="80"/>
  <c r="AX5" i="80"/>
  <c r="AW5" i="80"/>
  <c r="AS5" i="80"/>
  <c r="AU6" i="80" l="1"/>
  <c r="AU5" i="80"/>
  <c r="AU18" i="80"/>
  <c r="AU23" i="80"/>
  <c r="AU10" i="80"/>
  <c r="AU21" i="80"/>
  <c r="AU11" i="80"/>
  <c r="AU24" i="80"/>
  <c r="AU13" i="80"/>
  <c r="AU26" i="80"/>
  <c r="AU14" i="80"/>
  <c r="AU27" i="80"/>
  <c r="AU28" i="80"/>
  <c r="AU29" i="80"/>
  <c r="AU12" i="80"/>
  <c r="AU15" i="80"/>
  <c r="AU7" i="80"/>
  <c r="AU25" i="80"/>
  <c r="AU17" i="80"/>
  <c r="AU20" i="80"/>
  <c r="S63" i="100" l="1"/>
  <c r="S51" i="100"/>
  <c r="S50" i="100"/>
  <c r="S49" i="100"/>
  <c r="S99" i="100"/>
  <c r="S88" i="100"/>
  <c r="S84" i="100"/>
  <c r="S83" i="100"/>
  <c r="S80" i="100"/>
  <c r="S79" i="100"/>
  <c r="S77" i="100"/>
  <c r="S74" i="100"/>
  <c r="S72" i="100"/>
  <c r="S98" i="100"/>
  <c r="S97" i="100"/>
  <c r="S93" i="100"/>
  <c r="S76" i="100"/>
  <c r="AC13" i="99" l="1"/>
  <c r="AC12" i="99"/>
  <c r="AC6" i="99"/>
  <c r="AC15" i="99"/>
  <c r="AC14" i="99"/>
  <c r="AC11" i="99"/>
  <c r="AC9" i="99"/>
  <c r="AC8" i="99"/>
  <c r="AC4" i="99"/>
  <c r="AC7" i="99"/>
  <c r="BJ13" i="105"/>
  <c r="AC10" i="99" l="1"/>
  <c r="AW12" i="105"/>
  <c r="G247" i="82" l="1"/>
  <c r="S85" i="100" l="1"/>
  <c r="S86" i="100"/>
  <c r="S89" i="100"/>
  <c r="S96" i="100"/>
  <c r="S73" i="100"/>
  <c r="S71" i="100"/>
  <c r="S68" i="100"/>
  <c r="S66" i="100"/>
  <c r="S65" i="100"/>
  <c r="S64" i="100"/>
  <c r="S62" i="100"/>
  <c r="S61" i="100"/>
  <c r="S60" i="100"/>
  <c r="S47" i="100"/>
  <c r="S48" i="100"/>
  <c r="S45" i="100"/>
  <c r="S46" i="100"/>
  <c r="S44" i="100"/>
  <c r="S43" i="100"/>
  <c r="S42" i="100"/>
  <c r="S41" i="100"/>
  <c r="S7" i="100"/>
  <c r="S6" i="100"/>
  <c r="S5" i="100"/>
  <c r="S3" i="100"/>
  <c r="S2" i="100"/>
  <c r="G307" i="111" l="1"/>
  <c r="L306" i="111"/>
  <c r="H306" i="111"/>
  <c r="M306" i="111" s="1"/>
  <c r="H280" i="111"/>
  <c r="H279" i="111"/>
  <c r="H278" i="111"/>
  <c r="L277" i="111"/>
  <c r="H277" i="111"/>
  <c r="M277" i="111" s="1"/>
  <c r="L276" i="111"/>
  <c r="H276" i="111"/>
  <c r="M276" i="111" s="1"/>
  <c r="L275" i="111"/>
  <c r="H275" i="111"/>
  <c r="M275" i="111" s="1"/>
  <c r="L274" i="111"/>
  <c r="H274" i="111"/>
  <c r="M274" i="111" s="1"/>
  <c r="L273" i="111"/>
  <c r="H273" i="111"/>
  <c r="M273" i="111" s="1"/>
  <c r="L272" i="111"/>
  <c r="H272" i="111"/>
  <c r="M272" i="111" s="1"/>
  <c r="L271" i="111"/>
  <c r="H271" i="111"/>
  <c r="M271" i="111" s="1"/>
  <c r="L270" i="111"/>
  <c r="H270" i="111"/>
  <c r="M270" i="111" s="1"/>
  <c r="L269" i="111"/>
  <c r="H269" i="111"/>
  <c r="M269" i="111" s="1"/>
  <c r="L268" i="111"/>
  <c r="H268" i="111"/>
  <c r="M268" i="111" s="1"/>
  <c r="L267" i="111"/>
  <c r="H267" i="111"/>
  <c r="M267" i="111" s="1"/>
  <c r="L266" i="111"/>
  <c r="H266" i="111"/>
  <c r="M266" i="111" s="1"/>
  <c r="L265" i="111"/>
  <c r="H265" i="111"/>
  <c r="M265" i="111" s="1"/>
  <c r="L264" i="111"/>
  <c r="H264" i="111"/>
  <c r="M264" i="111" s="1"/>
  <c r="L263" i="111"/>
  <c r="H263" i="111"/>
  <c r="M263" i="111" s="1"/>
  <c r="L262" i="111"/>
  <c r="H262" i="111"/>
  <c r="M262" i="111" s="1"/>
  <c r="L261" i="111"/>
  <c r="H261" i="111"/>
  <c r="M261" i="111" s="1"/>
  <c r="L260" i="111"/>
  <c r="H260" i="111"/>
  <c r="M260" i="111" s="1"/>
  <c r="L259" i="111"/>
  <c r="H259" i="111"/>
  <c r="M259" i="111" s="1"/>
  <c r="L258" i="111"/>
  <c r="H258" i="111"/>
  <c r="M258" i="111" s="1"/>
  <c r="L257" i="111"/>
  <c r="H257" i="111"/>
  <c r="M257" i="111" s="1"/>
  <c r="L256" i="111"/>
  <c r="H256" i="111"/>
  <c r="M256" i="111" s="1"/>
  <c r="L255" i="111"/>
  <c r="M255" i="111"/>
  <c r="L253" i="111"/>
  <c r="H253" i="111"/>
  <c r="M253" i="111" s="1"/>
  <c r="L252" i="111"/>
  <c r="H252" i="111"/>
  <c r="M252" i="111" s="1"/>
  <c r="L251" i="111"/>
  <c r="H251" i="111"/>
  <c r="M251" i="111" s="1"/>
  <c r="L250" i="111"/>
  <c r="H250" i="111"/>
  <c r="M250" i="111" s="1"/>
  <c r="L249" i="111"/>
  <c r="H249" i="111"/>
  <c r="M249" i="111" s="1"/>
  <c r="L248" i="111"/>
  <c r="H248" i="111"/>
  <c r="M248" i="111" s="1"/>
  <c r="L247" i="111"/>
  <c r="H247" i="111"/>
  <c r="M247" i="111" s="1"/>
  <c r="L246" i="111"/>
  <c r="H246" i="111"/>
  <c r="M246" i="111" s="1"/>
  <c r="L245" i="111"/>
  <c r="H245" i="111"/>
  <c r="M245" i="111" s="1"/>
  <c r="L244" i="111"/>
  <c r="H244" i="111"/>
  <c r="M244" i="111" s="1"/>
  <c r="L243" i="111"/>
  <c r="H243" i="111"/>
  <c r="M243" i="111" s="1"/>
  <c r="L242" i="111"/>
  <c r="H242" i="111"/>
  <c r="M242" i="111" s="1"/>
  <c r="L241" i="111"/>
  <c r="H241" i="111"/>
  <c r="M241" i="111" s="1"/>
  <c r="L240" i="111"/>
  <c r="H240" i="111"/>
  <c r="M240" i="111" s="1"/>
  <c r="L239" i="111"/>
  <c r="H239" i="111"/>
  <c r="M239" i="111" s="1"/>
  <c r="L238" i="111"/>
  <c r="H238" i="111"/>
  <c r="M238" i="111" s="1"/>
  <c r="L237" i="111"/>
  <c r="H237" i="111"/>
  <c r="M237" i="111" s="1"/>
  <c r="L236" i="111"/>
  <c r="H236" i="111"/>
  <c r="M236" i="111" s="1"/>
  <c r="L235" i="111"/>
  <c r="H235" i="111"/>
  <c r="M235" i="111" s="1"/>
  <c r="L234" i="111"/>
  <c r="H234" i="111"/>
  <c r="M234" i="111" s="1"/>
  <c r="L233" i="111"/>
  <c r="H233" i="111"/>
  <c r="M233" i="111" s="1"/>
  <c r="L232" i="111"/>
  <c r="H232" i="111"/>
  <c r="M232" i="111" s="1"/>
  <c r="L231" i="111"/>
  <c r="H231" i="111"/>
  <c r="M231" i="111" s="1"/>
  <c r="L230" i="111"/>
  <c r="H230" i="111"/>
  <c r="M230" i="111" s="1"/>
  <c r="L229" i="111"/>
  <c r="H229" i="111"/>
  <c r="M229" i="111" s="1"/>
  <c r="L228" i="111"/>
  <c r="H228" i="111"/>
  <c r="M228" i="111" s="1"/>
  <c r="L227" i="111"/>
  <c r="H227" i="111"/>
  <c r="M227" i="111" s="1"/>
  <c r="L226" i="111"/>
  <c r="H226" i="111"/>
  <c r="M226" i="111" s="1"/>
  <c r="L225" i="111"/>
  <c r="H225" i="111"/>
  <c r="M225" i="111" s="1"/>
  <c r="L224" i="111"/>
  <c r="H224" i="111"/>
  <c r="M224" i="111" s="1"/>
  <c r="L223" i="111"/>
  <c r="H223" i="111"/>
  <c r="M223" i="111" s="1"/>
  <c r="L222" i="111"/>
  <c r="H222" i="111"/>
  <c r="M222" i="111" s="1"/>
  <c r="L221" i="111"/>
  <c r="H221" i="111"/>
  <c r="M221" i="111" s="1"/>
  <c r="L220" i="111"/>
  <c r="H220" i="111"/>
  <c r="M220" i="111" s="1"/>
  <c r="L219" i="111"/>
  <c r="H219" i="111"/>
  <c r="M219" i="111" s="1"/>
  <c r="L218" i="111"/>
  <c r="H218" i="111"/>
  <c r="M218" i="111" s="1"/>
  <c r="L217" i="111"/>
  <c r="H217" i="111"/>
  <c r="M217" i="111" s="1"/>
  <c r="L216" i="111"/>
  <c r="H216" i="111"/>
  <c r="M216" i="111" s="1"/>
  <c r="L215" i="111"/>
  <c r="H215" i="111"/>
  <c r="M215" i="111" s="1"/>
  <c r="L214" i="111"/>
  <c r="H214" i="111"/>
  <c r="M214" i="111" s="1"/>
  <c r="L213" i="111"/>
  <c r="H213" i="111"/>
  <c r="M213" i="111" s="1"/>
  <c r="L212" i="111"/>
  <c r="H212" i="111"/>
  <c r="M212" i="111" s="1"/>
  <c r="L211" i="111"/>
  <c r="H211" i="111"/>
  <c r="M211" i="111" s="1"/>
  <c r="L210" i="111"/>
  <c r="H210" i="111"/>
  <c r="M210" i="111" s="1"/>
  <c r="L209" i="111"/>
  <c r="H209" i="111"/>
  <c r="M209" i="111" s="1"/>
  <c r="L208" i="111"/>
  <c r="H208" i="111"/>
  <c r="M208" i="111" s="1"/>
  <c r="L207" i="111"/>
  <c r="H207" i="111"/>
  <c r="M207" i="111" s="1"/>
  <c r="L206" i="111"/>
  <c r="H206" i="111"/>
  <c r="M206" i="111" s="1"/>
  <c r="L205" i="111"/>
  <c r="H205" i="111"/>
  <c r="M205" i="111" s="1"/>
  <c r="L204" i="111"/>
  <c r="H204" i="111"/>
  <c r="M204" i="111" s="1"/>
  <c r="L203" i="111"/>
  <c r="H203" i="111"/>
  <c r="M203" i="111" s="1"/>
  <c r="L202" i="111"/>
  <c r="H202" i="111"/>
  <c r="M202" i="111" s="1"/>
  <c r="L201" i="111"/>
  <c r="H201" i="111"/>
  <c r="M201" i="111" s="1"/>
  <c r="L200" i="111"/>
  <c r="H200" i="111"/>
  <c r="M200" i="111" s="1"/>
  <c r="L199" i="111"/>
  <c r="H199" i="111"/>
  <c r="M199" i="111" s="1"/>
  <c r="L198" i="111"/>
  <c r="H198" i="111"/>
  <c r="M198" i="111" s="1"/>
  <c r="L197" i="111"/>
  <c r="H197" i="111"/>
  <c r="M197" i="111" s="1"/>
  <c r="L196" i="111"/>
  <c r="H196" i="111"/>
  <c r="M196" i="111" s="1"/>
  <c r="L195" i="111"/>
  <c r="H195" i="111"/>
  <c r="M195" i="111" s="1"/>
  <c r="L194" i="111"/>
  <c r="H194" i="111"/>
  <c r="M194" i="111" s="1"/>
  <c r="L193" i="111"/>
  <c r="H193" i="111"/>
  <c r="M193" i="111" s="1"/>
  <c r="L192" i="111"/>
  <c r="H192" i="111"/>
  <c r="M192" i="111" s="1"/>
  <c r="L191" i="111"/>
  <c r="H191" i="111"/>
  <c r="M191" i="111" s="1"/>
  <c r="L190" i="111"/>
  <c r="H190" i="111"/>
  <c r="M190" i="111" s="1"/>
  <c r="L189" i="111"/>
  <c r="H189" i="111"/>
  <c r="M189" i="111" s="1"/>
  <c r="L188" i="111"/>
  <c r="H188" i="111"/>
  <c r="M188" i="111" s="1"/>
  <c r="L187" i="111"/>
  <c r="H187" i="111"/>
  <c r="M187" i="111" s="1"/>
  <c r="L186" i="111"/>
  <c r="H186" i="111"/>
  <c r="M186" i="111" s="1"/>
  <c r="L185" i="111"/>
  <c r="H185" i="111"/>
  <c r="M185" i="111" s="1"/>
  <c r="L184" i="111"/>
  <c r="H184" i="111"/>
  <c r="M184" i="111" s="1"/>
  <c r="L183" i="111"/>
  <c r="H183" i="111"/>
  <c r="M183" i="111" s="1"/>
  <c r="L182" i="111"/>
  <c r="H182" i="111"/>
  <c r="M182" i="111" s="1"/>
  <c r="L181" i="111"/>
  <c r="H181" i="111"/>
  <c r="M181" i="111" s="1"/>
  <c r="L180" i="111"/>
  <c r="H180" i="111"/>
  <c r="M180" i="111" s="1"/>
  <c r="L179" i="111"/>
  <c r="H179" i="111"/>
  <c r="M179" i="111" s="1"/>
  <c r="L178" i="111"/>
  <c r="H178" i="111"/>
  <c r="M178" i="111" s="1"/>
  <c r="L177" i="111"/>
  <c r="H177" i="111"/>
  <c r="M177" i="111" s="1"/>
  <c r="L176" i="111"/>
  <c r="H176" i="111"/>
  <c r="M176" i="111" s="1"/>
  <c r="L175" i="111"/>
  <c r="H175" i="111"/>
  <c r="M175" i="111" s="1"/>
  <c r="L174" i="111"/>
  <c r="H174" i="111"/>
  <c r="M174" i="111" s="1"/>
  <c r="L173" i="111"/>
  <c r="H173" i="111"/>
  <c r="M173" i="111" s="1"/>
  <c r="L172" i="111"/>
  <c r="H172" i="111"/>
  <c r="M172" i="111" s="1"/>
  <c r="L171" i="111"/>
  <c r="H171" i="111"/>
  <c r="M171" i="111" s="1"/>
  <c r="L170" i="111"/>
  <c r="H170" i="111"/>
  <c r="M170" i="111" s="1"/>
  <c r="L169" i="111"/>
  <c r="H169" i="111"/>
  <c r="M169" i="111" s="1"/>
  <c r="L168" i="111"/>
  <c r="H168" i="111"/>
  <c r="M168" i="111" s="1"/>
  <c r="L167" i="111"/>
  <c r="H167" i="111"/>
  <c r="M167" i="111" s="1"/>
  <c r="L166" i="111"/>
  <c r="H166" i="111"/>
  <c r="M166" i="111" s="1"/>
  <c r="L165" i="111"/>
  <c r="H165" i="111"/>
  <c r="M165" i="111" s="1"/>
  <c r="L164" i="111"/>
  <c r="H164" i="111"/>
  <c r="M164" i="111" s="1"/>
  <c r="L163" i="111"/>
  <c r="H163" i="111"/>
  <c r="M163" i="111" s="1"/>
  <c r="L162" i="111"/>
  <c r="H162" i="111"/>
  <c r="M162" i="111" s="1"/>
  <c r="L161" i="111"/>
  <c r="H161" i="111"/>
  <c r="M161" i="111" s="1"/>
  <c r="L160" i="111"/>
  <c r="H160" i="111"/>
  <c r="M160" i="111" s="1"/>
  <c r="L159" i="111"/>
  <c r="H159" i="111"/>
  <c r="M159" i="111" s="1"/>
  <c r="L158" i="111"/>
  <c r="H158" i="111"/>
  <c r="M158" i="111" s="1"/>
  <c r="L157" i="111"/>
  <c r="H157" i="111"/>
  <c r="M157" i="111" s="1"/>
  <c r="L156" i="111"/>
  <c r="H156" i="111"/>
  <c r="M156" i="111" s="1"/>
  <c r="L155" i="111"/>
  <c r="H155" i="111"/>
  <c r="M155" i="111" s="1"/>
  <c r="L154" i="111"/>
  <c r="H154" i="111"/>
  <c r="M154" i="111" s="1"/>
  <c r="L153" i="111"/>
  <c r="H153" i="111"/>
  <c r="M153" i="111" s="1"/>
  <c r="L152" i="111"/>
  <c r="H152" i="111"/>
  <c r="M152" i="111" s="1"/>
  <c r="L151" i="111"/>
  <c r="H151" i="111"/>
  <c r="M151" i="111" s="1"/>
  <c r="L150" i="111"/>
  <c r="H150" i="111"/>
  <c r="M150" i="111" s="1"/>
  <c r="L149" i="111"/>
  <c r="H149" i="111"/>
  <c r="M149" i="111" s="1"/>
  <c r="L148" i="111"/>
  <c r="H148" i="111"/>
  <c r="M148" i="111" s="1"/>
  <c r="L147" i="111"/>
  <c r="H147" i="111"/>
  <c r="M147" i="111" s="1"/>
  <c r="L146" i="111"/>
  <c r="H146" i="111"/>
  <c r="M146" i="111" s="1"/>
  <c r="L145" i="111"/>
  <c r="H145" i="111"/>
  <c r="M145" i="111" s="1"/>
  <c r="L144" i="111"/>
  <c r="H144" i="111"/>
  <c r="M144" i="111" s="1"/>
  <c r="L143" i="111"/>
  <c r="H143" i="111"/>
  <c r="M143" i="111" s="1"/>
  <c r="L142" i="111"/>
  <c r="H142" i="111"/>
  <c r="M142" i="111" s="1"/>
  <c r="L141" i="111"/>
  <c r="H141" i="111"/>
  <c r="M141" i="111" s="1"/>
  <c r="L140" i="111"/>
  <c r="H140" i="111"/>
  <c r="M140" i="111" s="1"/>
  <c r="L139" i="111"/>
  <c r="H139" i="111"/>
  <c r="M139" i="111" s="1"/>
  <c r="L138" i="111"/>
  <c r="H138" i="111"/>
  <c r="M138" i="111" s="1"/>
  <c r="L137" i="111"/>
  <c r="H137" i="111"/>
  <c r="M137" i="111" s="1"/>
  <c r="L136" i="111"/>
  <c r="H136" i="111"/>
  <c r="M136" i="111" s="1"/>
  <c r="L135" i="111"/>
  <c r="H135" i="111"/>
  <c r="M135" i="111" s="1"/>
  <c r="L134" i="111"/>
  <c r="H134" i="111"/>
  <c r="M134" i="111" s="1"/>
  <c r="L133" i="111"/>
  <c r="H133" i="111"/>
  <c r="M133" i="111" s="1"/>
  <c r="L132" i="111"/>
  <c r="H132" i="111"/>
  <c r="M132" i="111" s="1"/>
  <c r="L131" i="111"/>
  <c r="H131" i="111"/>
  <c r="M131" i="111" s="1"/>
  <c r="L130" i="111"/>
  <c r="H130" i="111"/>
  <c r="M130" i="111" s="1"/>
  <c r="L129" i="111"/>
  <c r="H129" i="111"/>
  <c r="M129" i="111" s="1"/>
  <c r="L128" i="111"/>
  <c r="H128" i="111"/>
  <c r="M128" i="111" s="1"/>
  <c r="L127" i="111"/>
  <c r="H127" i="111"/>
  <c r="M127" i="111" s="1"/>
  <c r="L126" i="111"/>
  <c r="H126" i="111"/>
  <c r="M126" i="111" s="1"/>
  <c r="L125" i="111"/>
  <c r="H125" i="111"/>
  <c r="M125" i="111" s="1"/>
  <c r="L124" i="111"/>
  <c r="H124" i="111"/>
  <c r="M124" i="111" s="1"/>
  <c r="L123" i="111"/>
  <c r="H123" i="111"/>
  <c r="M123" i="111" s="1"/>
  <c r="L122" i="111"/>
  <c r="H122" i="111"/>
  <c r="M122" i="111" s="1"/>
  <c r="L121" i="111"/>
  <c r="H121" i="111"/>
  <c r="M121" i="111" s="1"/>
  <c r="L120" i="111"/>
  <c r="H120" i="111"/>
  <c r="M120" i="111" s="1"/>
  <c r="L119" i="111"/>
  <c r="H119" i="111"/>
  <c r="M119" i="111" s="1"/>
  <c r="L118" i="111"/>
  <c r="H118" i="111"/>
  <c r="M118" i="111" s="1"/>
  <c r="L117" i="111"/>
  <c r="H117" i="111"/>
  <c r="M117" i="111" s="1"/>
  <c r="L116" i="111"/>
  <c r="H116" i="111"/>
  <c r="M116" i="111" s="1"/>
  <c r="L115" i="111"/>
  <c r="H115" i="111"/>
  <c r="M115" i="111" s="1"/>
  <c r="L114" i="111"/>
  <c r="H114" i="111"/>
  <c r="M114" i="111" s="1"/>
  <c r="L113" i="111"/>
  <c r="H113" i="111"/>
  <c r="M113" i="111" s="1"/>
  <c r="L112" i="111"/>
  <c r="H112" i="111"/>
  <c r="M112" i="111" s="1"/>
  <c r="L111" i="111"/>
  <c r="H111" i="111"/>
  <c r="M111" i="111" s="1"/>
  <c r="L110" i="111"/>
  <c r="H110" i="111"/>
  <c r="M110" i="111" s="1"/>
  <c r="L109" i="111"/>
  <c r="H109" i="111"/>
  <c r="M109" i="111" s="1"/>
  <c r="L108" i="111"/>
  <c r="H108" i="111"/>
  <c r="M108" i="111" s="1"/>
  <c r="L107" i="111"/>
  <c r="H107" i="111"/>
  <c r="M107" i="111" s="1"/>
  <c r="L106" i="111"/>
  <c r="H106" i="111"/>
  <c r="M106" i="111" s="1"/>
  <c r="L105" i="111"/>
  <c r="H105" i="111"/>
  <c r="M105" i="111" s="1"/>
  <c r="L104" i="111"/>
  <c r="H104" i="111"/>
  <c r="M104" i="111" s="1"/>
  <c r="L103" i="111"/>
  <c r="H103" i="111"/>
  <c r="M103" i="111" s="1"/>
  <c r="L102" i="111"/>
  <c r="H102" i="111"/>
  <c r="M102" i="111" s="1"/>
  <c r="L101" i="111"/>
  <c r="H101" i="111"/>
  <c r="M101" i="111" s="1"/>
  <c r="L100" i="111"/>
  <c r="H100" i="111"/>
  <c r="M100" i="111" s="1"/>
  <c r="L99" i="111"/>
  <c r="H99" i="111"/>
  <c r="M99" i="111" s="1"/>
  <c r="L98" i="111"/>
  <c r="H98" i="111"/>
  <c r="M98" i="111" s="1"/>
  <c r="L97" i="111"/>
  <c r="H97" i="111"/>
  <c r="M97" i="111" s="1"/>
  <c r="L96" i="111"/>
  <c r="H96" i="111"/>
  <c r="M96" i="111" s="1"/>
  <c r="L95" i="111"/>
  <c r="H95" i="111"/>
  <c r="M95" i="111" s="1"/>
  <c r="L94" i="111"/>
  <c r="H94" i="111"/>
  <c r="M94" i="111" s="1"/>
  <c r="L93" i="111"/>
  <c r="H93" i="111"/>
  <c r="M93" i="111" s="1"/>
  <c r="L92" i="111"/>
  <c r="H92" i="111"/>
  <c r="M92" i="111" s="1"/>
  <c r="L91" i="111"/>
  <c r="H91" i="111"/>
  <c r="M91" i="111" s="1"/>
  <c r="L90" i="111"/>
  <c r="H90" i="111"/>
  <c r="M90" i="111" s="1"/>
  <c r="L89" i="111"/>
  <c r="H89" i="111"/>
  <c r="M89" i="111" s="1"/>
  <c r="L88" i="111"/>
  <c r="H88" i="111"/>
  <c r="M88" i="111" s="1"/>
  <c r="L87" i="111"/>
  <c r="H87" i="111"/>
  <c r="M87" i="111" s="1"/>
  <c r="L86" i="111"/>
  <c r="H86" i="111"/>
  <c r="M86" i="111" s="1"/>
  <c r="L85" i="111"/>
  <c r="H85" i="111"/>
  <c r="M85" i="111" s="1"/>
  <c r="L84" i="111"/>
  <c r="H84" i="111"/>
  <c r="M84" i="111" s="1"/>
  <c r="L83" i="111"/>
  <c r="H83" i="111"/>
  <c r="M83" i="111" s="1"/>
  <c r="L82" i="111"/>
  <c r="H82" i="111"/>
  <c r="M82" i="111" s="1"/>
  <c r="L81" i="111"/>
  <c r="H81" i="111"/>
  <c r="M81" i="111" s="1"/>
  <c r="L80" i="111"/>
  <c r="H80" i="111"/>
  <c r="M80" i="111" s="1"/>
  <c r="L79" i="111"/>
  <c r="H79" i="111"/>
  <c r="M79" i="111" s="1"/>
  <c r="L78" i="111"/>
  <c r="H78" i="111"/>
  <c r="M78" i="111" s="1"/>
  <c r="L77" i="111"/>
  <c r="H77" i="111"/>
  <c r="M77" i="111" s="1"/>
  <c r="L76" i="111"/>
  <c r="H76" i="111"/>
  <c r="M76" i="111" s="1"/>
  <c r="L75" i="111"/>
  <c r="H75" i="111"/>
  <c r="M75" i="111" s="1"/>
  <c r="L74" i="111"/>
  <c r="H74" i="111"/>
  <c r="M74" i="111" s="1"/>
  <c r="L73" i="111"/>
  <c r="H73" i="111"/>
  <c r="M73" i="111" s="1"/>
  <c r="L72" i="111"/>
  <c r="H72" i="111"/>
  <c r="M72" i="111" s="1"/>
  <c r="L71" i="111"/>
  <c r="H71" i="111"/>
  <c r="M71" i="111" s="1"/>
  <c r="L70" i="111"/>
  <c r="H70" i="111"/>
  <c r="M70" i="111" s="1"/>
  <c r="L69" i="111"/>
  <c r="H69" i="111"/>
  <c r="M69" i="111" s="1"/>
  <c r="L68" i="111"/>
  <c r="H68" i="111"/>
  <c r="M68" i="111" s="1"/>
  <c r="L67" i="111"/>
  <c r="H67" i="111"/>
  <c r="M67" i="111" s="1"/>
  <c r="L66" i="111"/>
  <c r="H66" i="111"/>
  <c r="M66" i="111" s="1"/>
  <c r="L65" i="111"/>
  <c r="H65" i="111"/>
  <c r="M65" i="111" s="1"/>
  <c r="L64" i="111"/>
  <c r="H64" i="111"/>
  <c r="M64" i="111" s="1"/>
  <c r="L63" i="111"/>
  <c r="H63" i="111"/>
  <c r="M63" i="111" s="1"/>
  <c r="L62" i="111"/>
  <c r="H62" i="111"/>
  <c r="M62" i="111" s="1"/>
  <c r="L61" i="111"/>
  <c r="H61" i="111"/>
  <c r="M61" i="111" s="1"/>
  <c r="L60" i="111"/>
  <c r="H60" i="111"/>
  <c r="M60" i="111" s="1"/>
  <c r="L59" i="111"/>
  <c r="H59" i="111"/>
  <c r="M59" i="111" s="1"/>
  <c r="L58" i="111"/>
  <c r="H58" i="111"/>
  <c r="M58" i="111" s="1"/>
  <c r="L57" i="111"/>
  <c r="H57" i="111"/>
  <c r="M57" i="111" s="1"/>
  <c r="L56" i="111"/>
  <c r="H56" i="111"/>
  <c r="M56" i="111" s="1"/>
  <c r="L55" i="111"/>
  <c r="H55" i="111"/>
  <c r="M55" i="111" s="1"/>
  <c r="L54" i="111"/>
  <c r="H54" i="111"/>
  <c r="M54" i="111" s="1"/>
  <c r="L53" i="111"/>
  <c r="H53" i="111"/>
  <c r="M53" i="111" s="1"/>
  <c r="L52" i="111"/>
  <c r="H52" i="111"/>
  <c r="M52" i="111" s="1"/>
  <c r="L51" i="111"/>
  <c r="H51" i="111"/>
  <c r="M51" i="111" s="1"/>
  <c r="L50" i="111"/>
  <c r="H50" i="111"/>
  <c r="M50" i="111" s="1"/>
  <c r="L49" i="111"/>
  <c r="H49" i="111"/>
  <c r="M49" i="111" s="1"/>
  <c r="L48" i="111"/>
  <c r="H48" i="111"/>
  <c r="M48" i="111" s="1"/>
  <c r="L47" i="111"/>
  <c r="H47" i="111"/>
  <c r="M47" i="111" s="1"/>
  <c r="L46" i="111"/>
  <c r="H46" i="111"/>
  <c r="M46" i="111" s="1"/>
  <c r="L45" i="111"/>
  <c r="H45" i="111"/>
  <c r="M45" i="111" s="1"/>
  <c r="L44" i="111"/>
  <c r="H44" i="111"/>
  <c r="M44" i="111" s="1"/>
  <c r="L43" i="111"/>
  <c r="H43" i="111"/>
  <c r="M43" i="111" s="1"/>
  <c r="L42" i="111"/>
  <c r="H42" i="111"/>
  <c r="M42" i="111" s="1"/>
  <c r="L41" i="111"/>
  <c r="H41" i="111"/>
  <c r="M41" i="111" s="1"/>
  <c r="L40" i="111"/>
  <c r="H40" i="111"/>
  <c r="M40" i="111" s="1"/>
  <c r="L39" i="111"/>
  <c r="H39" i="111"/>
  <c r="M39" i="111" s="1"/>
  <c r="L38" i="111"/>
  <c r="H38" i="111"/>
  <c r="M38" i="111" s="1"/>
  <c r="L37" i="111"/>
  <c r="H37" i="111"/>
  <c r="M37" i="111" s="1"/>
  <c r="L36" i="111"/>
  <c r="H36" i="111"/>
  <c r="M36" i="111" s="1"/>
  <c r="L35" i="111"/>
  <c r="H35" i="111"/>
  <c r="M35" i="111" s="1"/>
  <c r="L34" i="111"/>
  <c r="H34" i="111"/>
  <c r="M34" i="111" s="1"/>
  <c r="L33" i="111"/>
  <c r="H33" i="111"/>
  <c r="M33" i="111" s="1"/>
  <c r="L32" i="111"/>
  <c r="H32" i="111"/>
  <c r="M32" i="111" s="1"/>
  <c r="L31" i="111"/>
  <c r="H31" i="111"/>
  <c r="M31" i="111" s="1"/>
  <c r="L30" i="111"/>
  <c r="H30" i="111"/>
  <c r="M30" i="111" s="1"/>
  <c r="L29" i="111"/>
  <c r="H29" i="111"/>
  <c r="M29" i="111" s="1"/>
  <c r="L28" i="111"/>
  <c r="H28" i="111"/>
  <c r="M28" i="111" s="1"/>
  <c r="L27" i="111"/>
  <c r="H27" i="111"/>
  <c r="M27" i="111" s="1"/>
  <c r="L26" i="111"/>
  <c r="H26" i="111"/>
  <c r="M26" i="111" s="1"/>
  <c r="L25" i="111"/>
  <c r="H25" i="111"/>
  <c r="M25" i="111" s="1"/>
  <c r="L24" i="111"/>
  <c r="H24" i="111"/>
  <c r="M24" i="111" s="1"/>
  <c r="L23" i="111"/>
  <c r="H23" i="111"/>
  <c r="M23" i="111" s="1"/>
  <c r="L22" i="111"/>
  <c r="H22" i="111"/>
  <c r="M22" i="111" s="1"/>
  <c r="L21" i="111"/>
  <c r="H21" i="111"/>
  <c r="M21" i="111" s="1"/>
  <c r="L20" i="111"/>
  <c r="H20" i="111"/>
  <c r="M20" i="111" s="1"/>
  <c r="L19" i="111"/>
  <c r="H19" i="111"/>
  <c r="M19" i="111" s="1"/>
  <c r="L18" i="111"/>
  <c r="H18" i="111"/>
  <c r="M18" i="111" s="1"/>
  <c r="L17" i="111"/>
  <c r="H17" i="111"/>
  <c r="M17" i="111" s="1"/>
  <c r="L16" i="111"/>
  <c r="H16" i="111"/>
  <c r="M16" i="111" s="1"/>
  <c r="L15" i="111"/>
  <c r="H15" i="111"/>
  <c r="M15" i="111" s="1"/>
  <c r="L14" i="111"/>
  <c r="H14" i="111"/>
  <c r="M14" i="111" s="1"/>
  <c r="L13" i="111"/>
  <c r="H13" i="111"/>
  <c r="M13" i="111" s="1"/>
  <c r="L12" i="111"/>
  <c r="H12" i="111"/>
  <c r="M12" i="111" s="1"/>
  <c r="L11" i="111"/>
  <c r="H11" i="111"/>
  <c r="M11" i="111" s="1"/>
  <c r="L10" i="111"/>
  <c r="H10" i="111"/>
  <c r="M10" i="111" s="1"/>
  <c r="L9" i="111"/>
  <c r="L307" i="111" s="1"/>
  <c r="H9" i="111"/>
  <c r="B9" i="111"/>
  <c r="B10" i="111" s="1"/>
  <c r="B11" i="111" s="1"/>
  <c r="B12" i="111" s="1"/>
  <c r="B13" i="111" s="1"/>
  <c r="B14" i="111" s="1"/>
  <c r="B15" i="111" s="1"/>
  <c r="B16" i="111" s="1"/>
  <c r="B17" i="111" s="1"/>
  <c r="B18" i="111" s="1"/>
  <c r="B19" i="111" s="1"/>
  <c r="B20" i="111" s="1"/>
  <c r="B21" i="111" s="1"/>
  <c r="B22" i="111" s="1"/>
  <c r="B23" i="111" s="1"/>
  <c r="B24" i="111" s="1"/>
  <c r="B25" i="111" s="1"/>
  <c r="B26" i="111" s="1"/>
  <c r="B27" i="111" s="1"/>
  <c r="B28" i="111" s="1"/>
  <c r="B29" i="111" s="1"/>
  <c r="B30" i="111" s="1"/>
  <c r="B31" i="111" s="1"/>
  <c r="B32" i="111" s="1"/>
  <c r="B33" i="111" s="1"/>
  <c r="B34" i="111" s="1"/>
  <c r="B35" i="111" s="1"/>
  <c r="B36" i="111" s="1"/>
  <c r="B37" i="111" s="1"/>
  <c r="B38" i="111" s="1"/>
  <c r="B39" i="111" s="1"/>
  <c r="B40" i="111" s="1"/>
  <c r="B41" i="111" s="1"/>
  <c r="B42" i="111" s="1"/>
  <c r="B43" i="111" s="1"/>
  <c r="B44" i="111" s="1"/>
  <c r="B45" i="111" s="1"/>
  <c r="B46" i="111" s="1"/>
  <c r="B47" i="111" s="1"/>
  <c r="B48" i="111" s="1"/>
  <c r="B49" i="111" s="1"/>
  <c r="B50" i="111" s="1"/>
  <c r="B51" i="111" s="1"/>
  <c r="B52" i="111" s="1"/>
  <c r="B53" i="111" s="1"/>
  <c r="B54" i="111" s="1"/>
  <c r="B55" i="111" s="1"/>
  <c r="B56" i="111" s="1"/>
  <c r="B57" i="111" s="1"/>
  <c r="B58" i="111" s="1"/>
  <c r="B59" i="111" s="1"/>
  <c r="B60" i="111" s="1"/>
  <c r="B61" i="111" s="1"/>
  <c r="B62" i="111" s="1"/>
  <c r="B63" i="111" s="1"/>
  <c r="B64" i="111" s="1"/>
  <c r="B65" i="111" s="1"/>
  <c r="B66" i="111" s="1"/>
  <c r="B67" i="111" s="1"/>
  <c r="B68" i="111" s="1"/>
  <c r="B69" i="111" s="1"/>
  <c r="B70" i="111" s="1"/>
  <c r="B71" i="111" s="1"/>
  <c r="B72" i="111" s="1"/>
  <c r="B73" i="111" s="1"/>
  <c r="B74" i="111" s="1"/>
  <c r="B75" i="111" s="1"/>
  <c r="B76" i="111" s="1"/>
  <c r="B77" i="111" s="1"/>
  <c r="B78" i="111" s="1"/>
  <c r="B79" i="111" s="1"/>
  <c r="B80" i="111" s="1"/>
  <c r="B81" i="111" s="1"/>
  <c r="B82" i="111" s="1"/>
  <c r="B83" i="111" s="1"/>
  <c r="B84" i="111" s="1"/>
  <c r="B85" i="111" s="1"/>
  <c r="B86" i="111" s="1"/>
  <c r="B87" i="111" s="1"/>
  <c r="B88" i="111" s="1"/>
  <c r="B89" i="111" s="1"/>
  <c r="B90" i="111" s="1"/>
  <c r="B91" i="111" s="1"/>
  <c r="B92" i="111" s="1"/>
  <c r="B93" i="111" s="1"/>
  <c r="B94" i="111" s="1"/>
  <c r="B95" i="111" s="1"/>
  <c r="B96" i="111" s="1"/>
  <c r="B97" i="111" s="1"/>
  <c r="B98" i="111" s="1"/>
  <c r="B99" i="111" s="1"/>
  <c r="B100" i="111" s="1"/>
  <c r="B101" i="111" s="1"/>
  <c r="B102" i="111" s="1"/>
  <c r="B103" i="111" s="1"/>
  <c r="B104" i="111" s="1"/>
  <c r="B105" i="111" s="1"/>
  <c r="B106" i="111" s="1"/>
  <c r="B107" i="111" s="1"/>
  <c r="B108" i="111" s="1"/>
  <c r="B109" i="111" s="1"/>
  <c r="B110" i="111" s="1"/>
  <c r="B111" i="111" s="1"/>
  <c r="B112" i="111" s="1"/>
  <c r="B113" i="111" s="1"/>
  <c r="B114" i="111" s="1"/>
  <c r="B115" i="111" s="1"/>
  <c r="B116" i="111" s="1"/>
  <c r="B117" i="111" s="1"/>
  <c r="B118" i="111" s="1"/>
  <c r="B119" i="111" s="1"/>
  <c r="B120" i="111" s="1"/>
  <c r="B121" i="111" s="1"/>
  <c r="B122" i="111" s="1"/>
  <c r="B123" i="111" s="1"/>
  <c r="B124" i="111" s="1"/>
  <c r="B125" i="111" s="1"/>
  <c r="B126" i="111" s="1"/>
  <c r="B127" i="111" s="1"/>
  <c r="B128" i="111" s="1"/>
  <c r="B129" i="111" s="1"/>
  <c r="B130" i="111" s="1"/>
  <c r="B131" i="111" s="1"/>
  <c r="B132" i="111" s="1"/>
  <c r="B133" i="111" s="1"/>
  <c r="B134" i="111" s="1"/>
  <c r="B135" i="111" s="1"/>
  <c r="B136" i="111" s="1"/>
  <c r="B137" i="111" s="1"/>
  <c r="B138" i="111" s="1"/>
  <c r="B139" i="111" s="1"/>
  <c r="B140" i="111" s="1"/>
  <c r="B141" i="111" s="1"/>
  <c r="B142" i="111" s="1"/>
  <c r="B143" i="111" s="1"/>
  <c r="B144" i="111" s="1"/>
  <c r="B145" i="111" s="1"/>
  <c r="B146" i="111" s="1"/>
  <c r="B147" i="111" s="1"/>
  <c r="B148" i="111" s="1"/>
  <c r="B149" i="111" s="1"/>
  <c r="B150" i="111" s="1"/>
  <c r="B151" i="111" s="1"/>
  <c r="B152" i="111" s="1"/>
  <c r="B153" i="111" s="1"/>
  <c r="B154" i="111" s="1"/>
  <c r="B155" i="111" s="1"/>
  <c r="B156" i="111" s="1"/>
  <c r="B157" i="111" s="1"/>
  <c r="B158" i="111" s="1"/>
  <c r="B159" i="111" s="1"/>
  <c r="B160" i="111" s="1"/>
  <c r="B161" i="111" s="1"/>
  <c r="B162" i="111" s="1"/>
  <c r="B163" i="111" s="1"/>
  <c r="B164" i="111" s="1"/>
  <c r="B165" i="111" s="1"/>
  <c r="B166" i="111" s="1"/>
  <c r="B167" i="111" s="1"/>
  <c r="B168" i="111" s="1"/>
  <c r="B169" i="111" s="1"/>
  <c r="B170" i="111" s="1"/>
  <c r="B171" i="111" s="1"/>
  <c r="B172" i="111" s="1"/>
  <c r="B173" i="111" s="1"/>
  <c r="B174" i="111" s="1"/>
  <c r="B175" i="111" s="1"/>
  <c r="B176" i="111" s="1"/>
  <c r="B177" i="111" s="1"/>
  <c r="B178" i="111" s="1"/>
  <c r="B179" i="111" s="1"/>
  <c r="B180" i="111" s="1"/>
  <c r="B181" i="111" s="1"/>
  <c r="B182" i="111" s="1"/>
  <c r="B183" i="111" s="1"/>
  <c r="B184" i="111" s="1"/>
  <c r="B185" i="111" s="1"/>
  <c r="B186" i="111" s="1"/>
  <c r="B187" i="111" s="1"/>
  <c r="B188" i="111" s="1"/>
  <c r="B189" i="111" s="1"/>
  <c r="B190" i="111" s="1"/>
  <c r="B191" i="111" s="1"/>
  <c r="B192" i="111" s="1"/>
  <c r="B193" i="111" s="1"/>
  <c r="B194" i="111" s="1"/>
  <c r="B195" i="111" s="1"/>
  <c r="B196" i="111" s="1"/>
  <c r="B197" i="111" s="1"/>
  <c r="B198" i="111" s="1"/>
  <c r="B199" i="111" s="1"/>
  <c r="B200" i="111" s="1"/>
  <c r="B201" i="111" s="1"/>
  <c r="B202" i="111" s="1"/>
  <c r="B203" i="111" s="1"/>
  <c r="B204" i="111" s="1"/>
  <c r="B205" i="111" s="1"/>
  <c r="B206" i="111" s="1"/>
  <c r="B207" i="111" s="1"/>
  <c r="B208" i="111" s="1"/>
  <c r="B209" i="111" s="1"/>
  <c r="B210" i="111" s="1"/>
  <c r="B211" i="111" s="1"/>
  <c r="B212" i="111" s="1"/>
  <c r="B213" i="111" s="1"/>
  <c r="B214" i="111" s="1"/>
  <c r="B215" i="111" s="1"/>
  <c r="B216" i="111" s="1"/>
  <c r="B217" i="111" s="1"/>
  <c r="B218" i="111" s="1"/>
  <c r="B219" i="111" s="1"/>
  <c r="B220" i="111" s="1"/>
  <c r="B221" i="111" s="1"/>
  <c r="B222" i="111" s="1"/>
  <c r="B223" i="111" s="1"/>
  <c r="B224" i="111" s="1"/>
  <c r="B225" i="111" s="1"/>
  <c r="B226" i="111" s="1"/>
  <c r="B227" i="111" s="1"/>
  <c r="B228" i="111" s="1"/>
  <c r="B229" i="111" s="1"/>
  <c r="B230" i="111" s="1"/>
  <c r="B231" i="111" s="1"/>
  <c r="B232" i="111" s="1"/>
  <c r="B233" i="111" s="1"/>
  <c r="B234" i="111" s="1"/>
  <c r="B235" i="111" s="1"/>
  <c r="B236" i="111" s="1"/>
  <c r="B237" i="111" s="1"/>
  <c r="B238" i="111" s="1"/>
  <c r="B239" i="111" s="1"/>
  <c r="B240" i="111" s="1"/>
  <c r="B241" i="111" s="1"/>
  <c r="B242" i="111" s="1"/>
  <c r="B243" i="111" s="1"/>
  <c r="B244" i="111" s="1"/>
  <c r="B245" i="111" s="1"/>
  <c r="B246" i="111" s="1"/>
  <c r="B247" i="111" s="1"/>
  <c r="B248" i="111" s="1"/>
  <c r="B249" i="111" s="1"/>
  <c r="B250" i="111" s="1"/>
  <c r="B251" i="111" s="1"/>
  <c r="B252" i="111" s="1"/>
  <c r="B253" i="111" s="1"/>
  <c r="H8" i="111"/>
  <c r="M8" i="111" s="1"/>
  <c r="S364" i="100"/>
  <c r="S363" i="100"/>
  <c r="S362" i="100"/>
  <c r="S361" i="100"/>
  <c r="S360" i="100"/>
  <c r="S359" i="100"/>
  <c r="S358" i="100"/>
  <c r="S118" i="100"/>
  <c r="S114" i="100"/>
  <c r="S112" i="100"/>
  <c r="S111" i="100"/>
  <c r="S110" i="100"/>
  <c r="S108" i="100"/>
  <c r="S107" i="100"/>
  <c r="S106" i="100"/>
  <c r="S105" i="100"/>
  <c r="S104" i="100"/>
  <c r="S103" i="100"/>
  <c r="S102" i="100"/>
  <c r="S101" i="100"/>
  <c r="A3" i="100"/>
  <c r="A4" i="100" s="1"/>
  <c r="A5" i="100" s="1"/>
  <c r="A6" i="100" s="1"/>
  <c r="A7" i="100" s="1"/>
  <c r="A8" i="100" s="1"/>
  <c r="A9" i="100" s="1"/>
  <c r="A10" i="100" s="1"/>
  <c r="A11" i="100" s="1"/>
  <c r="A12" i="100" s="1"/>
  <c r="A13" i="100" s="1"/>
  <c r="A14" i="100" s="1"/>
  <c r="A15" i="100" s="1"/>
  <c r="A16" i="100" s="1"/>
  <c r="A17" i="100" s="1"/>
  <c r="A18" i="100" s="1"/>
  <c r="A19" i="100" s="1"/>
  <c r="A20" i="100" s="1"/>
  <c r="A21" i="100" s="1"/>
  <c r="A22" i="100" s="1"/>
  <c r="A23" i="100" s="1"/>
  <c r="A24" i="100" s="1"/>
  <c r="A25" i="100" s="1"/>
  <c r="A26" i="100" s="1"/>
  <c r="A27" i="100" s="1"/>
  <c r="A28" i="100" s="1"/>
  <c r="A29" i="100" s="1"/>
  <c r="A30" i="100" s="1"/>
  <c r="A31" i="100" s="1"/>
  <c r="A32" i="100" s="1"/>
  <c r="A33" i="100" s="1"/>
  <c r="A34" i="100" s="1"/>
  <c r="A35" i="100" s="1"/>
  <c r="A36" i="100" s="1"/>
  <c r="A37" i="100" s="1"/>
  <c r="A38" i="100" s="1"/>
  <c r="A39" i="100" s="1"/>
  <c r="A40" i="100" s="1"/>
  <c r="A41" i="100" s="1"/>
  <c r="A42" i="100" s="1"/>
  <c r="A43" i="100" s="1"/>
  <c r="A44" i="100" s="1"/>
  <c r="A45" i="100" s="1"/>
  <c r="A46" i="100" s="1"/>
  <c r="A47" i="100" s="1"/>
  <c r="A48" i="100" s="1"/>
  <c r="A49" i="100" s="1"/>
  <c r="A50" i="100" s="1"/>
  <c r="A51" i="100" s="1"/>
  <c r="A52" i="100" s="1"/>
  <c r="A53" i="100" s="1"/>
  <c r="A54" i="100" s="1"/>
  <c r="A55" i="100" s="1"/>
  <c r="A56" i="100" s="1"/>
  <c r="A57" i="100" s="1"/>
  <c r="A58" i="100" s="1"/>
  <c r="A59" i="100" s="1"/>
  <c r="A60" i="100" s="1"/>
  <c r="A61" i="100" s="1"/>
  <c r="A62" i="100" s="1"/>
  <c r="A63" i="100" s="1"/>
  <c r="A64" i="100" s="1"/>
  <c r="A65" i="100" s="1"/>
  <c r="A66" i="100" s="1"/>
  <c r="A67" i="100" s="1"/>
  <c r="A68" i="100" s="1"/>
  <c r="A69" i="100" s="1"/>
  <c r="A70" i="100" s="1"/>
  <c r="A71" i="100" s="1"/>
  <c r="A72" i="100" s="1"/>
  <c r="A73" i="100" s="1"/>
  <c r="A74" i="100" s="1"/>
  <c r="A75" i="100" s="1"/>
  <c r="A76" i="100" s="1"/>
  <c r="A77" i="100" s="1"/>
  <c r="A78" i="100" s="1"/>
  <c r="A79" i="100" s="1"/>
  <c r="A80" i="100" s="1"/>
  <c r="A81" i="100" s="1"/>
  <c r="A82" i="100" s="1"/>
  <c r="A83" i="100" s="1"/>
  <c r="A84" i="100" s="1"/>
  <c r="A85" i="100" s="1"/>
  <c r="A86" i="100" s="1"/>
  <c r="A87" i="100" s="1"/>
  <c r="A88" i="100" s="1"/>
  <c r="A89" i="100" s="1"/>
  <c r="A90" i="100" s="1"/>
  <c r="A91" i="100" s="1"/>
  <c r="A92" i="100" s="1"/>
  <c r="A93" i="100" s="1"/>
  <c r="A94" i="100" s="1"/>
  <c r="A95" i="100" s="1"/>
  <c r="A96" i="100" s="1"/>
  <c r="A97" i="100" s="1"/>
  <c r="A98" i="100" s="1"/>
  <c r="A99" i="100" s="1"/>
  <c r="A100" i="100" s="1"/>
  <c r="A101" i="100" s="1"/>
  <c r="A102" i="100" s="1"/>
  <c r="A103" i="100" s="1"/>
  <c r="A104" i="100" s="1"/>
  <c r="A105" i="100" s="1"/>
  <c r="A106" i="100" s="1"/>
  <c r="A107" i="100" s="1"/>
  <c r="A108" i="100" s="1"/>
  <c r="A109" i="100" s="1"/>
  <c r="A110" i="100" s="1"/>
  <c r="A111" i="100" s="1"/>
  <c r="A112" i="100" s="1"/>
  <c r="A113" i="100" s="1"/>
  <c r="A114" i="100" s="1"/>
  <c r="A115" i="100" s="1"/>
  <c r="A116" i="100" s="1"/>
  <c r="A117" i="100" s="1"/>
  <c r="A118" i="100" s="1"/>
  <c r="A119" i="100" s="1"/>
  <c r="A120" i="100" s="1"/>
  <c r="A121" i="100" s="1"/>
  <c r="A122" i="100" s="1"/>
  <c r="A123" i="100" s="1"/>
  <c r="A124" i="100" s="1"/>
  <c r="A125" i="100" s="1"/>
  <c r="A126" i="100" s="1"/>
  <c r="A127" i="100" s="1"/>
  <c r="A128" i="100" s="1"/>
  <c r="A129" i="100" s="1"/>
  <c r="A130" i="100" s="1"/>
  <c r="A131" i="100" s="1"/>
  <c r="A132" i="100" s="1"/>
  <c r="A133" i="100" s="1"/>
  <c r="A134" i="100" s="1"/>
  <c r="A135" i="100" s="1"/>
  <c r="A136" i="100" s="1"/>
  <c r="A137" i="100" s="1"/>
  <c r="A138" i="100" s="1"/>
  <c r="A139" i="100" s="1"/>
  <c r="A140" i="100" s="1"/>
  <c r="A141" i="100" s="1"/>
  <c r="A142" i="100" s="1"/>
  <c r="A143" i="100" s="1"/>
  <c r="A144" i="100" s="1"/>
  <c r="A145" i="100" s="1"/>
  <c r="A146" i="100" s="1"/>
  <c r="A147" i="100" s="1"/>
  <c r="A148" i="100" s="1"/>
  <c r="A149" i="100" s="1"/>
  <c r="A150" i="100" s="1"/>
  <c r="A151" i="100" s="1"/>
  <c r="A152" i="100" s="1"/>
  <c r="A153" i="100" s="1"/>
  <c r="A154" i="100" s="1"/>
  <c r="A155" i="100" s="1"/>
  <c r="A156" i="100" s="1"/>
  <c r="A157" i="100" s="1"/>
  <c r="A158" i="100" s="1"/>
  <c r="A159" i="100" s="1"/>
  <c r="A160" i="100" s="1"/>
  <c r="A161" i="100" s="1"/>
  <c r="A162" i="100" s="1"/>
  <c r="A163" i="100" s="1"/>
  <c r="A164" i="100" s="1"/>
  <c r="A165" i="100" s="1"/>
  <c r="A166" i="100" s="1"/>
  <c r="A167" i="100" s="1"/>
  <c r="A168" i="100" s="1"/>
  <c r="A169" i="100" s="1"/>
  <c r="A170" i="100" s="1"/>
  <c r="A171" i="100" s="1"/>
  <c r="A172" i="100" s="1"/>
  <c r="A173" i="100" s="1"/>
  <c r="A174" i="100" s="1"/>
  <c r="A175" i="100" s="1"/>
  <c r="A176" i="100" s="1"/>
  <c r="A177" i="100" s="1"/>
  <c r="A178" i="100" s="1"/>
  <c r="A179" i="100" s="1"/>
  <c r="A180" i="100" s="1"/>
  <c r="A181" i="100" s="1"/>
  <c r="A182" i="100" s="1"/>
  <c r="A183" i="100" s="1"/>
  <c r="A184" i="100" s="1"/>
  <c r="A185" i="100" s="1"/>
  <c r="A186" i="100" s="1"/>
  <c r="A187" i="100" s="1"/>
  <c r="A188" i="100" s="1"/>
  <c r="A189" i="100" s="1"/>
  <c r="A190" i="100" s="1"/>
  <c r="A191" i="100" s="1"/>
  <c r="A192" i="100" s="1"/>
  <c r="K52" i="110"/>
  <c r="K49" i="110"/>
  <c r="K48" i="110"/>
  <c r="K47" i="110"/>
  <c r="K46" i="110"/>
  <c r="K30" i="110"/>
  <c r="K45" i="110"/>
  <c r="K44" i="110"/>
  <c r="K43" i="110"/>
  <c r="K42" i="110"/>
  <c r="K41" i="110"/>
  <c r="K40" i="110"/>
  <c r="K39" i="110"/>
  <c r="K38" i="110"/>
  <c r="K37" i="110"/>
  <c r="K36" i="110"/>
  <c r="K35" i="110"/>
  <c r="K34" i="110"/>
  <c r="K33" i="110"/>
  <c r="K32" i="110"/>
  <c r="K31" i="110"/>
  <c r="K29" i="110"/>
  <c r="K28" i="110"/>
  <c r="K27" i="110"/>
  <c r="K26" i="110"/>
  <c r="K25" i="110"/>
  <c r="K24" i="110"/>
  <c r="K23" i="110"/>
  <c r="K22" i="110"/>
  <c r="K21" i="110"/>
  <c r="K20" i="110"/>
  <c r="K19" i="110"/>
  <c r="K18" i="110"/>
  <c r="K17" i="110"/>
  <c r="K16" i="110"/>
  <c r="K15" i="110"/>
  <c r="K14" i="110"/>
  <c r="K13" i="110"/>
  <c r="K12" i="110"/>
  <c r="K11" i="110"/>
  <c r="K10" i="110"/>
  <c r="K9" i="110"/>
  <c r="K8" i="110"/>
  <c r="K7" i="110"/>
  <c r="K6" i="110"/>
  <c r="K5" i="110"/>
  <c r="K4" i="110"/>
  <c r="K3" i="110"/>
  <c r="K2" i="110"/>
  <c r="AC24" i="99"/>
  <c r="AC23" i="99"/>
  <c r="AC22" i="99"/>
  <c r="AC21" i="99"/>
  <c r="AC20" i="99"/>
  <c r="AC19" i="99"/>
  <c r="AC18" i="99"/>
  <c r="AC17" i="99"/>
  <c r="AC16" i="99"/>
  <c r="AC5" i="99"/>
  <c r="G24" i="84"/>
  <c r="D50" i="56" s="1"/>
  <c r="K71" i="12" s="1"/>
  <c r="A3" i="84"/>
  <c r="A4" i="84" s="1"/>
  <c r="A5" i="84" s="1"/>
  <c r="A6" i="84" s="1"/>
  <c r="A7" i="84" s="1"/>
  <c r="A8" i="84" s="1"/>
  <c r="H248" i="82"/>
  <c r="D49" i="56" s="1"/>
  <c r="G248" i="82"/>
  <c r="H247" i="82"/>
  <c r="A3" i="82"/>
  <c r="A4" i="82" s="1"/>
  <c r="A5" i="82" s="1"/>
  <c r="A6" i="82" s="1"/>
  <c r="A7" i="82" s="1"/>
  <c r="A8" i="82" s="1"/>
  <c r="A9" i="82" s="1"/>
  <c r="A10" i="82" s="1"/>
  <c r="A11" i="82" s="1"/>
  <c r="A12" i="82" s="1"/>
  <c r="A13" i="82" s="1"/>
  <c r="A14" i="82" s="1"/>
  <c r="A15" i="82" s="1"/>
  <c r="A16" i="82" s="1"/>
  <c r="A17" i="82" s="1"/>
  <c r="A18" i="82" s="1"/>
  <c r="A19" i="82" s="1"/>
  <c r="A20" i="82" s="1"/>
  <c r="A21" i="82" s="1"/>
  <c r="A22" i="82" s="1"/>
  <c r="A23" i="82" s="1"/>
  <c r="A24" i="82" s="1"/>
  <c r="A25" i="82" s="1"/>
  <c r="A26" i="82" s="1"/>
  <c r="A27" i="82" s="1"/>
  <c r="A28" i="82" s="1"/>
  <c r="A29" i="82" s="1"/>
  <c r="A30" i="82" s="1"/>
  <c r="A31" i="82" s="1"/>
  <c r="A32" i="82" s="1"/>
  <c r="A33" i="82" s="1"/>
  <c r="A34" i="82" s="1"/>
  <c r="A35" i="82" s="1"/>
  <c r="A36" i="82" s="1"/>
  <c r="A37" i="82" s="1"/>
  <c r="A38" i="82" s="1"/>
  <c r="A39" i="82" s="1"/>
  <c r="A40" i="82" s="1"/>
  <c r="A41" i="82" s="1"/>
  <c r="A42" i="82" s="1"/>
  <c r="A43" i="82" s="1"/>
  <c r="A44" i="82" s="1"/>
  <c r="A45" i="82" s="1"/>
  <c r="A46" i="82" s="1"/>
  <c r="A47" i="82" s="1"/>
  <c r="A48" i="82" s="1"/>
  <c r="A49" i="82" s="1"/>
  <c r="A50" i="82" s="1"/>
  <c r="A51" i="82" s="1"/>
  <c r="A52" i="82" s="1"/>
  <c r="A53" i="82" s="1"/>
  <c r="A54" i="82" s="1"/>
  <c r="A55" i="82" s="1"/>
  <c r="A56" i="82" s="1"/>
  <c r="A57" i="82" s="1"/>
  <c r="A58" i="82" s="1"/>
  <c r="A59" i="82" s="1"/>
  <c r="A60" i="82" s="1"/>
  <c r="A61" i="82" s="1"/>
  <c r="A62" i="82" s="1"/>
  <c r="A63" i="82" s="1"/>
  <c r="A64" i="82" s="1"/>
  <c r="A65" i="82" s="1"/>
  <c r="A66" i="82" s="1"/>
  <c r="A67" i="82" s="1"/>
  <c r="A68" i="82" s="1"/>
  <c r="A69" i="82" s="1"/>
  <c r="A70" i="82" s="1"/>
  <c r="A71" i="82" s="1"/>
  <c r="A72" i="82" s="1"/>
  <c r="A73" i="82" s="1"/>
  <c r="A74" i="82" s="1"/>
  <c r="A75" i="82" s="1"/>
  <c r="A76" i="82" s="1"/>
  <c r="A77" i="82" s="1"/>
  <c r="A78" i="82" s="1"/>
  <c r="A79" i="82" s="1"/>
  <c r="A80" i="82" s="1"/>
  <c r="A81" i="82" s="1"/>
  <c r="A82" i="82" s="1"/>
  <c r="A83" i="82" s="1"/>
  <c r="A84" i="82" s="1"/>
  <c r="A85" i="82" s="1"/>
  <c r="A86" i="82" s="1"/>
  <c r="A87" i="82" s="1"/>
  <c r="A88" i="82" s="1"/>
  <c r="A89" i="82" s="1"/>
  <c r="A90" i="82" s="1"/>
  <c r="A91" i="82" s="1"/>
  <c r="L8" i="112"/>
  <c r="K8" i="112"/>
  <c r="B36" i="112"/>
  <c r="G8" i="113"/>
  <c r="G11" i="113" s="1"/>
  <c r="B7" i="113"/>
  <c r="B8" i="113" s="1"/>
  <c r="B9" i="113" s="1"/>
  <c r="B10" i="113" s="1"/>
  <c r="B11" i="113" s="1"/>
  <c r="B12" i="113" s="1"/>
  <c r="B13" i="113" s="1"/>
  <c r="B14" i="113" s="1"/>
  <c r="B15" i="113" s="1"/>
  <c r="B16" i="113" s="1"/>
  <c r="B17" i="113" s="1"/>
  <c r="B18" i="113" s="1"/>
  <c r="B19" i="113" s="1"/>
  <c r="B20" i="113" s="1"/>
  <c r="B21" i="113" s="1"/>
  <c r="B22" i="113" s="1"/>
  <c r="B23" i="113" s="1"/>
  <c r="B24" i="113" s="1"/>
  <c r="B25" i="113" s="1"/>
  <c r="B26" i="113" s="1"/>
  <c r="B27" i="113" s="1"/>
  <c r="B28" i="113" s="1"/>
  <c r="B29" i="113" s="1"/>
  <c r="B30" i="113" s="1"/>
  <c r="B31" i="113" s="1"/>
  <c r="B32" i="113" s="1"/>
  <c r="B33" i="113" s="1"/>
  <c r="B34" i="113" s="1"/>
  <c r="B35" i="113" s="1"/>
  <c r="B36" i="113" s="1"/>
  <c r="L8" i="114"/>
  <c r="K8" i="114"/>
  <c r="B7" i="114"/>
  <c r="B8" i="114" s="1"/>
  <c r="B9" i="114" s="1"/>
  <c r="B10" i="114" s="1"/>
  <c r="B11" i="114" s="1"/>
  <c r="B12" i="114" s="1"/>
  <c r="B13" i="114" s="1"/>
  <c r="B14" i="114" s="1"/>
  <c r="B15" i="114" s="1"/>
  <c r="B16" i="114" s="1"/>
  <c r="B17" i="114" s="1"/>
  <c r="B18" i="114" s="1"/>
  <c r="B19" i="114" s="1"/>
  <c r="B20" i="114" s="1"/>
  <c r="B21" i="114" s="1"/>
  <c r="B22" i="114" s="1"/>
  <c r="B23" i="114" s="1"/>
  <c r="B24" i="114" s="1"/>
  <c r="B25" i="114" s="1"/>
  <c r="B26" i="114" s="1"/>
  <c r="B27" i="114" s="1"/>
  <c r="B28" i="114" s="1"/>
  <c r="B29" i="114" s="1"/>
  <c r="B30" i="114" s="1"/>
  <c r="B31" i="114" s="1"/>
  <c r="B32" i="114" s="1"/>
  <c r="B33" i="114" s="1"/>
  <c r="B34" i="114" s="1"/>
  <c r="B35" i="114" s="1"/>
  <c r="B36" i="114" s="1"/>
  <c r="BF36" i="105"/>
  <c r="BE36" i="105"/>
  <c r="AY36" i="105"/>
  <c r="AX36" i="105"/>
  <c r="AU36" i="105"/>
  <c r="Q29" i="56" s="1"/>
  <c r="S29" i="56" s="1"/>
  <c r="AP36" i="105"/>
  <c r="Q24" i="56" s="1"/>
  <c r="AI36" i="105"/>
  <c r="AH36" i="105"/>
  <c r="AG36" i="105"/>
  <c r="AF36" i="105"/>
  <c r="AE36" i="105"/>
  <c r="AD36" i="105"/>
  <c r="AC36" i="105"/>
  <c r="AB36" i="105"/>
  <c r="AA36" i="105"/>
  <c r="Z36" i="105"/>
  <c r="Y36" i="105"/>
  <c r="Q19" i="56" s="1"/>
  <c r="X36" i="105"/>
  <c r="Q18" i="56" s="1"/>
  <c r="S18" i="56" s="1"/>
  <c r="W36" i="105"/>
  <c r="Q17" i="56" s="1"/>
  <c r="S17" i="56" s="1"/>
  <c r="V36" i="105"/>
  <c r="Q16" i="56" s="1"/>
  <c r="S16" i="56" s="1"/>
  <c r="U36" i="105"/>
  <c r="Q15" i="56" s="1"/>
  <c r="S15" i="56" s="1"/>
  <c r="T36" i="105"/>
  <c r="Q14" i="56" s="1"/>
  <c r="S14" i="56" s="1"/>
  <c r="R36" i="105"/>
  <c r="Q36" i="105"/>
  <c r="P36" i="105"/>
  <c r="O36" i="105"/>
  <c r="N36" i="105"/>
  <c r="M36" i="105"/>
  <c r="K36" i="105"/>
  <c r="J36" i="105"/>
  <c r="I36" i="105"/>
  <c r="H36" i="105"/>
  <c r="G36" i="105"/>
  <c r="F36" i="105"/>
  <c r="E36" i="105"/>
  <c r="D36" i="105"/>
  <c r="C36" i="105"/>
  <c r="AQ36" i="105"/>
  <c r="Q25" i="56" s="1"/>
  <c r="BJ32" i="105"/>
  <c r="BI32" i="105"/>
  <c r="BH32" i="105"/>
  <c r="BG32" i="105"/>
  <c r="BD32" i="105"/>
  <c r="BC32" i="105"/>
  <c r="BB32" i="105"/>
  <c r="AV32" i="105"/>
  <c r="BJ31" i="105"/>
  <c r="BI31" i="105"/>
  <c r="BH31" i="105"/>
  <c r="BG31" i="105"/>
  <c r="BD31" i="105"/>
  <c r="BC31" i="105"/>
  <c r="BB31" i="105"/>
  <c r="BA31" i="105"/>
  <c r="AW31" i="105"/>
  <c r="AV31" i="105"/>
  <c r="BJ30" i="105"/>
  <c r="BI30" i="105"/>
  <c r="BH30" i="105"/>
  <c r="BG30" i="105"/>
  <c r="BD30" i="105"/>
  <c r="BC30" i="105"/>
  <c r="BB30" i="105"/>
  <c r="BA30" i="105"/>
  <c r="AW30" i="105"/>
  <c r="AV30" i="105"/>
  <c r="BJ29" i="105"/>
  <c r="BI29" i="105"/>
  <c r="BH29" i="105"/>
  <c r="BG29" i="105"/>
  <c r="BD29" i="105"/>
  <c r="BC29" i="105"/>
  <c r="BB29" i="105"/>
  <c r="BA29" i="105"/>
  <c r="AW29" i="105"/>
  <c r="BJ28" i="105"/>
  <c r="BI28" i="105"/>
  <c r="BH28" i="105"/>
  <c r="BG28" i="105"/>
  <c r="BD28" i="105"/>
  <c r="BC28" i="105"/>
  <c r="BB28" i="105"/>
  <c r="BA28" i="105"/>
  <c r="AW28" i="105"/>
  <c r="AT28" i="105" s="1"/>
  <c r="BJ27" i="105"/>
  <c r="BI27" i="105"/>
  <c r="BH27" i="105"/>
  <c r="BG27" i="105"/>
  <c r="BD27" i="105"/>
  <c r="BC27" i="105"/>
  <c r="BB27" i="105"/>
  <c r="BA27" i="105"/>
  <c r="AW27" i="105"/>
  <c r="BJ26" i="105"/>
  <c r="BI26" i="105"/>
  <c r="BH26" i="105"/>
  <c r="BG26" i="105"/>
  <c r="BD26" i="105"/>
  <c r="BC26" i="105"/>
  <c r="BB26" i="105"/>
  <c r="BA26" i="105"/>
  <c r="AW26" i="105"/>
  <c r="AR26" i="105"/>
  <c r="BJ25" i="105"/>
  <c r="BI25" i="105"/>
  <c r="BH25" i="105"/>
  <c r="BG25" i="105"/>
  <c r="BD25" i="105"/>
  <c r="BC25" i="105"/>
  <c r="BB25" i="105"/>
  <c r="BA25" i="105"/>
  <c r="AW25" i="105"/>
  <c r="BJ24" i="105"/>
  <c r="BI24" i="105"/>
  <c r="BH24" i="105"/>
  <c r="BG24" i="105"/>
  <c r="BD24" i="105"/>
  <c r="BC24" i="105"/>
  <c r="BB24" i="105"/>
  <c r="BA24" i="105"/>
  <c r="AW24" i="105"/>
  <c r="AR24" i="105"/>
  <c r="BJ23" i="105"/>
  <c r="BI23" i="105"/>
  <c r="BH23" i="105"/>
  <c r="BG23" i="105"/>
  <c r="BD23" i="105"/>
  <c r="BC23" i="105"/>
  <c r="BB23" i="105"/>
  <c r="BA23" i="105"/>
  <c r="AW23" i="105"/>
  <c r="AR23" i="105"/>
  <c r="BJ22" i="105"/>
  <c r="BI22" i="105"/>
  <c r="BH22" i="105"/>
  <c r="BG22" i="105"/>
  <c r="BD22" i="105"/>
  <c r="BC22" i="105"/>
  <c r="BB22" i="105"/>
  <c r="BA22" i="105"/>
  <c r="AW22" i="105"/>
  <c r="AR22" i="105"/>
  <c r="BJ21" i="105"/>
  <c r="BI21" i="105"/>
  <c r="BH21" i="105"/>
  <c r="BG21" i="105"/>
  <c r="BD21" i="105"/>
  <c r="BC21" i="105"/>
  <c r="BB21" i="105"/>
  <c r="BA21" i="105"/>
  <c r="AW21" i="105"/>
  <c r="AR21" i="105"/>
  <c r="BJ20" i="105"/>
  <c r="BI20" i="105"/>
  <c r="BH20" i="105"/>
  <c r="BG20" i="105"/>
  <c r="BD20" i="105"/>
  <c r="BC20" i="105"/>
  <c r="BB20" i="105"/>
  <c r="BA20" i="105"/>
  <c r="AW20" i="105"/>
  <c r="AR20" i="105"/>
  <c r="BJ19" i="105"/>
  <c r="BI19" i="105"/>
  <c r="BH19" i="105"/>
  <c r="BG19" i="105"/>
  <c r="BD19" i="105"/>
  <c r="BC19" i="105"/>
  <c r="BB19" i="105"/>
  <c r="BA19" i="105"/>
  <c r="AW19" i="105"/>
  <c r="AR19" i="105"/>
  <c r="BJ18" i="105"/>
  <c r="BI18" i="105"/>
  <c r="BH18" i="105"/>
  <c r="BG18" i="105"/>
  <c r="BD18" i="105"/>
  <c r="BC18" i="105"/>
  <c r="BB18" i="105"/>
  <c r="BA18" i="105"/>
  <c r="AW18" i="105"/>
  <c r="AR18" i="105"/>
  <c r="BJ17" i="105"/>
  <c r="BI17" i="105"/>
  <c r="BH17" i="105"/>
  <c r="BG17" i="105"/>
  <c r="BD17" i="105"/>
  <c r="BC17" i="105"/>
  <c r="BB17" i="105"/>
  <c r="BA17" i="105"/>
  <c r="AW17" i="105"/>
  <c r="AR17" i="105"/>
  <c r="BJ16" i="105"/>
  <c r="BI16" i="105"/>
  <c r="BH16" i="105"/>
  <c r="BG16" i="105"/>
  <c r="BD16" i="105"/>
  <c r="BC16" i="105"/>
  <c r="BB16" i="105"/>
  <c r="BA16" i="105"/>
  <c r="AW16" i="105"/>
  <c r="AR16" i="105"/>
  <c r="BJ15" i="105"/>
  <c r="BI15" i="105"/>
  <c r="BH15" i="105"/>
  <c r="BG15" i="105"/>
  <c r="BD15" i="105"/>
  <c r="BC15" i="105"/>
  <c r="BB15" i="105"/>
  <c r="BA15" i="105"/>
  <c r="AW15" i="105"/>
  <c r="AR15" i="105"/>
  <c r="BJ14" i="105"/>
  <c r="BI14" i="105"/>
  <c r="BH14" i="105"/>
  <c r="BG14" i="105"/>
  <c r="BD14" i="105"/>
  <c r="BC14" i="105"/>
  <c r="BB14" i="105"/>
  <c r="BA14" i="105"/>
  <c r="AW14" i="105"/>
  <c r="AR14" i="105"/>
  <c r="BI13" i="105"/>
  <c r="BH13" i="105"/>
  <c r="BG13" i="105"/>
  <c r="BD13" i="105"/>
  <c r="BC13" i="105"/>
  <c r="BB13" i="105"/>
  <c r="BA13" i="105"/>
  <c r="AW13" i="105"/>
  <c r="AR13" i="105"/>
  <c r="BJ12" i="105"/>
  <c r="BI12" i="105"/>
  <c r="BH12" i="105"/>
  <c r="BG12" i="105"/>
  <c r="BD12" i="105"/>
  <c r="BC12" i="105"/>
  <c r="BB12" i="105"/>
  <c r="BA12" i="105"/>
  <c r="AR12" i="105"/>
  <c r="BJ11" i="105"/>
  <c r="BI11" i="105"/>
  <c r="BH11" i="105"/>
  <c r="BG11" i="105"/>
  <c r="BD11" i="105"/>
  <c r="BC11" i="105"/>
  <c r="BB11" i="105"/>
  <c r="BA11" i="105"/>
  <c r="AW11" i="105"/>
  <c r="AR11" i="105"/>
  <c r="BJ10" i="105"/>
  <c r="BI10" i="105"/>
  <c r="BH10" i="105"/>
  <c r="BG10" i="105"/>
  <c r="BD10" i="105"/>
  <c r="BC10" i="105"/>
  <c r="BB10" i="105"/>
  <c r="BA10" i="105"/>
  <c r="AW10" i="105"/>
  <c r="AR10" i="105"/>
  <c r="BJ9" i="105"/>
  <c r="BI9" i="105"/>
  <c r="BH9" i="105"/>
  <c r="BG9" i="105"/>
  <c r="BD9" i="105"/>
  <c r="BC9" i="105"/>
  <c r="BB9" i="105"/>
  <c r="BA9" i="105"/>
  <c r="AW9" i="105"/>
  <c r="AR9" i="105"/>
  <c r="BJ8" i="105"/>
  <c r="BI8" i="105"/>
  <c r="BH8" i="105"/>
  <c r="BG8" i="105"/>
  <c r="BD8" i="105"/>
  <c r="BC8" i="105"/>
  <c r="BB8" i="105"/>
  <c r="BA8" i="105"/>
  <c r="AW8" i="105"/>
  <c r="AR8" i="105"/>
  <c r="BJ7" i="105"/>
  <c r="BI7" i="105"/>
  <c r="BH7" i="105"/>
  <c r="BG7" i="105"/>
  <c r="BD7" i="105"/>
  <c r="BC7" i="105"/>
  <c r="BB7" i="105"/>
  <c r="BA7" i="105"/>
  <c r="AW7" i="105"/>
  <c r="AR7" i="105"/>
  <c r="BJ6" i="105"/>
  <c r="BI6" i="105"/>
  <c r="BH6" i="105"/>
  <c r="BG6" i="105"/>
  <c r="BD6" i="105"/>
  <c r="BC6" i="105"/>
  <c r="BB6" i="105"/>
  <c r="BA6" i="105"/>
  <c r="AW6" i="105"/>
  <c r="AR6" i="105"/>
  <c r="AO36" i="105"/>
  <c r="Q22" i="56" s="1"/>
  <c r="BJ5" i="105"/>
  <c r="BI5" i="105"/>
  <c r="BH5" i="105"/>
  <c r="BG5" i="105"/>
  <c r="BD5" i="105"/>
  <c r="BC5" i="105"/>
  <c r="BB5" i="105"/>
  <c r="BA5" i="105"/>
  <c r="AW5" i="105"/>
  <c r="AR5" i="105"/>
  <c r="A6" i="105"/>
  <c r="A7" i="105" s="1"/>
  <c r="A8" i="105" s="1"/>
  <c r="A9" i="105" s="1"/>
  <c r="A10" i="105" s="1"/>
  <c r="A11" i="105" s="1"/>
  <c r="A12" i="105" s="1"/>
  <c r="A13" i="105" s="1"/>
  <c r="A14" i="105" s="1"/>
  <c r="A15" i="105" s="1"/>
  <c r="A16" i="105" s="1"/>
  <c r="A17" i="105" s="1"/>
  <c r="A18" i="105" s="1"/>
  <c r="A19" i="105" s="1"/>
  <c r="A20" i="105" s="1"/>
  <c r="A21" i="105" s="1"/>
  <c r="A22" i="105" s="1"/>
  <c r="A23" i="105" s="1"/>
  <c r="A24" i="105" s="1"/>
  <c r="A25" i="105" s="1"/>
  <c r="A26" i="105" s="1"/>
  <c r="A27" i="105" s="1"/>
  <c r="A28" i="105" s="1"/>
  <c r="A29" i="105" s="1"/>
  <c r="A30" i="105" s="1"/>
  <c r="A31" i="105" s="1"/>
  <c r="A32" i="105" s="1"/>
  <c r="A33" i="105" s="1"/>
  <c r="A34" i="105" s="1"/>
  <c r="A35" i="105" s="1"/>
  <c r="K35" i="109"/>
  <c r="I35" i="109"/>
  <c r="G35" i="109"/>
  <c r="F35" i="109"/>
  <c r="D35" i="109"/>
  <c r="B35" i="109"/>
  <c r="S34" i="109"/>
  <c r="N34" i="109"/>
  <c r="S33" i="109"/>
  <c r="N33" i="109"/>
  <c r="S32" i="109"/>
  <c r="N32" i="109"/>
  <c r="S31" i="109"/>
  <c r="N31" i="109"/>
  <c r="S30" i="109"/>
  <c r="N30" i="109"/>
  <c r="S29" i="109"/>
  <c r="N29" i="109"/>
  <c r="S28" i="109"/>
  <c r="N28" i="109"/>
  <c r="S27" i="109"/>
  <c r="N27" i="109"/>
  <c r="S26" i="109"/>
  <c r="N26" i="109"/>
  <c r="S25" i="109"/>
  <c r="N25" i="109"/>
  <c r="S24" i="109"/>
  <c r="N24" i="109"/>
  <c r="S23" i="109"/>
  <c r="N23" i="109"/>
  <c r="S22" i="109"/>
  <c r="N22" i="109"/>
  <c r="S21" i="109"/>
  <c r="N21" i="109"/>
  <c r="S20" i="109"/>
  <c r="N20" i="109"/>
  <c r="S19" i="109"/>
  <c r="N19" i="109"/>
  <c r="S18" i="109"/>
  <c r="N18" i="109"/>
  <c r="S17" i="109"/>
  <c r="N17" i="109"/>
  <c r="S16" i="109"/>
  <c r="N16" i="109"/>
  <c r="S15" i="109"/>
  <c r="N15" i="109"/>
  <c r="S14" i="109"/>
  <c r="N14" i="109"/>
  <c r="N13" i="109"/>
  <c r="S12" i="109"/>
  <c r="N12" i="109"/>
  <c r="S11" i="109"/>
  <c r="N11" i="109"/>
  <c r="S10" i="109"/>
  <c r="N10" i="109"/>
  <c r="S8" i="109"/>
  <c r="S7" i="109"/>
  <c r="N6" i="109"/>
  <c r="J35" i="109"/>
  <c r="E35" i="109"/>
  <c r="N5" i="109"/>
  <c r="A5" i="109"/>
  <c r="A6" i="109" s="1"/>
  <c r="A7" i="109" s="1"/>
  <c r="A8" i="109" s="1"/>
  <c r="A9" i="109" s="1"/>
  <c r="A10" i="109" s="1"/>
  <c r="A11" i="109" s="1"/>
  <c r="A12" i="109" s="1"/>
  <c r="A13" i="109" s="1"/>
  <c r="A14" i="109" s="1"/>
  <c r="A15" i="109" s="1"/>
  <c r="A16" i="109" s="1"/>
  <c r="A17" i="109" s="1"/>
  <c r="A18" i="109" s="1"/>
  <c r="A19" i="109" s="1"/>
  <c r="A20" i="109" s="1"/>
  <c r="A21" i="109" s="1"/>
  <c r="A22" i="109" s="1"/>
  <c r="A23" i="109" s="1"/>
  <c r="A24" i="109" s="1"/>
  <c r="A25" i="109" s="1"/>
  <c r="A26" i="109" s="1"/>
  <c r="A27" i="109" s="1"/>
  <c r="A28" i="109" s="1"/>
  <c r="A29" i="109" s="1"/>
  <c r="A30" i="109" s="1"/>
  <c r="A31" i="109" s="1"/>
  <c r="A32" i="109" s="1"/>
  <c r="A33" i="109" s="1"/>
  <c r="A34" i="109" s="1"/>
  <c r="S4" i="109"/>
  <c r="Q4" i="109"/>
  <c r="Q35" i="109" s="1"/>
  <c r="L4" i="109"/>
  <c r="L18" i="56"/>
  <c r="M18" i="56" s="1"/>
  <c r="N18" i="56" s="1"/>
  <c r="L5" i="56"/>
  <c r="M5" i="56" s="1"/>
  <c r="L13" i="56"/>
  <c r="M13" i="56" s="1"/>
  <c r="L10" i="56"/>
  <c r="M10" i="56" s="1"/>
  <c r="BN36" i="80"/>
  <c r="C47" i="56" s="1"/>
  <c r="H51" i="12" s="1"/>
  <c r="BM36" i="80"/>
  <c r="C46" i="56" s="1"/>
  <c r="E46" i="56" s="1"/>
  <c r="BG36" i="80"/>
  <c r="C41" i="56" s="1"/>
  <c r="BF36" i="80"/>
  <c r="C40" i="56" s="1"/>
  <c r="AZ36" i="80"/>
  <c r="C35" i="56" s="1"/>
  <c r="AV36" i="80"/>
  <c r="C31" i="56" s="1"/>
  <c r="E31" i="56" s="1"/>
  <c r="AQ36" i="80"/>
  <c r="C28" i="56" s="1"/>
  <c r="E28" i="56" s="1"/>
  <c r="AP36" i="80"/>
  <c r="C27" i="56" s="1"/>
  <c r="E27" i="56" s="1"/>
  <c r="F27" i="56" s="1"/>
  <c r="G27" i="56" s="1"/>
  <c r="AO36" i="80"/>
  <c r="C25" i="56" s="1"/>
  <c r="E25" i="56" s="1"/>
  <c r="AI36" i="80"/>
  <c r="AH36" i="80"/>
  <c r="AG36" i="80"/>
  <c r="AF36" i="80"/>
  <c r="AE36" i="80"/>
  <c r="AD36" i="80"/>
  <c r="AC36" i="80"/>
  <c r="AB36" i="80"/>
  <c r="AA36" i="80"/>
  <c r="C21" i="56"/>
  <c r="E21" i="56" s="1"/>
  <c r="C20" i="56"/>
  <c r="E20" i="56" s="1"/>
  <c r="C19" i="56"/>
  <c r="E19" i="56" s="1"/>
  <c r="C18" i="56"/>
  <c r="E18" i="56" s="1"/>
  <c r="C17" i="56"/>
  <c r="E17" i="56" s="1"/>
  <c r="F17" i="56" s="1"/>
  <c r="C16" i="56"/>
  <c r="E16" i="56" s="1"/>
  <c r="F16" i="56" s="1"/>
  <c r="C7" i="56"/>
  <c r="BK35" i="80"/>
  <c r="BJ35" i="80"/>
  <c r="BI35" i="80"/>
  <c r="BH35" i="80"/>
  <c r="BC35" i="80"/>
  <c r="BB35" i="80"/>
  <c r="AY35" i="80"/>
  <c r="AU35" i="80" s="1"/>
  <c r="BK32" i="80"/>
  <c r="BJ32" i="80"/>
  <c r="BI32" i="80"/>
  <c r="BH32" i="80"/>
  <c r="BE32" i="80"/>
  <c r="BD32" i="80"/>
  <c r="BC32" i="80"/>
  <c r="AY32" i="80"/>
  <c r="AU32" i="80" s="1"/>
  <c r="BK31" i="80"/>
  <c r="BJ31" i="80"/>
  <c r="BI31" i="80"/>
  <c r="BH31" i="80"/>
  <c r="BE31" i="80"/>
  <c r="BD31" i="80"/>
  <c r="BC31" i="80"/>
  <c r="AY31" i="80"/>
  <c r="A6" i="80"/>
  <c r="A7" i="80" s="1"/>
  <c r="A8" i="80" s="1"/>
  <c r="A9" i="80" s="1"/>
  <c r="A10" i="80" s="1"/>
  <c r="A11" i="80" s="1"/>
  <c r="A12" i="80" s="1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B47" i="56"/>
  <c r="B51" i="12" s="1"/>
  <c r="B46" i="56"/>
  <c r="B50" i="12" s="1"/>
  <c r="B45" i="56"/>
  <c r="B62" i="12" s="1"/>
  <c r="B44" i="56"/>
  <c r="B61" i="12" s="1"/>
  <c r="B43" i="56"/>
  <c r="B60" i="12" s="1"/>
  <c r="B42" i="56"/>
  <c r="B59" i="12" s="1"/>
  <c r="B41" i="56"/>
  <c r="B58" i="12" s="1"/>
  <c r="R39" i="56"/>
  <c r="K70" i="12" s="1"/>
  <c r="P39" i="56"/>
  <c r="B70" i="12" s="1"/>
  <c r="B40" i="56"/>
  <c r="B57" i="12" s="1"/>
  <c r="R38" i="56"/>
  <c r="K69" i="12" s="1"/>
  <c r="P38" i="56"/>
  <c r="B69" i="12" s="1"/>
  <c r="B39" i="56"/>
  <c r="B56" i="12" s="1"/>
  <c r="R37" i="56"/>
  <c r="K68" i="12" s="1"/>
  <c r="P37" i="56"/>
  <c r="B68" i="12" s="1"/>
  <c r="B38" i="56"/>
  <c r="B55" i="12" s="1"/>
  <c r="R36" i="56"/>
  <c r="K67" i="12" s="1"/>
  <c r="P36" i="56"/>
  <c r="B67" i="12" s="1"/>
  <c r="B37" i="56"/>
  <c r="B54" i="12" s="1"/>
  <c r="R35" i="56"/>
  <c r="K66" i="12" s="1"/>
  <c r="P35" i="56"/>
  <c r="B66" i="12" s="1"/>
  <c r="B36" i="56"/>
  <c r="B53" i="12" s="1"/>
  <c r="R34" i="56"/>
  <c r="K65" i="12" s="1"/>
  <c r="P34" i="56"/>
  <c r="B65" i="12" s="1"/>
  <c r="I34" i="56"/>
  <c r="E35" i="56"/>
  <c r="F35" i="56" s="1"/>
  <c r="R33" i="56"/>
  <c r="K64" i="12" s="1"/>
  <c r="P33" i="56"/>
  <c r="B64" i="12" s="1"/>
  <c r="I33" i="56"/>
  <c r="B34" i="56"/>
  <c r="B47" i="12" s="1"/>
  <c r="R32" i="56"/>
  <c r="K63" i="12" s="1"/>
  <c r="P32" i="56"/>
  <c r="B63" i="12" s="1"/>
  <c r="I32" i="56"/>
  <c r="B33" i="56"/>
  <c r="P31" i="56"/>
  <c r="I31" i="56"/>
  <c r="B32" i="56"/>
  <c r="B45" i="12" s="1"/>
  <c r="P30" i="56"/>
  <c r="I30" i="56"/>
  <c r="B31" i="56"/>
  <c r="P29" i="56"/>
  <c r="B30" i="56"/>
  <c r="P28" i="56"/>
  <c r="B29" i="56"/>
  <c r="B41" i="12" s="1"/>
  <c r="P27" i="56"/>
  <c r="B28" i="56"/>
  <c r="P25" i="56"/>
  <c r="B27" i="56"/>
  <c r="P24" i="56"/>
  <c r="B25" i="56"/>
  <c r="B36" i="12" s="1"/>
  <c r="P23" i="56"/>
  <c r="B24" i="56"/>
  <c r="P22" i="56"/>
  <c r="B23" i="56"/>
  <c r="P21" i="56"/>
  <c r="B22" i="56"/>
  <c r="P20" i="56"/>
  <c r="B21" i="56"/>
  <c r="P19" i="56"/>
  <c r="I19" i="56"/>
  <c r="B20" i="56"/>
  <c r="P18" i="56"/>
  <c r="B19" i="56"/>
  <c r="P17" i="56"/>
  <c r="B18" i="56"/>
  <c r="P16" i="56"/>
  <c r="B17" i="56"/>
  <c r="P15" i="56"/>
  <c r="B16" i="56"/>
  <c r="P14" i="56"/>
  <c r="L14" i="56"/>
  <c r="M14" i="56" s="1"/>
  <c r="N14" i="56" s="1"/>
  <c r="B15" i="56"/>
  <c r="P13" i="56"/>
  <c r="B14" i="56"/>
  <c r="P12" i="56"/>
  <c r="B13" i="56"/>
  <c r="P11" i="56"/>
  <c r="B12" i="56"/>
  <c r="P10" i="56"/>
  <c r="B11" i="56"/>
  <c r="P9" i="56"/>
  <c r="B10" i="56"/>
  <c r="P8" i="56"/>
  <c r="B9" i="56"/>
  <c r="P7" i="56"/>
  <c r="B8" i="56"/>
  <c r="P6" i="56"/>
  <c r="B7" i="56"/>
  <c r="Q5" i="56"/>
  <c r="S5" i="56" s="1"/>
  <c r="T5" i="56" s="1"/>
  <c r="U5" i="56" s="1"/>
  <c r="P5" i="56"/>
  <c r="H80" i="12"/>
  <c r="B80" i="12"/>
  <c r="H78" i="12"/>
  <c r="B78" i="12"/>
  <c r="H77" i="12"/>
  <c r="B77" i="12"/>
  <c r="H75" i="12"/>
  <c r="H73" i="12"/>
  <c r="H71" i="12"/>
  <c r="B71" i="12"/>
  <c r="K62" i="12"/>
  <c r="K61" i="12"/>
  <c r="K60" i="12"/>
  <c r="K59" i="12"/>
  <c r="K58" i="12"/>
  <c r="K57" i="12"/>
  <c r="K56" i="12"/>
  <c r="K55" i="12"/>
  <c r="K54" i="12"/>
  <c r="K53" i="12"/>
  <c r="K51" i="12"/>
  <c r="K50" i="12"/>
  <c r="H49" i="12"/>
  <c r="O49" i="12" s="1"/>
  <c r="B49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B254" i="111" l="1"/>
  <c r="B255" i="111" s="1"/>
  <c r="B256" i="111" s="1"/>
  <c r="B257" i="111" s="1"/>
  <c r="B258" i="111" s="1"/>
  <c r="B259" i="111" s="1"/>
  <c r="B260" i="111" s="1"/>
  <c r="B261" i="111" s="1"/>
  <c r="B262" i="111" s="1"/>
  <c r="B263" i="111" s="1"/>
  <c r="B264" i="111" s="1"/>
  <c r="B265" i="111" s="1"/>
  <c r="B266" i="111" s="1"/>
  <c r="B267" i="111" s="1"/>
  <c r="B268" i="111" s="1"/>
  <c r="B269" i="111" s="1"/>
  <c r="B270" i="111" s="1"/>
  <c r="B271" i="111" s="1"/>
  <c r="B272" i="111" s="1"/>
  <c r="B273" i="111" s="1"/>
  <c r="B274" i="111" s="1"/>
  <c r="B275" i="111" s="1"/>
  <c r="B276" i="111" s="1"/>
  <c r="B277" i="111" s="1"/>
  <c r="A193" i="100"/>
  <c r="A194" i="100" s="1"/>
  <c r="A195" i="100" s="1"/>
  <c r="A196" i="100" s="1"/>
  <c r="A197" i="100" s="1"/>
  <c r="A198" i="100" s="1"/>
  <c r="A199" i="100" s="1"/>
  <c r="A200" i="100" s="1"/>
  <c r="A201" i="100" s="1"/>
  <c r="A202" i="100" s="1"/>
  <c r="A203" i="100" s="1"/>
  <c r="A204" i="100" s="1"/>
  <c r="A205" i="100" s="1"/>
  <c r="A206" i="100" s="1"/>
  <c r="A207" i="100" s="1"/>
  <c r="A208" i="100" s="1"/>
  <c r="A209" i="100" s="1"/>
  <c r="A210" i="100" s="1"/>
  <c r="A211" i="100" s="1"/>
  <c r="A212" i="100" s="1"/>
  <c r="A213" i="100" s="1"/>
  <c r="A214" i="100" s="1"/>
  <c r="A215" i="100" s="1"/>
  <c r="A216" i="100" s="1"/>
  <c r="A217" i="100" s="1"/>
  <c r="A218" i="100" s="1"/>
  <c r="A219" i="100" s="1"/>
  <c r="A220" i="100" s="1"/>
  <c r="A221" i="100" s="1"/>
  <c r="A222" i="100" s="1"/>
  <c r="A223" i="100" s="1"/>
  <c r="A224" i="100" s="1"/>
  <c r="A225" i="100" s="1"/>
  <c r="A226" i="100" s="1"/>
  <c r="A227" i="100" s="1"/>
  <c r="A228" i="100" s="1"/>
  <c r="A229" i="100" s="1"/>
  <c r="A230" i="100" s="1"/>
  <c r="A231" i="100" s="1"/>
  <c r="A232" i="100" s="1"/>
  <c r="A233" i="100" s="1"/>
  <c r="A234" i="100" s="1"/>
  <c r="A235" i="100" s="1"/>
  <c r="A236" i="100" s="1"/>
  <c r="A237" i="100" s="1"/>
  <c r="A238" i="100" s="1"/>
  <c r="A239" i="100" s="1"/>
  <c r="A240" i="100" s="1"/>
  <c r="A241" i="100" s="1"/>
  <c r="A242" i="100" s="1"/>
  <c r="A243" i="100" s="1"/>
  <c r="A244" i="100" s="1"/>
  <c r="A245" i="100" s="1"/>
  <c r="A246" i="100" s="1"/>
  <c r="A247" i="100" s="1"/>
  <c r="A248" i="100" s="1"/>
  <c r="A249" i="100" s="1"/>
  <c r="A250" i="100" s="1"/>
  <c r="A251" i="100" s="1"/>
  <c r="A252" i="100" s="1"/>
  <c r="A253" i="100" s="1"/>
  <c r="E7" i="56"/>
  <c r="F7" i="56" s="1"/>
  <c r="G7" i="56" s="1"/>
  <c r="K9" i="112"/>
  <c r="J9" i="112"/>
  <c r="L9" i="112"/>
  <c r="M8" i="112"/>
  <c r="M8" i="114"/>
  <c r="L11" i="114" s="1"/>
  <c r="F35" i="114" s="1"/>
  <c r="J9" i="114"/>
  <c r="C35" i="114" s="1"/>
  <c r="K9" i="114"/>
  <c r="L9" i="114"/>
  <c r="B278" i="111"/>
  <c r="B279" i="111" s="1"/>
  <c r="B280" i="111" s="1"/>
  <c r="B281" i="111" s="1"/>
  <c r="B301" i="111" s="1"/>
  <c r="B302" i="111" s="1"/>
  <c r="B303" i="111" s="1"/>
  <c r="B304" i="111" s="1"/>
  <c r="B305" i="111" s="1"/>
  <c r="B306" i="111" s="1"/>
  <c r="A92" i="82"/>
  <c r="A93" i="82" s="1"/>
  <c r="A94" i="82" s="1"/>
  <c r="A95" i="82" s="1"/>
  <c r="A96" i="82" s="1"/>
  <c r="A97" i="82" s="1"/>
  <c r="A98" i="82" s="1"/>
  <c r="A99" i="82" s="1"/>
  <c r="A100" i="82" s="1"/>
  <c r="A101" i="82" s="1"/>
  <c r="A102" i="82" s="1"/>
  <c r="A103" i="82" s="1"/>
  <c r="A104" i="82" s="1"/>
  <c r="A105" i="82" s="1"/>
  <c r="A106" i="82" s="1"/>
  <c r="A107" i="82" s="1"/>
  <c r="A108" i="82" s="1"/>
  <c r="A109" i="82" s="1"/>
  <c r="A110" i="82" s="1"/>
  <c r="A111" i="82" s="1"/>
  <c r="A112" i="82" s="1"/>
  <c r="A113" i="82" s="1"/>
  <c r="A114" i="82" s="1"/>
  <c r="A115" i="82" s="1"/>
  <c r="A116" i="82" s="1"/>
  <c r="A117" i="82" s="1"/>
  <c r="A118" i="82" s="1"/>
  <c r="A119" i="82" s="1"/>
  <c r="A120" i="82" s="1"/>
  <c r="A121" i="82" s="1"/>
  <c r="A122" i="82" s="1"/>
  <c r="A123" i="82" s="1"/>
  <c r="A124" i="82" s="1"/>
  <c r="A125" i="82" s="1"/>
  <c r="A126" i="82" s="1"/>
  <c r="A127" i="82" s="1"/>
  <c r="A128" i="82" s="1"/>
  <c r="A129" i="82" s="1"/>
  <c r="A130" i="82" s="1"/>
  <c r="A131" i="82" s="1"/>
  <c r="A132" i="82" s="1"/>
  <c r="A133" i="82" s="1"/>
  <c r="A134" i="82" s="1"/>
  <c r="A135" i="82" s="1"/>
  <c r="A136" i="82" s="1"/>
  <c r="A137" i="82" s="1"/>
  <c r="A138" i="82" s="1"/>
  <c r="A139" i="82" s="1"/>
  <c r="A140" i="82" s="1"/>
  <c r="A141" i="82" s="1"/>
  <c r="A142" i="82" s="1"/>
  <c r="A143" i="82" s="1"/>
  <c r="A144" i="82" s="1"/>
  <c r="A145" i="82" s="1"/>
  <c r="A146" i="82" s="1"/>
  <c r="A147" i="82" s="1"/>
  <c r="A148" i="82" s="1"/>
  <c r="A149" i="82" s="1"/>
  <c r="A150" i="82" s="1"/>
  <c r="A151" i="82" s="1"/>
  <c r="A152" i="82" s="1"/>
  <c r="A153" i="82" s="1"/>
  <c r="A154" i="82" s="1"/>
  <c r="A155" i="82" s="1"/>
  <c r="A156" i="82" s="1"/>
  <c r="A157" i="82" s="1"/>
  <c r="A158" i="82" s="1"/>
  <c r="A159" i="82" s="1"/>
  <c r="A160" i="82" s="1"/>
  <c r="A161" i="82" s="1"/>
  <c r="A162" i="82" s="1"/>
  <c r="A163" i="82" s="1"/>
  <c r="A164" i="82" s="1"/>
  <c r="A165" i="82" s="1"/>
  <c r="A166" i="82" s="1"/>
  <c r="A167" i="82" s="1"/>
  <c r="A168" i="82" s="1"/>
  <c r="A169" i="82" s="1"/>
  <c r="A170" i="82" s="1"/>
  <c r="A171" i="82" s="1"/>
  <c r="A172" i="82" s="1"/>
  <c r="A173" i="82" s="1"/>
  <c r="A174" i="82" s="1"/>
  <c r="A175" i="82" s="1"/>
  <c r="A176" i="82" s="1"/>
  <c r="A177" i="82" s="1"/>
  <c r="A178" i="82" s="1"/>
  <c r="A179" i="82" s="1"/>
  <c r="A180" i="82" s="1"/>
  <c r="A181" i="82" s="1"/>
  <c r="A182" i="82" s="1"/>
  <c r="A183" i="82" s="1"/>
  <c r="A184" i="82" s="1"/>
  <c r="A185" i="82" s="1"/>
  <c r="A186" i="82" s="1"/>
  <c r="A187" i="82" s="1"/>
  <c r="A188" i="82" s="1"/>
  <c r="A189" i="82" s="1"/>
  <c r="A190" i="82" s="1"/>
  <c r="A191" i="82" s="1"/>
  <c r="A192" i="82" s="1"/>
  <c r="A193" i="82" s="1"/>
  <c r="A194" i="82" s="1"/>
  <c r="A195" i="82" s="1"/>
  <c r="A196" i="82" s="1"/>
  <c r="A197" i="82" s="1"/>
  <c r="A198" i="82" s="1"/>
  <c r="A199" i="82" s="1"/>
  <c r="A200" i="82" s="1"/>
  <c r="A201" i="82" s="1"/>
  <c r="A202" i="82" s="1"/>
  <c r="A203" i="82" s="1"/>
  <c r="A204" i="82" s="1"/>
  <c r="A205" i="82" s="1"/>
  <c r="A206" i="82" s="1"/>
  <c r="A207" i="82" s="1"/>
  <c r="A208" i="82" s="1"/>
  <c r="A209" i="82" s="1"/>
  <c r="A210" i="82" s="1"/>
  <c r="A211" i="82" s="1"/>
  <c r="A212" i="82" s="1"/>
  <c r="A213" i="82" s="1"/>
  <c r="A214" i="82" s="1"/>
  <c r="A215" i="82" s="1"/>
  <c r="A216" i="82" s="1"/>
  <c r="A217" i="82" s="1"/>
  <c r="A218" i="82" s="1"/>
  <c r="A219" i="82" s="1"/>
  <c r="A220" i="82" s="1"/>
  <c r="A221" i="82" s="1"/>
  <c r="A222" i="82" s="1"/>
  <c r="A223" i="82" s="1"/>
  <c r="A224" i="82" s="1"/>
  <c r="A225" i="82" s="1"/>
  <c r="A226" i="82" s="1"/>
  <c r="A227" i="82" s="1"/>
  <c r="A228" i="82" s="1"/>
  <c r="A229" i="82" s="1"/>
  <c r="A230" i="82" s="1"/>
  <c r="A231" i="82" s="1"/>
  <c r="A232" i="82" s="1"/>
  <c r="A233" i="82" s="1"/>
  <c r="A234" i="82" s="1"/>
  <c r="A235" i="82" s="1"/>
  <c r="A236" i="82" s="1"/>
  <c r="A237" i="82" s="1"/>
  <c r="A238" i="82" s="1"/>
  <c r="A239" i="82" s="1"/>
  <c r="A240" i="82" s="1"/>
  <c r="A241" i="82" s="1"/>
  <c r="A242" i="82" s="1"/>
  <c r="A243" i="82" s="1"/>
  <c r="A244" i="82" s="1"/>
  <c r="A245" i="82" s="1"/>
  <c r="A246" i="82" s="1"/>
  <c r="AT32" i="105"/>
  <c r="L8" i="56"/>
  <c r="M8" i="56" s="1"/>
  <c r="N8" i="56" s="1"/>
  <c r="L308" i="111"/>
  <c r="L9" i="56"/>
  <c r="M9" i="56" s="1"/>
  <c r="N9" i="56" s="1"/>
  <c r="N4" i="109"/>
  <c r="L35" i="109"/>
  <c r="O51" i="12"/>
  <c r="T51" i="12" s="1"/>
  <c r="Y51" i="12" s="1"/>
  <c r="N10" i="56"/>
  <c r="AL36" i="80"/>
  <c r="C22" i="56" s="1"/>
  <c r="E22" i="56" s="1"/>
  <c r="O71" i="12"/>
  <c r="T71" i="12" s="1"/>
  <c r="L7" i="56"/>
  <c r="M7" i="56" s="1"/>
  <c r="N7" i="56" s="1"/>
  <c r="L21" i="56"/>
  <c r="M21" i="56" s="1"/>
  <c r="N21" i="56" s="1"/>
  <c r="L20" i="56"/>
  <c r="M20" i="56" s="1"/>
  <c r="N20" i="56" s="1"/>
  <c r="L6" i="56"/>
  <c r="M6" i="56" s="1"/>
  <c r="N6" i="56" s="1"/>
  <c r="L12" i="56"/>
  <c r="M12" i="56" s="1"/>
  <c r="AN36" i="80"/>
  <c r="C24" i="56" s="1"/>
  <c r="E24" i="56" s="1"/>
  <c r="AS36" i="80"/>
  <c r="C29" i="56" s="1"/>
  <c r="E29" i="56" s="1"/>
  <c r="AT16" i="105"/>
  <c r="L11" i="56"/>
  <c r="M11" i="56" s="1"/>
  <c r="N11" i="56" s="1"/>
  <c r="AC25" i="99"/>
  <c r="D51" i="56" s="1"/>
  <c r="C15" i="56"/>
  <c r="E15" i="56" s="1"/>
  <c r="F15" i="56" s="1"/>
  <c r="F28" i="56"/>
  <c r="G28" i="56" s="1"/>
  <c r="BB36" i="80"/>
  <c r="C36" i="56" s="1"/>
  <c r="BC36" i="80"/>
  <c r="C37" i="56" s="1"/>
  <c r="E37" i="56" s="1"/>
  <c r="C12" i="56"/>
  <c r="E12" i="56" s="1"/>
  <c r="F12" i="56" s="1"/>
  <c r="G12" i="56" s="1"/>
  <c r="C14" i="56"/>
  <c r="E14" i="56" s="1"/>
  <c r="F14" i="56" s="1"/>
  <c r="G14" i="56" s="1"/>
  <c r="C9" i="56"/>
  <c r="E9" i="56" s="1"/>
  <c r="F9" i="56" s="1"/>
  <c r="G9" i="56" s="1"/>
  <c r="C10" i="56"/>
  <c r="E10" i="56" s="1"/>
  <c r="C11" i="56"/>
  <c r="E11" i="56" s="1"/>
  <c r="F11" i="56" s="1"/>
  <c r="G11" i="56" s="1"/>
  <c r="AY36" i="80"/>
  <c r="C34" i="56" s="1"/>
  <c r="H47" i="12" s="1"/>
  <c r="O47" i="12" s="1"/>
  <c r="C13" i="56"/>
  <c r="E13" i="56" s="1"/>
  <c r="F13" i="56" s="1"/>
  <c r="G13" i="56" s="1"/>
  <c r="C8" i="56"/>
  <c r="E8" i="56" s="1"/>
  <c r="F8" i="56" s="1"/>
  <c r="G8" i="56" s="1"/>
  <c r="AT24" i="105"/>
  <c r="AT14" i="105"/>
  <c r="AT22" i="105"/>
  <c r="AT12" i="105"/>
  <c r="L16" i="56"/>
  <c r="L17" i="56"/>
  <c r="T49" i="12"/>
  <c r="Y49" i="12" s="1"/>
  <c r="F19" i="56"/>
  <c r="G19" i="56" s="1"/>
  <c r="AU31" i="80"/>
  <c r="S13" i="109"/>
  <c r="BJ36" i="80"/>
  <c r="C44" i="56" s="1"/>
  <c r="F46" i="56"/>
  <c r="G46" i="56" s="1"/>
  <c r="AW36" i="80"/>
  <c r="C32" i="56" s="1"/>
  <c r="E32" i="56" s="1"/>
  <c r="L15" i="56"/>
  <c r="F31" i="56"/>
  <c r="G31" i="56" s="1"/>
  <c r="F20" i="56"/>
  <c r="G20" i="56" s="1"/>
  <c r="N5" i="56"/>
  <c r="F18" i="56"/>
  <c r="G18" i="56" s="1"/>
  <c r="G35" i="56"/>
  <c r="BK36" i="80"/>
  <c r="C45" i="56" s="1"/>
  <c r="H57" i="12"/>
  <c r="O57" i="12" s="1"/>
  <c r="E40" i="56"/>
  <c r="N13" i="56"/>
  <c r="AJ36" i="80"/>
  <c r="BH36" i="80"/>
  <c r="C42" i="56" s="1"/>
  <c r="AX36" i="80"/>
  <c r="C33" i="56" s="1"/>
  <c r="E33" i="56" s="1"/>
  <c r="G17" i="56"/>
  <c r="L22" i="56"/>
  <c r="AT7" i="105"/>
  <c r="AT11" i="105"/>
  <c r="AM36" i="80"/>
  <c r="C23" i="56" s="1"/>
  <c r="E23" i="56" s="1"/>
  <c r="F21" i="56"/>
  <c r="G21" i="56" s="1"/>
  <c r="H38" i="12"/>
  <c r="O38" i="12" s="1"/>
  <c r="T38" i="12" s="1"/>
  <c r="E50" i="56"/>
  <c r="F25" i="56"/>
  <c r="G25" i="56" s="1"/>
  <c r="H307" i="111"/>
  <c r="F307" i="111" s="1"/>
  <c r="E41" i="56"/>
  <c r="H58" i="12"/>
  <c r="O58" i="12" s="1"/>
  <c r="H50" i="12"/>
  <c r="O50" i="12" s="1"/>
  <c r="AT18" i="105"/>
  <c r="BD36" i="80"/>
  <c r="C38" i="56" s="1"/>
  <c r="S9" i="109"/>
  <c r="H35" i="109"/>
  <c r="N9" i="109"/>
  <c r="K53" i="110"/>
  <c r="D53" i="56" s="1"/>
  <c r="G16" i="56"/>
  <c r="BE36" i="80"/>
  <c r="C39" i="56" s="1"/>
  <c r="BI36" i="80"/>
  <c r="C43" i="56" s="1"/>
  <c r="AT29" i="105"/>
  <c r="E47" i="56"/>
  <c r="AT19" i="105"/>
  <c r="AT27" i="105"/>
  <c r="J33" i="56"/>
  <c r="L33" i="56" s="1"/>
  <c r="AT26" i="105"/>
  <c r="M9" i="111"/>
  <c r="M307" i="111" s="1"/>
  <c r="J32" i="56"/>
  <c r="L32" i="56" s="1"/>
  <c r="AT13" i="105"/>
  <c r="AT17" i="105"/>
  <c r="AT21" i="105"/>
  <c r="Q6" i="56"/>
  <c r="AT30" i="105"/>
  <c r="AT8" i="105"/>
  <c r="AT10" i="105"/>
  <c r="AT9" i="105"/>
  <c r="Q7" i="56"/>
  <c r="S7" i="56" s="1"/>
  <c r="T7" i="56" s="1"/>
  <c r="U7" i="56" s="1"/>
  <c r="H32" i="12"/>
  <c r="O32" i="12" s="1"/>
  <c r="T32" i="12" s="1"/>
  <c r="Y32" i="12" s="1"/>
  <c r="AN36" i="105"/>
  <c r="Q23" i="56" s="1"/>
  <c r="H31" i="12"/>
  <c r="O31" i="12" s="1"/>
  <c r="T31" i="12" s="1"/>
  <c r="Y31" i="12" s="1"/>
  <c r="AM36" i="105"/>
  <c r="Q21" i="56" s="1"/>
  <c r="AT6" i="105"/>
  <c r="AV36" i="105"/>
  <c r="Q30" i="56" s="1"/>
  <c r="S30" i="56" s="1"/>
  <c r="T30" i="56" s="1"/>
  <c r="U30" i="56" s="1"/>
  <c r="Q9" i="56"/>
  <c r="AT5" i="105"/>
  <c r="BJ36" i="105"/>
  <c r="Q39" i="56" s="1"/>
  <c r="H70" i="12" s="1"/>
  <c r="O70" i="12" s="1"/>
  <c r="AW36" i="105"/>
  <c r="Q31" i="56" s="1"/>
  <c r="H30" i="12"/>
  <c r="O30" i="12" s="1"/>
  <c r="T30" i="12" s="1"/>
  <c r="Y30" i="12" s="1"/>
  <c r="S19" i="56"/>
  <c r="T19" i="56" s="1"/>
  <c r="U19" i="56" s="1"/>
  <c r="H33" i="12"/>
  <c r="O33" i="12" s="1"/>
  <c r="T33" i="12" s="1"/>
  <c r="Y33" i="12" s="1"/>
  <c r="BG36" i="105"/>
  <c r="Q36" i="56" s="1"/>
  <c r="H67" i="12" s="1"/>
  <c r="O67" i="12" s="1"/>
  <c r="T67" i="12" s="1"/>
  <c r="Y67" i="12" s="1"/>
  <c r="BH36" i="105"/>
  <c r="Q37" i="56" s="1"/>
  <c r="S37" i="56" s="1"/>
  <c r="T37" i="56" s="1"/>
  <c r="U37" i="56" s="1"/>
  <c r="BI36" i="105"/>
  <c r="Q38" i="56" s="1"/>
  <c r="S38" i="56" s="1"/>
  <c r="T38" i="56" s="1"/>
  <c r="U38" i="56" s="1"/>
  <c r="BA36" i="105"/>
  <c r="Q32" i="56" s="1"/>
  <c r="S32" i="56" s="1"/>
  <c r="Q11" i="56"/>
  <c r="S11" i="56" s="1"/>
  <c r="T11" i="56" s="1"/>
  <c r="BB36" i="105"/>
  <c r="Q33" i="56" s="1"/>
  <c r="S33" i="56" s="1"/>
  <c r="T33" i="56" s="1"/>
  <c r="U33" i="56" s="1"/>
  <c r="BC36" i="105"/>
  <c r="Q34" i="56" s="1"/>
  <c r="S34" i="56" s="1"/>
  <c r="T34" i="56" s="1"/>
  <c r="U34" i="56" s="1"/>
  <c r="AR36" i="105"/>
  <c r="Q27" i="56" s="1"/>
  <c r="S27" i="56" s="1"/>
  <c r="T27" i="56" s="1"/>
  <c r="U27" i="56" s="1"/>
  <c r="Q8" i="56"/>
  <c r="Q10" i="56"/>
  <c r="Q12" i="56"/>
  <c r="Q13" i="56"/>
  <c r="S25" i="56"/>
  <c r="T25" i="56" s="1"/>
  <c r="U25" i="56" s="1"/>
  <c r="H39" i="12"/>
  <c r="O39" i="12" s="1"/>
  <c r="T39" i="12" s="1"/>
  <c r="S22" i="56"/>
  <c r="T22" i="56" s="1"/>
  <c r="U22" i="56" s="1"/>
  <c r="H36" i="12"/>
  <c r="O36" i="12" s="1"/>
  <c r="T36" i="12" s="1"/>
  <c r="BD36" i="105"/>
  <c r="Q35" i="56" s="1"/>
  <c r="H66" i="12" s="1"/>
  <c r="O66" i="12" s="1"/>
  <c r="AL36" i="105"/>
  <c r="Q20" i="56" s="1"/>
  <c r="S20" i="56" s="1"/>
  <c r="AT25" i="105"/>
  <c r="AT15" i="105"/>
  <c r="AT20" i="105"/>
  <c r="H19" i="12"/>
  <c r="O19" i="12" s="1"/>
  <c r="T19" i="12" s="1"/>
  <c r="Y19" i="12" s="1"/>
  <c r="AJ36" i="105"/>
  <c r="AT23" i="105"/>
  <c r="AT31" i="105"/>
  <c r="T29" i="56"/>
  <c r="U29" i="56" s="1"/>
  <c r="T15" i="56"/>
  <c r="U15" i="56" s="1"/>
  <c r="T18" i="56"/>
  <c r="U18" i="56" s="1"/>
  <c r="T17" i="56"/>
  <c r="U17" i="56" s="1"/>
  <c r="T16" i="56"/>
  <c r="U16" i="56" s="1"/>
  <c r="T14" i="56"/>
  <c r="U14" i="56" s="1"/>
  <c r="S24" i="56"/>
  <c r="T24" i="56" s="1"/>
  <c r="U24" i="56" s="1"/>
  <c r="E49" i="56"/>
  <c r="F49" i="56" s="1"/>
  <c r="G49" i="56" s="1"/>
  <c r="K78" i="12"/>
  <c r="O78" i="12" s="1"/>
  <c r="T78" i="12" s="1"/>
  <c r="Y78" i="12" s="1"/>
  <c r="H249" i="82"/>
  <c r="D48" i="56"/>
  <c r="S365" i="100"/>
  <c r="D54" i="56" s="1"/>
  <c r="A254" i="100" l="1"/>
  <c r="A255" i="100" s="1"/>
  <c r="A256" i="100" s="1"/>
  <c r="A257" i="100" s="1"/>
  <c r="A258" i="100" s="1"/>
  <c r="A259" i="100" s="1"/>
  <c r="A260" i="100" s="1"/>
  <c r="A261" i="100" s="1"/>
  <c r="A262" i="100" s="1"/>
  <c r="A263" i="100" s="1"/>
  <c r="A264" i="100" s="1"/>
  <c r="A265" i="100" s="1"/>
  <c r="A266" i="100" s="1"/>
  <c r="A267" i="100" s="1"/>
  <c r="A268" i="100" s="1"/>
  <c r="A269" i="100" s="1"/>
  <c r="A270" i="100" s="1"/>
  <c r="A271" i="100" s="1"/>
  <c r="A272" i="100" s="1"/>
  <c r="A273" i="100" s="1"/>
  <c r="A274" i="100" s="1"/>
  <c r="A275" i="100" s="1"/>
  <c r="D35" i="114"/>
  <c r="E35" i="114"/>
  <c r="M9" i="112"/>
  <c r="M9" i="114"/>
  <c r="S35" i="109"/>
  <c r="J34" i="56" s="1"/>
  <c r="L34" i="56" s="1"/>
  <c r="M34" i="56" s="1"/>
  <c r="N34" i="56" s="1"/>
  <c r="F6" i="114"/>
  <c r="F34" i="114"/>
  <c r="F33" i="114"/>
  <c r="F32" i="114"/>
  <c r="K75" i="12"/>
  <c r="O75" i="12" s="1"/>
  <c r="L11" i="112"/>
  <c r="F18" i="112" s="1"/>
  <c r="H53" i="12"/>
  <c r="O53" i="12" s="1"/>
  <c r="T53" i="12" s="1"/>
  <c r="Y53" i="12" s="1"/>
  <c r="O35" i="109"/>
  <c r="J31" i="56" s="1"/>
  <c r="H48" i="12" s="1"/>
  <c r="O48" i="12" s="1"/>
  <c r="F14" i="114"/>
  <c r="N12" i="56"/>
  <c r="Y71" i="12"/>
  <c r="F21" i="114"/>
  <c r="C21" i="114" s="1"/>
  <c r="F12" i="114"/>
  <c r="F28" i="114"/>
  <c r="F26" i="114"/>
  <c r="F13" i="114"/>
  <c r="F25" i="114"/>
  <c r="H29" i="12"/>
  <c r="O29" i="12" s="1"/>
  <c r="T29" i="12" s="1"/>
  <c r="Y29" i="12" s="1"/>
  <c r="H28" i="12"/>
  <c r="O28" i="12" s="1"/>
  <c r="T28" i="12" s="1"/>
  <c r="Y28" i="12" s="1"/>
  <c r="G15" i="56"/>
  <c r="H27" i="12"/>
  <c r="O27" i="12" s="1"/>
  <c r="T27" i="12" s="1"/>
  <c r="Y27" i="12" s="1"/>
  <c r="E36" i="56"/>
  <c r="F36" i="56" s="1"/>
  <c r="G36" i="56" s="1"/>
  <c r="F11" i="114"/>
  <c r="F23" i="114"/>
  <c r="L19" i="56"/>
  <c r="M19" i="56" s="1"/>
  <c r="N19" i="56" s="1"/>
  <c r="F8" i="114"/>
  <c r="F19" i="114"/>
  <c r="H59" i="12"/>
  <c r="O59" i="12" s="1"/>
  <c r="F18" i="114"/>
  <c r="F7" i="114"/>
  <c r="F30" i="114"/>
  <c r="H54" i="12"/>
  <c r="O54" i="12" s="1"/>
  <c r="T54" i="12" s="1"/>
  <c r="Y54" i="12" s="1"/>
  <c r="H20" i="12"/>
  <c r="O20" i="12" s="1"/>
  <c r="T20" i="12" s="1"/>
  <c r="Y20" i="12" s="1"/>
  <c r="H24" i="12"/>
  <c r="O24" i="12" s="1"/>
  <c r="T24" i="12" s="1"/>
  <c r="Y24" i="12" s="1"/>
  <c r="H35" i="12"/>
  <c r="O35" i="12" s="1"/>
  <c r="T35" i="12" s="1"/>
  <c r="Y35" i="12" s="1"/>
  <c r="H26" i="12"/>
  <c r="O26" i="12" s="1"/>
  <c r="T26" i="12" s="1"/>
  <c r="Y26" i="12" s="1"/>
  <c r="H22" i="12"/>
  <c r="O22" i="12" s="1"/>
  <c r="T22" i="12" s="1"/>
  <c r="H37" i="12"/>
  <c r="O37" i="12" s="1"/>
  <c r="T37" i="12" s="1"/>
  <c r="Y37" i="12" s="1"/>
  <c r="H23" i="12"/>
  <c r="O23" i="12" s="1"/>
  <c r="T23" i="12" s="1"/>
  <c r="Y23" i="12" s="1"/>
  <c r="F10" i="56"/>
  <c r="G10" i="56" s="1"/>
  <c r="E34" i="56"/>
  <c r="F34" i="56" s="1"/>
  <c r="AU36" i="80"/>
  <c r="C30" i="56" s="1"/>
  <c r="E30" i="56" s="1"/>
  <c r="F30" i="56" s="1"/>
  <c r="G30" i="56" s="1"/>
  <c r="F15" i="114"/>
  <c r="F9" i="114"/>
  <c r="F16" i="114"/>
  <c r="F10" i="114"/>
  <c r="F22" i="114"/>
  <c r="F27" i="114"/>
  <c r="F24" i="114"/>
  <c r="F31" i="114"/>
  <c r="F29" i="114"/>
  <c r="F17" i="114"/>
  <c r="L309" i="111"/>
  <c r="Y39" i="12"/>
  <c r="T50" i="12"/>
  <c r="Y50" i="12" s="1"/>
  <c r="M17" i="56"/>
  <c r="N17" i="56" s="1"/>
  <c r="F41" i="56"/>
  <c r="G41" i="56" s="1"/>
  <c r="E44" i="56"/>
  <c r="F50" i="56"/>
  <c r="G50" i="56" s="1"/>
  <c r="F33" i="56"/>
  <c r="G33" i="56" s="1"/>
  <c r="F37" i="56"/>
  <c r="G37" i="56" s="1"/>
  <c r="M16" i="56"/>
  <c r="N16" i="56" s="1"/>
  <c r="Y38" i="12"/>
  <c r="E42" i="56"/>
  <c r="E43" i="56"/>
  <c r="H60" i="12"/>
  <c r="O60" i="12" s="1"/>
  <c r="N8" i="109"/>
  <c r="N35" i="109" s="1"/>
  <c r="J30" i="56" s="1"/>
  <c r="L30" i="56" s="1"/>
  <c r="F29" i="56"/>
  <c r="G29" i="56" s="1"/>
  <c r="F40" i="56"/>
  <c r="G40" i="56" s="1"/>
  <c r="M33" i="56"/>
  <c r="N33" i="56" s="1"/>
  <c r="T58" i="12"/>
  <c r="Y58" i="12" s="1"/>
  <c r="E53" i="56"/>
  <c r="K80" i="12"/>
  <c r="O80" i="12" s="1"/>
  <c r="T47" i="12"/>
  <c r="Y47" i="12" s="1"/>
  <c r="S6" i="56"/>
  <c r="T6" i="56" s="1"/>
  <c r="U6" i="56" s="1"/>
  <c r="M32" i="56"/>
  <c r="N32" i="56" s="1"/>
  <c r="T57" i="12"/>
  <c r="Y57" i="12" s="1"/>
  <c r="F47" i="56"/>
  <c r="G47" i="56" s="1"/>
  <c r="M15" i="56"/>
  <c r="N15" i="56" s="1"/>
  <c r="F24" i="56"/>
  <c r="G24" i="56" s="1"/>
  <c r="M22" i="56"/>
  <c r="N22" i="56" s="1"/>
  <c r="E45" i="56"/>
  <c r="H62" i="12"/>
  <c r="O62" i="12" s="1"/>
  <c r="F32" i="56"/>
  <c r="G32" i="56" s="1"/>
  <c r="E38" i="56"/>
  <c r="H55" i="12"/>
  <c r="O55" i="12" s="1"/>
  <c r="F23" i="56"/>
  <c r="G23" i="56" s="1"/>
  <c r="F22" i="56"/>
  <c r="G22" i="56" s="1"/>
  <c r="H56" i="12"/>
  <c r="O56" i="12" s="1"/>
  <c r="E39" i="56"/>
  <c r="S23" i="56"/>
  <c r="T23" i="56" s="1"/>
  <c r="U23" i="56" s="1"/>
  <c r="S21" i="56"/>
  <c r="T21" i="56" s="1"/>
  <c r="U21" i="56" s="1"/>
  <c r="S9" i="56"/>
  <c r="T9" i="56" s="1"/>
  <c r="U9" i="56" s="1"/>
  <c r="H21" i="12"/>
  <c r="O21" i="12" s="1"/>
  <c r="T21" i="12" s="1"/>
  <c r="H45" i="12"/>
  <c r="O45" i="12" s="1"/>
  <c r="T45" i="12" s="1"/>
  <c r="Y45" i="12" s="1"/>
  <c r="S39" i="56"/>
  <c r="T39" i="56" s="1"/>
  <c r="U39" i="56" s="1"/>
  <c r="S31" i="56"/>
  <c r="T31" i="56" s="1"/>
  <c r="U31" i="56" s="1"/>
  <c r="S13" i="56"/>
  <c r="T13" i="56" s="1"/>
  <c r="U13" i="56" s="1"/>
  <c r="S8" i="56"/>
  <c r="T8" i="56" s="1"/>
  <c r="U8" i="56" s="1"/>
  <c r="H41" i="12"/>
  <c r="O41" i="12" s="1"/>
  <c r="T41" i="12" s="1"/>
  <c r="Y41" i="12" s="1"/>
  <c r="H63" i="12"/>
  <c r="O63" i="12" s="1"/>
  <c r="T63" i="12" s="1"/>
  <c r="Y63" i="12" s="1"/>
  <c r="H64" i="12"/>
  <c r="O64" i="12" s="1"/>
  <c r="T64" i="12" s="1"/>
  <c r="Y64" i="12" s="1"/>
  <c r="H25" i="12"/>
  <c r="O25" i="12" s="1"/>
  <c r="T25" i="12" s="1"/>
  <c r="S12" i="56"/>
  <c r="T12" i="56" s="1"/>
  <c r="U12" i="56" s="1"/>
  <c r="H68" i="12"/>
  <c r="O68" i="12" s="1"/>
  <c r="T68" i="12" s="1"/>
  <c r="Y68" i="12" s="1"/>
  <c r="S36" i="56"/>
  <c r="T36" i="56" s="1"/>
  <c r="U36" i="56" s="1"/>
  <c r="H69" i="12"/>
  <c r="O69" i="12" s="1"/>
  <c r="T69" i="12" s="1"/>
  <c r="Y69" i="12" s="1"/>
  <c r="S10" i="56"/>
  <c r="T10" i="56" s="1"/>
  <c r="U10" i="56" s="1"/>
  <c r="H65" i="12"/>
  <c r="O65" i="12" s="1"/>
  <c r="T65" i="12" s="1"/>
  <c r="Y65" i="12" s="1"/>
  <c r="H34" i="12"/>
  <c r="O34" i="12" s="1"/>
  <c r="T34" i="12" s="1"/>
  <c r="Y34" i="12" s="1"/>
  <c r="T70" i="12"/>
  <c r="Y70" i="12" s="1"/>
  <c r="AT36" i="105"/>
  <c r="Q28" i="56" s="1"/>
  <c r="Y36" i="12"/>
  <c r="S35" i="56"/>
  <c r="T35" i="56" s="1"/>
  <c r="U35" i="56" s="1"/>
  <c r="T32" i="56"/>
  <c r="U32" i="56" s="1"/>
  <c r="U11" i="56"/>
  <c r="T66" i="12"/>
  <c r="T20" i="56"/>
  <c r="U20" i="56" s="1"/>
  <c r="K77" i="12"/>
  <c r="O77" i="12" s="1"/>
  <c r="E48" i="56"/>
  <c r="K73" i="12"/>
  <c r="O73" i="12" s="1"/>
  <c r="E51" i="56"/>
  <c r="A276" i="100" l="1"/>
  <c r="A277" i="100" s="1"/>
  <c r="A278" i="100" s="1"/>
  <c r="A279" i="100" s="1"/>
  <c r="A280" i="100" s="1"/>
  <c r="A281" i="100" s="1"/>
  <c r="A282" i="100" s="1"/>
  <c r="A283" i="100" s="1"/>
  <c r="A284" i="100" s="1"/>
  <c r="A285" i="100" s="1"/>
  <c r="A286" i="100" s="1"/>
  <c r="A287" i="100" s="1"/>
  <c r="A288" i="100" s="1"/>
  <c r="A289" i="100" s="1"/>
  <c r="A290" i="100" s="1"/>
  <c r="A291" i="100" s="1"/>
  <c r="F37" i="114"/>
  <c r="C18" i="112"/>
  <c r="D18" i="112"/>
  <c r="D32" i="114"/>
  <c r="D21" i="114"/>
  <c r="D25" i="114"/>
  <c r="D34" i="114"/>
  <c r="D26" i="114"/>
  <c r="D23" i="114"/>
  <c r="D29" i="114"/>
  <c r="D31" i="114"/>
  <c r="D24" i="114"/>
  <c r="D33" i="114"/>
  <c r="D27" i="114"/>
  <c r="D22" i="114"/>
  <c r="D30" i="114"/>
  <c r="D28" i="114"/>
  <c r="C15" i="114"/>
  <c r="C19" i="114"/>
  <c r="C11" i="114"/>
  <c r="D12" i="114"/>
  <c r="D17" i="114"/>
  <c r="C13" i="114"/>
  <c r="C9" i="114"/>
  <c r="C10" i="114"/>
  <c r="D7" i="114"/>
  <c r="C8" i="114"/>
  <c r="D14" i="114"/>
  <c r="C16" i="114"/>
  <c r="C18" i="114"/>
  <c r="D6" i="114"/>
  <c r="H61" i="12"/>
  <c r="O61" i="12" s="1"/>
  <c r="T61" i="12" s="1"/>
  <c r="Y61" i="12" s="1"/>
  <c r="F7" i="112"/>
  <c r="D7" i="112" s="1"/>
  <c r="C34" i="114"/>
  <c r="C22" i="114"/>
  <c r="C23" i="114"/>
  <c r="F12" i="112"/>
  <c r="D12" i="112" s="1"/>
  <c r="C25" i="114"/>
  <c r="C24" i="114"/>
  <c r="C26" i="114"/>
  <c r="C27" i="114"/>
  <c r="C28" i="114"/>
  <c r="C29" i="114"/>
  <c r="E29" i="114" s="1"/>
  <c r="C30" i="114"/>
  <c r="C7" i="114"/>
  <c r="C31" i="114"/>
  <c r="C32" i="114"/>
  <c r="C33" i="114"/>
  <c r="F31" i="112"/>
  <c r="D31" i="112" s="1"/>
  <c r="C14" i="114"/>
  <c r="C17" i="114"/>
  <c r="C12" i="114"/>
  <c r="C6" i="114"/>
  <c r="C37" i="114" s="1"/>
  <c r="E54" i="56"/>
  <c r="F54" i="56" s="1"/>
  <c r="G54" i="56" s="1"/>
  <c r="F16" i="112"/>
  <c r="D16" i="112" s="1"/>
  <c r="F13" i="112"/>
  <c r="D13" i="112" s="1"/>
  <c r="F22" i="112"/>
  <c r="D22" i="112" s="1"/>
  <c r="F8" i="112"/>
  <c r="D8" i="112" s="1"/>
  <c r="F21" i="112"/>
  <c r="D21" i="112" s="1"/>
  <c r="F33" i="112"/>
  <c r="D33" i="112" s="1"/>
  <c r="O76" i="12"/>
  <c r="T75" i="12"/>
  <c r="T76" i="12" s="1"/>
  <c r="E18" i="112"/>
  <c r="F29" i="112"/>
  <c r="D29" i="112" s="1"/>
  <c r="F32" i="112"/>
  <c r="D32" i="112" s="1"/>
  <c r="F19" i="112"/>
  <c r="D19" i="112" s="1"/>
  <c r="F11" i="112"/>
  <c r="D11" i="112" s="1"/>
  <c r="F23" i="112"/>
  <c r="D23" i="112" s="1"/>
  <c r="F34" i="112"/>
  <c r="F35" i="112"/>
  <c r="F30" i="112"/>
  <c r="D30" i="112" s="1"/>
  <c r="F10" i="112"/>
  <c r="D10" i="112" s="1"/>
  <c r="F27" i="112"/>
  <c r="D27" i="112" s="1"/>
  <c r="F24" i="112"/>
  <c r="D24" i="112" s="1"/>
  <c r="F28" i="112"/>
  <c r="D28" i="112" s="1"/>
  <c r="F14" i="112"/>
  <c r="D14" i="112" s="1"/>
  <c r="F17" i="112"/>
  <c r="D17" i="112" s="1"/>
  <c r="F6" i="112"/>
  <c r="F26" i="112"/>
  <c r="D26" i="112" s="1"/>
  <c r="F9" i="112"/>
  <c r="D9" i="112" s="1"/>
  <c r="F25" i="112"/>
  <c r="D25" i="112" s="1"/>
  <c r="F15" i="112"/>
  <c r="D15" i="112" s="1"/>
  <c r="L31" i="56"/>
  <c r="M31" i="56" s="1"/>
  <c r="N31" i="56" s="1"/>
  <c r="D9" i="114"/>
  <c r="D19" i="114"/>
  <c r="D8" i="114"/>
  <c r="D15" i="114"/>
  <c r="D18" i="114"/>
  <c r="D10" i="114"/>
  <c r="E10" i="114" s="1"/>
  <c r="D11" i="114"/>
  <c r="D16" i="114"/>
  <c r="D13" i="114"/>
  <c r="H44" i="12"/>
  <c r="O44" i="12" s="1"/>
  <c r="T44" i="12" s="1"/>
  <c r="G34" i="56"/>
  <c r="H43" i="12"/>
  <c r="O43" i="12" s="1"/>
  <c r="T43" i="12" s="1"/>
  <c r="Y21" i="12"/>
  <c r="N23" i="56"/>
  <c r="T55" i="12"/>
  <c r="Y55" i="12" s="1"/>
  <c r="F53" i="56"/>
  <c r="G53" i="56" s="1"/>
  <c r="T60" i="12"/>
  <c r="Y60" i="12" s="1"/>
  <c r="T56" i="12"/>
  <c r="M30" i="56"/>
  <c r="N30" i="56" s="1"/>
  <c r="F43" i="56"/>
  <c r="G43" i="56" s="1"/>
  <c r="F42" i="56"/>
  <c r="G42" i="56" s="1"/>
  <c r="F44" i="56"/>
  <c r="G44" i="56" s="1"/>
  <c r="F38" i="56"/>
  <c r="G38" i="56" s="1"/>
  <c r="T62" i="12"/>
  <c r="Y62" i="12" s="1"/>
  <c r="T59" i="12"/>
  <c r="Y59" i="12" s="1"/>
  <c r="T48" i="12"/>
  <c r="Y48" i="12" s="1"/>
  <c r="F39" i="56"/>
  <c r="G39" i="56" s="1"/>
  <c r="T80" i="12"/>
  <c r="Y80" i="12" s="1"/>
  <c r="F45" i="56"/>
  <c r="G45" i="56" s="1"/>
  <c r="H46" i="12"/>
  <c r="O46" i="12" s="1"/>
  <c r="T46" i="12" s="1"/>
  <c r="Y46" i="12" s="1"/>
  <c r="Y25" i="12"/>
  <c r="O42" i="12"/>
  <c r="S28" i="56"/>
  <c r="T28" i="56" s="1"/>
  <c r="U28" i="56" s="1"/>
  <c r="U40" i="56" s="1"/>
  <c r="T42" i="12"/>
  <c r="Y66" i="12"/>
  <c r="Y22" i="12"/>
  <c r="F48" i="56"/>
  <c r="G48" i="56" s="1"/>
  <c r="O81" i="12"/>
  <c r="T77" i="12"/>
  <c r="F51" i="56"/>
  <c r="G51" i="56" s="1"/>
  <c r="T73" i="12"/>
  <c r="T74" i="12" s="1"/>
  <c r="O74" i="12"/>
  <c r="A292" i="100" l="1"/>
  <c r="A293" i="100" s="1"/>
  <c r="A294" i="100" s="1"/>
  <c r="A295" i="100" s="1"/>
  <c r="A296" i="100" s="1"/>
  <c r="A297" i="100" s="1"/>
  <c r="A298" i="100" s="1"/>
  <c r="A299" i="100" s="1"/>
  <c r="A300" i="100" s="1"/>
  <c r="A301" i="100" s="1"/>
  <c r="A302" i="100" s="1"/>
  <c r="A303" i="100" s="1"/>
  <c r="D37" i="114"/>
  <c r="F37" i="112"/>
  <c r="D6" i="112"/>
  <c r="E27" i="114"/>
  <c r="C35" i="112"/>
  <c r="D35" i="112"/>
  <c r="C34" i="112"/>
  <c r="D34" i="112"/>
  <c r="E16" i="114"/>
  <c r="E32" i="114"/>
  <c r="E13" i="114"/>
  <c r="E34" i="114"/>
  <c r="E22" i="114"/>
  <c r="E11" i="114"/>
  <c r="E26" i="114"/>
  <c r="E12" i="114"/>
  <c r="E33" i="114"/>
  <c r="C30" i="112"/>
  <c r="C26" i="112"/>
  <c r="E28" i="112"/>
  <c r="C28" i="112"/>
  <c r="E21" i="112"/>
  <c r="C21" i="112"/>
  <c r="E22" i="112"/>
  <c r="C22" i="112"/>
  <c r="E23" i="112"/>
  <c r="C23" i="112"/>
  <c r="C25" i="112"/>
  <c r="E32" i="112"/>
  <c r="C32" i="112"/>
  <c r="C33" i="112"/>
  <c r="E24" i="112"/>
  <c r="C24" i="112"/>
  <c r="E27" i="112"/>
  <c r="C27" i="112"/>
  <c r="E29" i="112"/>
  <c r="C29" i="112"/>
  <c r="E31" i="112"/>
  <c r="C31" i="112"/>
  <c r="E14" i="112"/>
  <c r="C14" i="112"/>
  <c r="E28" i="114"/>
  <c r="E10" i="112"/>
  <c r="C10" i="112"/>
  <c r="E16" i="112"/>
  <c r="C16" i="112"/>
  <c r="E11" i="112"/>
  <c r="C11" i="112"/>
  <c r="E17" i="112"/>
  <c r="C17" i="112"/>
  <c r="E8" i="112"/>
  <c r="C8" i="112"/>
  <c r="E18" i="114"/>
  <c r="E13" i="112"/>
  <c r="C13" i="112"/>
  <c r="C12" i="112"/>
  <c r="E23" i="114"/>
  <c r="C15" i="112"/>
  <c r="C19" i="112"/>
  <c r="C9" i="112"/>
  <c r="C7" i="112"/>
  <c r="E17" i="114"/>
  <c r="E9" i="114"/>
  <c r="E6" i="112"/>
  <c r="C6" i="112"/>
  <c r="C37" i="112" s="1"/>
  <c r="E25" i="114"/>
  <c r="E31" i="114"/>
  <c r="E21" i="114"/>
  <c r="E24" i="114"/>
  <c r="E30" i="114"/>
  <c r="E8" i="114"/>
  <c r="E19" i="114"/>
  <c r="E15" i="114"/>
  <c r="E14" i="114"/>
  <c r="E7" i="114"/>
  <c r="E6" i="114"/>
  <c r="E37" i="114" s="1"/>
  <c r="E12" i="112"/>
  <c r="O72" i="12"/>
  <c r="E7" i="112"/>
  <c r="E19" i="112"/>
  <c r="E25" i="112"/>
  <c r="E26" i="112"/>
  <c r="E15" i="112"/>
  <c r="E33" i="112"/>
  <c r="Y75" i="12"/>
  <c r="Y76" i="12" s="1"/>
  <c r="E34" i="112"/>
  <c r="E35" i="112"/>
  <c r="E30" i="112"/>
  <c r="E9" i="112"/>
  <c r="Y44" i="12"/>
  <c r="T72" i="12"/>
  <c r="N35" i="56"/>
  <c r="Y56" i="12"/>
  <c r="Y72" i="12" s="1"/>
  <c r="Y42" i="12"/>
  <c r="T81" i="12"/>
  <c r="T52" i="12"/>
  <c r="O52" i="12"/>
  <c r="Y43" i="12"/>
  <c r="Y77" i="12"/>
  <c r="Y81" i="12" s="1"/>
  <c r="Y73" i="12"/>
  <c r="Y74" i="12" s="1"/>
  <c r="A304" i="100" l="1"/>
  <c r="A305" i="100" s="1"/>
  <c r="A306" i="100" s="1"/>
  <c r="A307" i="100" s="1"/>
  <c r="A308" i="100" s="1"/>
  <c r="A309" i="100" s="1"/>
  <c r="A310" i="100" s="1"/>
  <c r="A311" i="100" s="1"/>
  <c r="A312" i="100" s="1"/>
  <c r="A313" i="100" s="1"/>
  <c r="A314" i="100" s="1"/>
  <c r="A315" i="100" s="1"/>
  <c r="A316" i="100" s="1"/>
  <c r="A317" i="100" s="1"/>
  <c r="A318" i="100" s="1"/>
  <c r="A319" i="100" s="1"/>
  <c r="A320" i="100" s="1"/>
  <c r="A321" i="100" s="1"/>
  <c r="A322" i="100" s="1"/>
  <c r="A323" i="100" s="1"/>
  <c r="A324" i="100" s="1"/>
  <c r="A325" i="100" s="1"/>
  <c r="A326" i="100" s="1"/>
  <c r="A327" i="100" s="1"/>
  <c r="A328" i="100" s="1"/>
  <c r="A329" i="100" s="1"/>
  <c r="A330" i="100" s="1"/>
  <c r="A331" i="100" s="1"/>
  <c r="A353" i="100" s="1"/>
  <c r="A354" i="100" s="1"/>
  <c r="A355" i="100" s="1"/>
  <c r="A356" i="100" s="1"/>
  <c r="A357" i="100" s="1"/>
  <c r="A358" i="100" s="1"/>
  <c r="A359" i="100" s="1"/>
  <c r="A360" i="100" s="1"/>
  <c r="A361" i="100" s="1"/>
  <c r="A362" i="100" s="1"/>
  <c r="A363" i="100" s="1"/>
  <c r="A364" i="100" s="1"/>
  <c r="E37" i="112"/>
  <c r="D37" i="112"/>
  <c r="C5" i="56"/>
  <c r="Y52" i="12"/>
  <c r="C6" i="56" l="1"/>
  <c r="H17" i="12" s="1"/>
  <c r="O17" i="12" s="1"/>
  <c r="T17" i="12" s="1"/>
  <c r="Y17" i="12" s="1"/>
  <c r="E6" i="56"/>
  <c r="F6" i="56" s="1"/>
  <c r="G6" i="56" s="1"/>
  <c r="E5" i="56"/>
  <c r="F5" i="56" s="1"/>
  <c r="G5" i="56" s="1"/>
  <c r="G55" i="56" s="1"/>
  <c r="H16" i="12"/>
  <c r="O16" i="12" s="1"/>
  <c r="T16" i="12" s="1"/>
  <c r="O18" i="12" l="1"/>
  <c r="H13" i="12" s="1"/>
  <c r="T18" i="12"/>
  <c r="H14" i="12" s="1"/>
  <c r="Y16" i="12"/>
  <c r="Y18" i="12" l="1"/>
  <c r="T13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효빈 안</author>
    <author>게스트 사용자</author>
  </authors>
  <commentList>
    <comment ref="F10" authorId="0" shapeId="0" xr:uid="{9FB57924-42AA-45A3-A6BC-82884DD2E453}">
      <text>
        <r>
          <rPr>
            <sz val="11"/>
            <color theme="1"/>
            <rFont val="맑은 고딕"/>
            <family val="2"/>
            <charset val="129"/>
            <scheme val="minor"/>
          </rPr>
          <t>창립기념 1,000건
&gt;pcm 3개+아이스팩대 3개</t>
        </r>
      </text>
    </comment>
    <comment ref="AM10" authorId="0" shapeId="0" xr:uid="{4D3CDB34-AC61-43D3-893B-D2564820945D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창립기념
아이스팩대 3개 인입 (1000건)
</t>
        </r>
      </text>
    </comment>
    <comment ref="AN10" authorId="0" shapeId="0" xr:uid="{E47C1445-A109-40E9-8803-1C90DD58316F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창립기념
PCM 3개 인입 (1000건)
</t>
        </r>
      </text>
    </comment>
    <comment ref="F11" authorId="0" shapeId="0" xr:uid="{A96B2D78-A30D-4D9E-A9FA-72DE67DF554D}">
      <text>
        <r>
          <rPr>
            <sz val="11"/>
            <color theme="1"/>
            <rFont val="맑은 고딕"/>
            <family val="2"/>
            <charset val="129"/>
            <scheme val="minor"/>
          </rPr>
          <t>창립기념 1,000건
&gt;pcm 3개+아이스팩대 3개</t>
        </r>
      </text>
    </comment>
    <comment ref="AM11" authorId="0" shapeId="0" xr:uid="{412FD7AC-8CD0-406F-A499-05A4F4AD0E3D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창립기념
아이스팩대 3개 인입 (1000건)
</t>
        </r>
      </text>
    </comment>
    <comment ref="AN11" authorId="0" shapeId="0" xr:uid="{FB96ADA0-65DB-4F08-B8F4-50C865744661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창립기념
PCM 3개 인입 (1000건)
</t>
        </r>
      </text>
    </comment>
    <comment ref="F14" authorId="0" shapeId="0" xr:uid="{EC9CC34D-29F2-43FF-9494-6EB87696CAD1}">
      <text>
        <r>
          <rPr>
            <sz val="11"/>
            <color theme="1"/>
            <rFont val="맑은 고딕"/>
            <family val="2"/>
            <charset val="129"/>
            <scheme val="minor"/>
          </rPr>
          <t>창립기념 1,000건(제주 제외)
&gt;pcm 3개+아이스팩대 3개</t>
        </r>
      </text>
    </comment>
    <comment ref="G14" authorId="0" shapeId="0" xr:uid="{3632D24D-DF3C-49D7-94BD-114C1CE871C2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창립기념 제주도 30건
</t>
        </r>
      </text>
    </comment>
    <comment ref="AL14" authorId="0" shapeId="0" xr:uid="{B3FB695C-DA8F-48D9-A78E-707ABB0FE9A1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창립기념
제주도 30건 아이스팩 1개씩 추가 인입
</t>
        </r>
      </text>
    </comment>
    <comment ref="AM14" authorId="0" shapeId="0" xr:uid="{4BB73917-A72E-454F-B7C2-9EF6435916D3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창립기념
아이스팩대 3개 인입 (1000건)
</t>
        </r>
      </text>
    </comment>
    <comment ref="AN14" authorId="0" shapeId="0" xr:uid="{AB29716C-3292-48F1-900F-12BC125704CF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창립기념
PCM 3개 인입 (1000건)
</t>
        </r>
      </text>
    </comment>
    <comment ref="F15" authorId="0" shapeId="0" xr:uid="{64A68F35-45AA-4F64-BADD-302213D215CB}">
      <text>
        <r>
          <rPr>
            <sz val="11"/>
            <color theme="1"/>
            <rFont val="맑은 고딕"/>
            <family val="2"/>
            <charset val="129"/>
            <scheme val="minor"/>
          </rPr>
          <t>창립기념 1,000건(제주 제외)
&gt;pcm 3개+아이스팩대 3개</t>
        </r>
      </text>
    </comment>
    <comment ref="G15" authorId="0" shapeId="0" xr:uid="{D8CDA95A-1332-4777-9A8F-F8BE95DF3976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창립기념 제주도 23건
</t>
        </r>
      </text>
    </comment>
    <comment ref="AL15" authorId="0" shapeId="0" xr:uid="{5E558344-515E-4350-BA69-091D60182A32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창립기념
제주도 23건 아이스팩 1개씩 추가 인입
오리훈제 180g 8개 어묵바 냉매제 아이스팩 3개
</t>
        </r>
      </text>
    </comment>
    <comment ref="F16" authorId="0" shapeId="0" xr:uid="{4C79C4A2-C4E6-414D-98AB-ADBDE886A0DF}">
      <text>
        <r>
          <rPr>
            <sz val="11"/>
            <color theme="1"/>
            <rFont val="맑은 고딕"/>
            <family val="2"/>
            <charset val="129"/>
            <scheme val="minor"/>
          </rPr>
          <t>창립기념 1,000건
&gt;pcm 3개+아이스팩대 3개</t>
        </r>
      </text>
    </comment>
    <comment ref="AL16" authorId="1" shapeId="0" xr:uid="{CD0A354B-A88D-4AD3-AFE4-10FB399920E1}">
      <text>
        <r>
          <rPr>
            <sz val="11"/>
            <color theme="1"/>
            <rFont val="맑은 고딕"/>
            <family val="2"/>
            <charset val="129"/>
            <scheme val="minor"/>
          </rPr>
          <t>오리훈제 180g 8개 어묵바 아이스팩3개</t>
        </r>
      </text>
    </comment>
    <comment ref="AM16" authorId="0" shapeId="0" xr:uid="{C9FCD623-402F-465A-9E23-0C37556CD203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창립기념
아이스팩대 3개 인입 (1000건)
</t>
        </r>
      </text>
    </comment>
    <comment ref="AN16" authorId="0" shapeId="0" xr:uid="{A178F346-7E77-4977-AA21-B39E6F4F66AA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창립기념
PCM 3개 인입 (1000건)
</t>
        </r>
      </text>
    </comment>
    <comment ref="F21" authorId="1" shapeId="0" xr:uid="{719D9377-9A1F-46F2-9B86-902882C4EEBB}">
      <text>
        <r>
          <rPr>
            <sz val="11"/>
            <color theme="1"/>
            <rFont val="맑은 고딕"/>
            <family val="2"/>
            <charset val="129"/>
            <scheme val="minor"/>
          </rPr>
          <t>농협맛선 17건</t>
        </r>
      </text>
    </comment>
    <comment ref="AJ21" authorId="1" shapeId="0" xr:uid="{4623155D-8E05-4485-B8B8-1B784B081F2F}">
      <text>
        <r>
          <rPr>
            <sz val="11"/>
            <color theme="1"/>
            <rFont val="맑은 고딕"/>
            <family val="2"/>
            <charset val="129"/>
            <scheme val="minor"/>
          </rPr>
          <t>302040549523
발번만 된 송장 실출고x</t>
        </r>
      </text>
    </comment>
    <comment ref="AM21" authorId="1" shapeId="0" xr:uid="{8AB6DC09-AE1B-4EED-A335-9F94AD3294F5}">
      <text>
        <r>
          <rPr>
            <sz val="11"/>
            <color theme="1"/>
            <rFont val="맑은 고딕"/>
            <family val="2"/>
            <charset val="129"/>
            <scheme val="minor"/>
          </rPr>
          <t>농협맛선 17건</t>
        </r>
      </text>
    </comment>
    <comment ref="AN21" authorId="1" shapeId="0" xr:uid="{807471CA-4C3B-4FD1-8E8E-4F81DE5336C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농협맛선 17건
</t>
        </r>
      </text>
    </comment>
    <comment ref="AL22" authorId="0" shapeId="0" xr:uid="{108FA656-BAAC-449A-A033-9B173C3C50BC}">
      <text>
        <r>
          <rPr>
            <sz val="11"/>
            <color theme="1"/>
            <rFont val="맑은 고딕"/>
            <family val="2"/>
            <charset val="129"/>
            <scheme val="minor"/>
          </rPr>
          <t>창립기념
제주도 17건 아이스팩 1개씩 추가 인입</t>
        </r>
      </text>
    </comment>
    <comment ref="AM22" authorId="0" shapeId="0" xr:uid="{677F1DAC-94FA-4EA1-9E6B-6AB0380CE195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창립기념
아이스팩대 3개 인입 (999건)
</t>
        </r>
      </text>
    </comment>
    <comment ref="AN22" authorId="0" shapeId="0" xr:uid="{D66EDFD5-CD26-42CE-81BB-7EEA1A453486}">
      <text>
        <r>
          <rPr>
            <sz val="11"/>
            <color theme="1"/>
            <rFont val="맑은 고딕"/>
            <family val="2"/>
            <charset val="129"/>
            <scheme val="minor"/>
          </rPr>
          <t>창립기념
PCM 3개 인입 (999건)</t>
        </r>
      </text>
    </comment>
    <comment ref="AL23" authorId="0" shapeId="0" xr:uid="{9D4A8632-300F-4194-98B6-7E60AD0B24EE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창립기념
제주도 12건 아이스팩 1개씩 추가 인입
</t>
        </r>
      </text>
    </comment>
    <comment ref="F30" authorId="0" shapeId="0" xr:uid="{BEC3BACD-13EB-43C8-896A-F9913184B4B8}">
      <text>
        <r>
          <rPr>
            <sz val="11"/>
            <color theme="1"/>
            <rFont val="맑은 고딕"/>
            <family val="2"/>
            <charset val="129"/>
            <scheme val="minor"/>
          </rPr>
          <t>농협맛선 49건(44건 일반지역)</t>
        </r>
      </text>
    </comment>
    <comment ref="G30" authorId="0" shapeId="0" xr:uid="{D1CA5104-F500-499C-B1D4-DAAA66546C8F}">
      <text>
        <r>
          <rPr>
            <sz val="11"/>
            <color theme="1"/>
            <rFont val="맑은 고딕"/>
            <family val="2"/>
            <charset val="129"/>
            <scheme val="minor"/>
          </rPr>
          <t>농협맛선(5건 제주)</t>
        </r>
      </text>
    </comment>
    <comment ref="AA30" authorId="1" shapeId="0" xr:uid="{0D06482D-5FC1-4B62-B8E1-AB9A492AF689}">
      <text>
        <r>
          <rPr>
            <sz val="11"/>
            <color theme="1"/>
            <rFont val="맑은 고딕"/>
            <family val="2"/>
            <charset val="129"/>
            <scheme val="minor"/>
          </rPr>
          <t>축산대표님 보냉세트
제주 pcm3개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안효빈</author>
  </authors>
  <commentList>
    <comment ref="B2" authorId="0" shapeId="0" xr:uid="{D8CDD80C-4ECC-40A0-8C91-304A2131DB92}">
      <text>
        <r>
          <rPr>
            <b/>
            <sz val="9"/>
            <color indexed="81"/>
            <rFont val="돋움"/>
            <family val="3"/>
            <charset val="129"/>
          </rPr>
          <t>냉장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싹다</t>
        </r>
      </text>
    </comment>
    <comment ref="C2" authorId="1" shapeId="0" xr:uid="{220962B5-611C-4CA6-89B0-2B5039C6B914}">
      <text>
        <r>
          <rPr>
            <b/>
            <sz val="9"/>
            <color indexed="81"/>
            <rFont val="돋움"/>
            <family val="3"/>
            <charset val="129"/>
          </rPr>
          <t>치킨까스 360g
팝콘치킨 420g</t>
        </r>
      </text>
    </comment>
    <comment ref="D2" authorId="0" shapeId="0" xr:uid="{82D89ACD-899F-48A2-BC87-6BDDD664B814}">
      <text>
        <r>
          <rPr>
            <b/>
            <sz val="9"/>
            <color indexed="81"/>
            <rFont val="돋움"/>
            <family val="3"/>
            <charset val="129"/>
          </rPr>
          <t>황기닭백숙</t>
        </r>
        <r>
          <rPr>
            <b/>
            <sz val="9"/>
            <color indexed="81"/>
            <rFont val="Tahoma"/>
            <family val="2"/>
          </rPr>
          <t>1kg*2</t>
        </r>
      </text>
    </comment>
    <comment ref="E2" authorId="0" shapeId="0" xr:uid="{DC39C3C5-6F66-436B-917B-F9A53415101B}">
      <text>
        <r>
          <rPr>
            <b/>
            <sz val="9"/>
            <color indexed="81"/>
            <rFont val="돋움"/>
            <family val="3"/>
            <charset val="129"/>
          </rPr>
          <t>치킨텐더</t>
        </r>
        <r>
          <rPr>
            <b/>
            <sz val="9"/>
            <color indexed="81"/>
            <rFont val="Tahoma"/>
            <family val="2"/>
          </rPr>
          <t xml:space="preserve"> 600g</t>
        </r>
      </text>
    </comment>
    <comment ref="F2" authorId="0" shapeId="0" xr:uid="{C7511F83-F3EA-47AE-974D-713A46D519B9}">
      <text>
        <r>
          <rPr>
            <b/>
            <sz val="9"/>
            <color indexed="81"/>
            <rFont val="돋움"/>
            <family val="3"/>
            <charset val="129"/>
          </rPr>
          <t>냉동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싹다</t>
        </r>
      </text>
    </comment>
    <comment ref="H2" authorId="0" shapeId="0" xr:uid="{E93CBD44-D3BE-4819-ACB4-4D6BA5F42C5E}">
      <text>
        <r>
          <rPr>
            <b/>
            <sz val="9"/>
            <color indexed="81"/>
            <rFont val="돋움"/>
            <family val="3"/>
            <charset val="129"/>
          </rPr>
          <t>풍미삼계탕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개</t>
        </r>
      </text>
    </comment>
    <comment ref="J2" authorId="0" shapeId="0" xr:uid="{8AC6BF37-E9E4-4C05-9B59-0964712BDBFC}">
      <text>
        <r>
          <rPr>
            <b/>
            <sz val="9"/>
            <color indexed="81"/>
            <rFont val="돋움"/>
            <family val="3"/>
            <charset val="129"/>
          </rPr>
          <t>풍미삼계탕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개</t>
        </r>
      </text>
    </comment>
    <comment ref="P2" authorId="0" shapeId="0" xr:uid="{9955CA68-144E-4EA4-AA7A-DDA03C3FAD13}">
      <text>
        <r>
          <rPr>
            <b/>
            <sz val="9"/>
            <color indexed="81"/>
            <rFont val="돋움"/>
            <family val="3"/>
            <charset val="129"/>
          </rPr>
          <t>육포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개
육개장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미역국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등등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개</t>
        </r>
      </text>
    </comment>
    <comment ref="Q2" authorId="0" shapeId="0" xr:uid="{D41C3BC4-BC2F-43CC-9F35-CE05E6AE7A97}">
      <text>
        <r>
          <rPr>
            <b/>
            <sz val="9"/>
            <color indexed="81"/>
            <rFont val="돋움"/>
            <family val="3"/>
            <charset val="129"/>
          </rPr>
          <t>삼계탕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같은거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큰거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개</t>
        </r>
      </text>
    </comment>
    <comment ref="AA2" authorId="1" shapeId="0" xr:uid="{01D8A599-C9CA-4B19-861C-59771E0D10B6}">
      <text>
        <r>
          <rPr>
            <b/>
            <sz val="9"/>
            <color indexed="81"/>
            <rFont val="돋움"/>
            <family val="3"/>
            <charset val="129"/>
          </rPr>
          <t>살코기햄*2</t>
        </r>
      </text>
    </comment>
    <comment ref="AC2" authorId="0" shapeId="0" xr:uid="{7CA71D6E-C9EC-4AC2-AF89-A0149AC9790A}">
      <text>
        <r>
          <rPr>
            <b/>
            <sz val="9"/>
            <color indexed="81"/>
            <rFont val="돋움"/>
            <family val="3"/>
            <charset val="129"/>
          </rPr>
          <t>반마리치킨</t>
        </r>
        <r>
          <rPr>
            <b/>
            <sz val="9"/>
            <color indexed="81"/>
            <rFont val="Tahoma"/>
            <family val="2"/>
          </rPr>
          <t xml:space="preserve"> 6</t>
        </r>
        <r>
          <rPr>
            <b/>
            <sz val="9"/>
            <color indexed="81"/>
            <rFont val="돋움"/>
            <family val="3"/>
            <charset val="129"/>
          </rPr>
          <t>개</t>
        </r>
      </text>
    </comment>
    <comment ref="AD2" authorId="1" shapeId="0" xr:uid="{5CBFCD3A-8A4B-4FF6-AB96-B1EB2221E320}">
      <text>
        <r>
          <rPr>
            <b/>
            <sz val="9"/>
            <color indexed="81"/>
            <rFont val="돋움"/>
            <family val="3"/>
            <charset val="129"/>
          </rPr>
          <t>삼계탕 3개</t>
        </r>
      </text>
    </comment>
    <comment ref="AI2" authorId="0" shapeId="0" xr:uid="{F15413F6-61AE-4A5C-864E-07457C9AC875}">
      <text>
        <r>
          <rPr>
            <b/>
            <sz val="9"/>
            <color indexed="81"/>
            <rFont val="돋움"/>
            <family val="3"/>
            <charset val="129"/>
          </rPr>
          <t>교자만두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개
왕만두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개</t>
        </r>
      </text>
    </comment>
    <comment ref="AP2" authorId="0" shapeId="0" xr:uid="{7954CEBE-617E-4694-BD78-D703A3EFE6CB}">
      <text>
        <r>
          <rPr>
            <b/>
            <sz val="9"/>
            <color indexed="81"/>
            <rFont val="돋움"/>
            <family val="3"/>
            <charset val="129"/>
          </rPr>
          <t>도가니탕 3개</t>
        </r>
      </text>
    </comment>
    <comment ref="AQ2" authorId="0" shapeId="0" xr:uid="{C100A709-801C-4728-AD3A-517DC98B36D4}">
      <text>
        <r>
          <rPr>
            <b/>
            <sz val="9"/>
            <color indexed="81"/>
            <rFont val="돋움"/>
            <family val="3"/>
            <charset val="129"/>
          </rPr>
          <t>사골곰탕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O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동봉문서</t>
        </r>
        <r>
          <rPr>
            <b/>
            <sz val="9"/>
            <color indexed="81"/>
            <rFont val="Tahoma"/>
            <family val="2"/>
          </rPr>
          <t xml:space="preserve">(A4) </t>
        </r>
        <r>
          <rPr>
            <b/>
            <sz val="9"/>
            <color indexed="81"/>
            <rFont val="돋움"/>
            <family val="3"/>
            <charset val="129"/>
          </rPr>
          <t xml:space="preserve">인쇄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쉽먼트라벨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폼텍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 xml:space="preserve">인쇄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쉽먼트라벨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부착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가림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tc={72B0A348-34F4-4B70-92FE-5AC795080565}</author>
  </authors>
  <commentList>
    <comment ref="G1" authorId="0" shapeId="0" xr:uid="{72B0A348-34F4-4B70-92FE-5AC795080565}">
      <text>
        <t>[Threaded comment]
Your version of Excel allows you to read this threaded comment; however, any edits to it will get removed if the file is opened in a newer version of Excel. Learn more: https://go.microsoft.com/fwlink/?linkid=870924
Comment:
    15,말일에는 수식XX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Z1" authorId="0" shapeId="0" xr:uid="{00000000-0006-0000-0B00-000001000000}">
      <text>
        <r>
          <rPr>
            <b/>
            <sz val="9"/>
            <color indexed="81"/>
            <rFont val="돋움"/>
            <family val="3"/>
            <charset val="129"/>
          </rPr>
          <t>래핑</t>
        </r>
        <r>
          <rPr>
            <b/>
            <sz val="9"/>
            <color indexed="81"/>
            <rFont val="Tahoma"/>
            <family val="2"/>
          </rPr>
          <t xml:space="preserve"> +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b/>
            <sz val="9"/>
            <color indexed="81"/>
            <rFont val="Tahoma"/>
            <family val="2"/>
          </rPr>
          <t xml:space="preserve"> + </t>
        </r>
        <r>
          <rPr>
            <b/>
            <sz val="9"/>
            <color indexed="81"/>
            <rFont val="돋움"/>
            <family val="3"/>
            <charset val="129"/>
          </rPr>
          <t>파렛타이징</t>
        </r>
        <r>
          <rPr>
            <b/>
            <sz val="9"/>
            <color indexed="81"/>
            <rFont val="Tahoma"/>
            <family val="2"/>
          </rPr>
          <t xml:space="preserve"> + </t>
        </r>
        <r>
          <rPr>
            <b/>
            <sz val="9"/>
            <color indexed="81"/>
            <rFont val="돋움"/>
            <family val="3"/>
            <charset val="129"/>
          </rPr>
          <t>세트작업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" authorId="0" shapeId="0" xr:uid="{00000000-0006-0000-0D00-000001000000}">
      <text>
        <r>
          <rPr>
            <b/>
            <sz val="9"/>
            <color indexed="81"/>
            <rFont val="돋움"/>
            <family val="3"/>
            <charset val="129"/>
          </rPr>
          <t>택배비+작업료</t>
        </r>
      </text>
    </comment>
    <comment ref="R1" authorId="0" shapeId="0" xr:uid="{00000000-0006-0000-0D00-000002000000}">
      <text>
        <r>
          <rPr>
            <b/>
            <sz val="9"/>
            <color indexed="81"/>
            <rFont val="돋움"/>
            <family val="3"/>
            <charset val="129"/>
          </rPr>
          <t>박스비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냉매제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저온만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<sst xmlns="http://schemas.openxmlformats.org/spreadsheetml/2006/main" count="4401" uniqueCount="1344">
  <si>
    <t>( 8 ) 월 물류비 청구서</t>
  </si>
  <si>
    <t>발         신</t>
    <phoneticPr fontId="2" type="noConversion"/>
  </si>
  <si>
    <t>아워박스 ㈜</t>
    <phoneticPr fontId="2" type="noConversion"/>
  </si>
  <si>
    <t>수        신</t>
    <phoneticPr fontId="2" type="noConversion"/>
  </si>
  <si>
    <t>㈜ 농협목우촌 이커머스사업부</t>
    <phoneticPr fontId="13" type="noConversion"/>
  </si>
  <si>
    <t>대         표</t>
    <phoneticPr fontId="2" type="noConversion"/>
  </si>
  <si>
    <r>
      <t xml:space="preserve">박 철 수                             </t>
    </r>
    <r>
      <rPr>
        <b/>
        <sz val="11"/>
        <color theme="1"/>
        <rFont val="맑은 고딕"/>
        <family val="3"/>
        <charset val="129"/>
        <scheme val="minor"/>
      </rPr>
      <t>(인)</t>
    </r>
    <phoneticPr fontId="2" type="noConversion"/>
  </si>
  <si>
    <t>사   업   장
소   재   지</t>
    <phoneticPr fontId="2" type="noConversion"/>
  </si>
  <si>
    <t>서울시 구로구 디지털로288, 908호(구로동, 대륭포스트타워 1차)</t>
    <phoneticPr fontId="7" type="noConversion"/>
  </si>
  <si>
    <t>아래와 같이 청구합니다.</t>
    <phoneticPr fontId="2" type="noConversion"/>
  </si>
  <si>
    <t>전         화</t>
    <phoneticPr fontId="2" type="noConversion"/>
  </si>
  <si>
    <t>1588-9213</t>
    <phoneticPr fontId="2" type="noConversion"/>
  </si>
  <si>
    <t>팩         스</t>
    <phoneticPr fontId="2" type="noConversion"/>
  </si>
  <si>
    <t>02-837-9507</t>
    <phoneticPr fontId="2" type="noConversion"/>
  </si>
  <si>
    <t>기      간</t>
    <phoneticPr fontId="2" type="noConversion"/>
  </si>
  <si>
    <t>:</t>
    <phoneticPr fontId="2" type="noConversion"/>
  </si>
  <si>
    <t>2026년 8월 1일 ~ 2026년 8월 31일</t>
  </si>
  <si>
    <t>공급가액</t>
    <phoneticPr fontId="2" type="noConversion"/>
  </si>
  <si>
    <t>원      정</t>
    <phoneticPr fontId="2" type="noConversion"/>
  </si>
  <si>
    <t>( \</t>
    <phoneticPr fontId="2" type="noConversion"/>
  </si>
  <si>
    <t xml:space="preserve"> )</t>
    <phoneticPr fontId="2" type="noConversion"/>
  </si>
  <si>
    <t>세      액</t>
    <phoneticPr fontId="2" type="noConversion"/>
  </si>
  <si>
    <t>구       분</t>
    <phoneticPr fontId="2" type="noConversion"/>
  </si>
  <si>
    <t>수     량</t>
    <phoneticPr fontId="2" type="noConversion"/>
  </si>
  <si>
    <t>단     가</t>
    <phoneticPr fontId="2" type="noConversion"/>
  </si>
  <si>
    <t>세     액</t>
    <phoneticPr fontId="2" type="noConversion"/>
  </si>
  <si>
    <t>합     계</t>
    <phoneticPr fontId="2" type="noConversion"/>
  </si>
  <si>
    <t>보관료_상온</t>
    <phoneticPr fontId="2" type="noConversion"/>
  </si>
  <si>
    <t>보관료_저온</t>
    <phoneticPr fontId="2" type="noConversion"/>
  </si>
  <si>
    <t xml:space="preserve">   소     계    (보  관  료)</t>
    <phoneticPr fontId="2" type="noConversion"/>
  </si>
  <si>
    <t>아이스박스_2K</t>
    <phoneticPr fontId="2" type="noConversion"/>
  </si>
  <si>
    <t>아이스박스_1호</t>
    <phoneticPr fontId="2" type="noConversion"/>
  </si>
  <si>
    <t>아이스박스_T135</t>
    <phoneticPr fontId="2" type="noConversion"/>
  </si>
  <si>
    <t>아이스박스_2호</t>
  </si>
  <si>
    <t>아이스박스_3호</t>
  </si>
  <si>
    <t>아이스박스_4호</t>
  </si>
  <si>
    <t>아이스박스_5호</t>
  </si>
  <si>
    <t>아이스박스_6호</t>
  </si>
  <si>
    <t>아이스박스_7호</t>
  </si>
  <si>
    <t>종이박스_1호</t>
  </si>
  <si>
    <t>종이박스_2호</t>
  </si>
  <si>
    <t>종이박스_2호(강)</t>
    <phoneticPr fontId="2" type="noConversion"/>
  </si>
  <si>
    <t>종이박스_3호</t>
  </si>
  <si>
    <t>종이박스_4호</t>
  </si>
  <si>
    <t>종이박스_5호</t>
  </si>
  <si>
    <t>아이스팩_500g</t>
  </si>
  <si>
    <t>아이스팩_1000g</t>
  </si>
  <si>
    <t>PCM</t>
  </si>
  <si>
    <t>에어캡</t>
  </si>
  <si>
    <t>인쇄물 작업</t>
  </si>
  <si>
    <t>폼텍라벨/제작비용</t>
  </si>
  <si>
    <t xml:space="preserve">   소     계    (부  자  재)</t>
    <phoneticPr fontId="2" type="noConversion"/>
  </si>
  <si>
    <t>작업료_골라담기</t>
    <phoneticPr fontId="2" type="noConversion"/>
  </si>
  <si>
    <t>작업료_세트/홈쇼핑</t>
    <phoneticPr fontId="2" type="noConversion"/>
  </si>
  <si>
    <t>작업료_송장부착</t>
    <phoneticPr fontId="2" type="noConversion"/>
  </si>
  <si>
    <t>작업료_스티커부착</t>
    <phoneticPr fontId="2" type="noConversion"/>
  </si>
  <si>
    <t xml:space="preserve">   소     계    (작  업  료)</t>
    <phoneticPr fontId="2" type="noConversion"/>
  </si>
  <si>
    <t xml:space="preserve">   소     계    (택  배  비)</t>
    <phoneticPr fontId="2" type="noConversion"/>
  </si>
  <si>
    <t>차량출고비</t>
    <phoneticPr fontId="2" type="noConversion"/>
  </si>
  <si>
    <t xml:space="preserve">   소     계    (차량출고비)</t>
    <phoneticPr fontId="2" type="noConversion"/>
  </si>
  <si>
    <t>클레임</t>
    <phoneticPr fontId="2" type="noConversion"/>
  </si>
  <si>
    <t xml:space="preserve">   소     계    (클  레  임)</t>
    <phoneticPr fontId="2" type="noConversion"/>
  </si>
  <si>
    <t>부직포_부자재비</t>
  </si>
  <si>
    <t xml:space="preserve">   소     계    (기      타)</t>
    <phoneticPr fontId="2" type="noConversion"/>
  </si>
  <si>
    <t>1. 귀사의 일익 번창 하심을 기원합니다.</t>
    <phoneticPr fontId="2" type="noConversion"/>
  </si>
  <si>
    <t>2. 세부 내역은 다음 시트에서 확인 가능합니다.</t>
    <phoneticPr fontId="2" type="noConversion"/>
  </si>
  <si>
    <t>요 약 (일반)</t>
    <phoneticPr fontId="2" type="noConversion"/>
  </si>
  <si>
    <t>요 약 (홈쇼핑)</t>
    <phoneticPr fontId="2" type="noConversion"/>
  </si>
  <si>
    <t>요 약 (도착보장)</t>
    <phoneticPr fontId="2" type="noConversion"/>
  </si>
  <si>
    <t>[  VAT 포함 ]</t>
    <phoneticPr fontId="2" type="noConversion"/>
  </si>
  <si>
    <t>품명</t>
  </si>
  <si>
    <t>수량</t>
    <phoneticPr fontId="27" type="noConversion"/>
  </si>
  <si>
    <t>단가</t>
  </si>
  <si>
    <t>공급가액</t>
  </si>
  <si>
    <t>세액</t>
  </si>
  <si>
    <t>합계액</t>
  </si>
  <si>
    <t>홈쇼핑_아이스박스_2K</t>
    <phoneticPr fontId="2" type="noConversion"/>
  </si>
  <si>
    <t>홈쇼핑_아이스박스_1호</t>
  </si>
  <si>
    <t>홈쇼핑_아이스박스_T135</t>
    <phoneticPr fontId="2" type="noConversion"/>
  </si>
  <si>
    <t>홈쇼핑_아이스박스_2호</t>
    <phoneticPr fontId="2" type="noConversion"/>
  </si>
  <si>
    <t>홈쇼핑_아이스박스_3호</t>
    <phoneticPr fontId="2" type="noConversion"/>
  </si>
  <si>
    <t>홈쇼핑_아이스박스_4호</t>
    <phoneticPr fontId="2" type="noConversion"/>
  </si>
  <si>
    <t>홈쇼핑_종이박스_1호</t>
    <phoneticPr fontId="2" type="noConversion"/>
  </si>
  <si>
    <t>홈쇼핑_종이박스_2호</t>
  </si>
  <si>
    <t>홈쇼핑_종이박스_2호(강)</t>
    <phoneticPr fontId="2" type="noConversion"/>
  </si>
  <si>
    <t>홈쇼핑_종이박스_3호</t>
  </si>
  <si>
    <t>합계 금액</t>
    <phoneticPr fontId="2" type="noConversion"/>
  </si>
  <si>
    <t>도착_폼텍라벨/제작비용</t>
  </si>
  <si>
    <t>요 약 (쿠팡)</t>
    <phoneticPr fontId="2" type="noConversion"/>
  </si>
  <si>
    <t>작업료_해체비</t>
    <phoneticPr fontId="2" type="noConversion"/>
  </si>
  <si>
    <t>제주추가운임비</t>
    <phoneticPr fontId="27" type="noConversion"/>
  </si>
  <si>
    <t>도서산간추가운임비</t>
    <phoneticPr fontId="27" type="noConversion"/>
  </si>
  <si>
    <t>반품비</t>
    <phoneticPr fontId="27" type="noConversion"/>
  </si>
  <si>
    <t>폐기비</t>
    <phoneticPr fontId="2" type="noConversion"/>
  </si>
  <si>
    <t>목우촌(부서)</t>
    <phoneticPr fontId="1" type="noConversion"/>
  </si>
  <si>
    <t>일반</t>
    <phoneticPr fontId="27" type="noConversion"/>
  </si>
  <si>
    <t>㈜농협목우촌</t>
    <phoneticPr fontId="13" type="noConversion"/>
  </si>
  <si>
    <t>일반_아이스박스_2K</t>
    <phoneticPr fontId="13" type="noConversion"/>
  </si>
  <si>
    <t>일반_아이스박스_1호</t>
    <phoneticPr fontId="13" type="noConversion"/>
  </si>
  <si>
    <t>일반_아이스박스_T135</t>
    <phoneticPr fontId="13" type="noConversion"/>
  </si>
  <si>
    <t>일반_아이스박스_2호</t>
    <phoneticPr fontId="13" type="noConversion"/>
  </si>
  <si>
    <t>일반_아이스박스_3호</t>
    <phoneticPr fontId="13" type="noConversion"/>
  </si>
  <si>
    <t>일반_아이스박스_4호</t>
    <phoneticPr fontId="13" type="noConversion"/>
  </si>
  <si>
    <t>일반_아이스박스_5호</t>
    <phoneticPr fontId="13" type="noConversion"/>
  </si>
  <si>
    <t>일반_아이스박스_6호</t>
    <phoneticPr fontId="13" type="noConversion"/>
  </si>
  <si>
    <t>일반_아이스박스_7호</t>
    <phoneticPr fontId="2" type="noConversion"/>
  </si>
  <si>
    <t>일반_아이스박스_1호</t>
  </si>
  <si>
    <t>일반_아이스박스_T135</t>
  </si>
  <si>
    <t>일반_아이스박스_2호</t>
  </si>
  <si>
    <t>일반_아이스박스_3호</t>
  </si>
  <si>
    <t>일반_아이스박스_4호</t>
  </si>
  <si>
    <t>일반_아이스박스_5호</t>
  </si>
  <si>
    <t>일반_아이스박스_6호</t>
  </si>
  <si>
    <t>일반_아이스박스_7호</t>
  </si>
  <si>
    <t>냉동_송장부착</t>
    <phoneticPr fontId="13" type="noConversion"/>
  </si>
  <si>
    <t>일반_종이박스_1호</t>
    <phoneticPr fontId="13" type="noConversion"/>
  </si>
  <si>
    <t>일반_종이박스_2호</t>
  </si>
  <si>
    <t>일반_종이박스_2호 (강)</t>
    <phoneticPr fontId="13" type="noConversion"/>
  </si>
  <si>
    <t>일반_종이박스_3호</t>
  </si>
  <si>
    <t>일반_종이박스_4호</t>
  </si>
  <si>
    <t>일반_종이박스_5호</t>
  </si>
  <si>
    <t>송장부착</t>
    <phoneticPr fontId="13" type="noConversion"/>
  </si>
  <si>
    <t>보냉세트
(1개)</t>
    <phoneticPr fontId="13" type="noConversion"/>
  </si>
  <si>
    <t>보냉세트
(2개)</t>
    <phoneticPr fontId="13" type="noConversion"/>
  </si>
  <si>
    <t>보냉 6호</t>
    <phoneticPr fontId="13" type="noConversion"/>
  </si>
  <si>
    <t>보냉 7호</t>
    <phoneticPr fontId="13" type="noConversion"/>
  </si>
  <si>
    <t>폴리세트
(1개)</t>
    <phoneticPr fontId="13" type="noConversion"/>
  </si>
  <si>
    <t>폴리세트
(2개)</t>
    <phoneticPr fontId="13" type="noConversion"/>
  </si>
  <si>
    <t>조립폴리세트</t>
    <phoneticPr fontId="13" type="noConversion"/>
  </si>
  <si>
    <t>부직포세트</t>
    <phoneticPr fontId="13" type="noConversion"/>
  </si>
  <si>
    <t>송장부착세트</t>
    <phoneticPr fontId="13" type="noConversion"/>
  </si>
  <si>
    <t>총수량</t>
  </si>
  <si>
    <t>PCM</t>
    <phoneticPr fontId="2" type="noConversion"/>
  </si>
  <si>
    <t>드라이아이스</t>
  </si>
  <si>
    <t>에어캡</t>
    <phoneticPr fontId="13" type="noConversion"/>
  </si>
  <si>
    <t>인쇄물 작업</t>
    <phoneticPr fontId="13" type="noConversion"/>
  </si>
  <si>
    <t>폼텍라벨/
제작비용</t>
  </si>
  <si>
    <t>신선테이핑 작업</t>
    <phoneticPr fontId="13" type="noConversion"/>
  </si>
  <si>
    <t>작업료_골라담기</t>
    <phoneticPr fontId="13" type="noConversion"/>
  </si>
  <si>
    <t>작업료_세트/홈쇼핑</t>
    <phoneticPr fontId="13" type="noConversion"/>
  </si>
  <si>
    <t>작업료_부직포세트</t>
    <phoneticPr fontId="13" type="noConversion"/>
  </si>
  <si>
    <t>작업료_송장부착</t>
    <phoneticPr fontId="13" type="noConversion"/>
  </si>
  <si>
    <t>작업료_조립폴리</t>
    <phoneticPr fontId="13" type="noConversion"/>
  </si>
  <si>
    <t>작업료_해체비</t>
  </si>
  <si>
    <r>
      <rPr>
        <b/>
        <sz val="9"/>
        <color theme="1"/>
        <rFont val="맑은 고딕"/>
        <family val="3"/>
        <charset val="129"/>
      </rPr>
      <t>저온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택배비</t>
    </r>
    <r>
      <rPr>
        <b/>
        <sz val="9"/>
        <color theme="1"/>
        <rFont val="Arial"/>
        <family val="2"/>
      </rPr>
      <t>_</t>
    </r>
    <r>
      <rPr>
        <b/>
        <sz val="9"/>
        <color theme="1"/>
        <rFont val="맑은 고딕"/>
        <family val="2"/>
        <charset val="129"/>
      </rPr>
      <t>극소</t>
    </r>
    <phoneticPr fontId="13" type="noConversion"/>
  </si>
  <si>
    <r>
      <rPr>
        <b/>
        <sz val="9"/>
        <color theme="1"/>
        <rFont val="맑은 고딕"/>
        <family val="3"/>
        <charset val="129"/>
      </rPr>
      <t>저온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택배비</t>
    </r>
    <r>
      <rPr>
        <b/>
        <sz val="9"/>
        <color theme="1"/>
        <rFont val="Arial"/>
        <family val="2"/>
      </rPr>
      <t>_</t>
    </r>
    <r>
      <rPr>
        <b/>
        <sz val="9"/>
        <color theme="1"/>
        <rFont val="맑은 고딕"/>
        <family val="2"/>
        <charset val="129"/>
      </rPr>
      <t>소</t>
    </r>
    <phoneticPr fontId="13" type="noConversion"/>
  </si>
  <si>
    <r>
      <rPr>
        <b/>
        <sz val="9"/>
        <color theme="1"/>
        <rFont val="맑은 고딕"/>
        <family val="3"/>
        <charset val="129"/>
      </rPr>
      <t>저온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택배비</t>
    </r>
    <r>
      <rPr>
        <b/>
        <sz val="9"/>
        <color theme="1"/>
        <rFont val="Arial"/>
        <family val="2"/>
      </rPr>
      <t>_</t>
    </r>
    <r>
      <rPr>
        <b/>
        <sz val="9"/>
        <color theme="1"/>
        <rFont val="맑은 고딕"/>
        <family val="2"/>
        <charset val="129"/>
      </rPr>
      <t>중</t>
    </r>
    <phoneticPr fontId="13" type="noConversion"/>
  </si>
  <si>
    <r>
      <rPr>
        <b/>
        <sz val="9"/>
        <color theme="1"/>
        <rFont val="맑은 고딕"/>
        <family val="3"/>
        <charset val="129"/>
      </rPr>
      <t>저온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택배비</t>
    </r>
    <r>
      <rPr>
        <b/>
        <sz val="9"/>
        <color theme="1"/>
        <rFont val="Arial"/>
        <family val="2"/>
      </rPr>
      <t>_</t>
    </r>
    <r>
      <rPr>
        <b/>
        <sz val="9"/>
        <color theme="1"/>
        <rFont val="맑은 고딕"/>
        <family val="2"/>
        <charset val="129"/>
      </rPr>
      <t>대</t>
    </r>
    <phoneticPr fontId="13" type="noConversion"/>
  </si>
  <si>
    <r>
      <rPr>
        <b/>
        <sz val="9"/>
        <color theme="1"/>
        <rFont val="맑은 고딕"/>
        <family val="3"/>
        <charset val="129"/>
      </rPr>
      <t>저온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택배비</t>
    </r>
    <r>
      <rPr>
        <b/>
        <sz val="9"/>
        <color theme="1"/>
        <rFont val="Arial"/>
        <family val="2"/>
      </rPr>
      <t>_</t>
    </r>
    <r>
      <rPr>
        <b/>
        <sz val="9"/>
        <color theme="1"/>
        <rFont val="맑은 고딕"/>
        <family val="2"/>
        <charset val="129"/>
      </rPr>
      <t>대2</t>
    </r>
    <phoneticPr fontId="13" type="noConversion"/>
  </si>
  <si>
    <r>
      <rPr>
        <b/>
        <sz val="9"/>
        <color theme="1"/>
        <rFont val="맑은 고딕"/>
        <family val="3"/>
        <charset val="129"/>
      </rPr>
      <t>저온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택배비</t>
    </r>
    <r>
      <rPr>
        <b/>
        <sz val="9"/>
        <color theme="1"/>
        <rFont val="Arial"/>
        <family val="2"/>
      </rPr>
      <t>_</t>
    </r>
    <r>
      <rPr>
        <b/>
        <sz val="9"/>
        <color theme="1"/>
        <rFont val="맑은 고딕"/>
        <family val="2"/>
        <charset val="129"/>
      </rPr>
      <t>이형</t>
    </r>
    <r>
      <rPr>
        <b/>
        <sz val="9"/>
        <color theme="1"/>
        <rFont val="Arial"/>
        <family val="3"/>
        <charset val="129"/>
      </rPr>
      <t>1</t>
    </r>
    <phoneticPr fontId="13" type="noConversion"/>
  </si>
  <si>
    <t>상온_택배비_극소</t>
  </si>
  <si>
    <t>상온_택배비_소</t>
  </si>
  <si>
    <t>상온_택배비_중</t>
  </si>
  <si>
    <t>상온_택배비_대</t>
  </si>
  <si>
    <t>입고비_Pallet</t>
  </si>
  <si>
    <t>입고비_BOX</t>
  </si>
  <si>
    <t>특이사항</t>
    <phoneticPr fontId="13" type="noConversion"/>
  </si>
  <si>
    <t>사이즈</t>
    <phoneticPr fontId="13" type="noConversion"/>
  </si>
  <si>
    <t>극소</t>
    <phoneticPr fontId="13" type="noConversion"/>
  </si>
  <si>
    <t>소</t>
    <phoneticPr fontId="13" type="noConversion"/>
  </si>
  <si>
    <t>중</t>
    <phoneticPr fontId="13" type="noConversion"/>
  </si>
  <si>
    <t>대</t>
    <phoneticPr fontId="13" type="noConversion"/>
  </si>
  <si>
    <t>극소</t>
  </si>
  <si>
    <t>소</t>
  </si>
  <si>
    <t>중</t>
  </si>
  <si>
    <t>대</t>
  </si>
  <si>
    <t>보냉팩</t>
    <phoneticPr fontId="13" type="noConversion"/>
  </si>
  <si>
    <t>폴리백</t>
    <phoneticPr fontId="13" type="noConversion"/>
  </si>
  <si>
    <t>부직포</t>
    <phoneticPr fontId="13" type="noConversion"/>
  </si>
  <si>
    <t>대2</t>
    <phoneticPr fontId="13" type="noConversion"/>
  </si>
  <si>
    <t>이형</t>
    <phoneticPr fontId="13" type="noConversion"/>
  </si>
  <si>
    <t>품온</t>
    <phoneticPr fontId="2" type="noConversion"/>
  </si>
  <si>
    <t>냉장</t>
    <phoneticPr fontId="2" type="noConversion"/>
  </si>
  <si>
    <t>냉동</t>
    <phoneticPr fontId="2" type="noConversion"/>
  </si>
  <si>
    <t>상온</t>
    <phoneticPr fontId="2" type="noConversion"/>
  </si>
  <si>
    <t>세트</t>
    <phoneticPr fontId="13" type="noConversion"/>
  </si>
  <si>
    <t/>
  </si>
  <si>
    <t>합 계</t>
    <phoneticPr fontId="13" type="noConversion"/>
  </si>
  <si>
    <t>※ 아이스팩(중), 신선테이핑 작업료 - 상온 부직포 선물세트 건수 제외</t>
    <phoneticPr fontId="13" type="noConversion"/>
  </si>
  <si>
    <t>※ PCM - 냉동 부직포 선물세트 건수 포함</t>
    <phoneticPr fontId="13" type="noConversion"/>
  </si>
  <si>
    <t>CJ온스타일</t>
    <phoneticPr fontId="27" type="noConversion"/>
  </si>
  <si>
    <t>공영쇼핑</t>
  </si>
  <si>
    <t>NS홈쇼핑</t>
    <phoneticPr fontId="2" type="noConversion"/>
  </si>
  <si>
    <t>CJ온스타일,공영은 작업비만</t>
  </si>
  <si>
    <t>NS는 작업비+택배비까지 청구</t>
  </si>
  <si>
    <t>홈쇼핑_아이스박스_1호
냉장</t>
  </si>
  <si>
    <t>홈쇼핑_아이스박스_1호
냉동</t>
  </si>
  <si>
    <t>홈쇼핑_아이스박스_T135
냉장</t>
  </si>
  <si>
    <t>홈쇼핑_아이스박스_2호
냉장</t>
  </si>
  <si>
    <t>홈쇼핑_아이스박스_2호
냉동</t>
  </si>
  <si>
    <t>홈쇼핑_아이스박스_3호
냉장</t>
  </si>
  <si>
    <t>홈쇼핑_아이스박스_3호
냉동</t>
  </si>
  <si>
    <t>홈쇼핑_아이스박스_4호
냉장</t>
  </si>
  <si>
    <t>홈쇼핑_아이스박스_4호
냉동</t>
  </si>
  <si>
    <t>홈쇼핑_아이스박스_5호
냉장</t>
  </si>
  <si>
    <t>홈쇼핑_아이스박스_5호
냉동</t>
  </si>
  <si>
    <t>홈쇼핑_아이스박스_6호
냉장</t>
  </si>
  <si>
    <t>홈쇼핑_아이스박스_6호
냉동</t>
  </si>
  <si>
    <t xml:space="preserve">홈쇼핑_종이박스_1호
</t>
  </si>
  <si>
    <t xml:space="preserve">홈쇼핑_종이박스_2호
</t>
  </si>
  <si>
    <t xml:space="preserve">홈쇼핑_종이박스_4호
</t>
    <phoneticPr fontId="13" type="noConversion"/>
  </si>
  <si>
    <t xml:space="preserve">홈쇼핑_종이박스_5호
</t>
    <phoneticPr fontId="13" type="noConversion"/>
  </si>
  <si>
    <t>일반_종이박스_2호 (두껍)</t>
  </si>
  <si>
    <t>홈쇼핑_아이스박스_2k
냉장</t>
    <phoneticPr fontId="13" type="noConversion"/>
  </si>
  <si>
    <t>홈쇼핑_아이스박스_1호
냉동</t>
    <phoneticPr fontId="2" type="noConversion"/>
  </si>
  <si>
    <t>홈쇼핑_아이스박스_T135
냉동</t>
  </si>
  <si>
    <t>홈쇼핑_아이스박스_2호
냉장</t>
    <phoneticPr fontId="13" type="noConversion"/>
  </si>
  <si>
    <t>홈쇼핑_아이스박스_3호
냉동</t>
    <phoneticPr fontId="13" type="noConversion"/>
  </si>
  <si>
    <t>홈쇼핑_종이박스_1호</t>
  </si>
  <si>
    <t>드라이아이스</t>
    <phoneticPr fontId="2" type="noConversion"/>
  </si>
  <si>
    <t>작업료_세트/홈쇼핑_해체</t>
    <phoneticPr fontId="13" type="noConversion"/>
  </si>
  <si>
    <r>
      <t>저온</t>
    </r>
    <r>
      <rPr>
        <b/>
        <sz val="9"/>
        <color rgb="FF000000"/>
        <rFont val="Arial"/>
        <family val="2"/>
      </rPr>
      <t>_</t>
    </r>
    <r>
      <rPr>
        <b/>
        <sz val="9"/>
        <color rgb="FF000000"/>
        <rFont val="맑은 고딕"/>
        <family val="3"/>
        <charset val="129"/>
      </rPr>
      <t>택배비</t>
    </r>
    <r>
      <rPr>
        <b/>
        <sz val="9"/>
        <color rgb="FF000000"/>
        <rFont val="Arial"/>
        <family val="2"/>
      </rPr>
      <t>_</t>
    </r>
    <r>
      <rPr>
        <b/>
        <sz val="9"/>
        <color rgb="FF000000"/>
        <rFont val="맑은 고딕"/>
        <family val="3"/>
        <charset val="129"/>
      </rPr>
      <t>극소</t>
    </r>
  </si>
  <si>
    <r>
      <t>저온</t>
    </r>
    <r>
      <rPr>
        <b/>
        <sz val="9"/>
        <color rgb="FF000000"/>
        <rFont val="Arial"/>
        <family val="2"/>
      </rPr>
      <t>_</t>
    </r>
    <r>
      <rPr>
        <b/>
        <sz val="9"/>
        <color rgb="FF000000"/>
        <rFont val="맑은 고딕"/>
        <family val="3"/>
        <charset val="129"/>
      </rPr>
      <t>택배비</t>
    </r>
    <r>
      <rPr>
        <b/>
        <sz val="9"/>
        <color rgb="FF000000"/>
        <rFont val="Arial"/>
        <family val="2"/>
      </rPr>
      <t>_</t>
    </r>
    <r>
      <rPr>
        <b/>
        <sz val="9"/>
        <color rgb="FF000000"/>
        <rFont val="맑은 고딕"/>
        <family val="3"/>
        <charset val="129"/>
      </rPr>
      <t>소</t>
    </r>
  </si>
  <si>
    <t>작업료_완충제포장</t>
  </si>
  <si>
    <t>작업료_완충제인입</t>
  </si>
  <si>
    <t>작업료_부직포가방</t>
  </si>
  <si>
    <t>로켓프레시</t>
    <phoneticPr fontId="13" type="noConversion"/>
  </si>
  <si>
    <t>로켓그로스</t>
    <phoneticPr fontId="2" type="noConversion"/>
  </si>
  <si>
    <t>쿠팡 샘플</t>
    <phoneticPr fontId="13" type="noConversion"/>
  </si>
  <si>
    <t>쿠팡_450g</t>
    <phoneticPr fontId="13" type="noConversion"/>
  </si>
  <si>
    <t>쿠팡_육포
30~35g</t>
  </si>
  <si>
    <t>쿠팡_캔햄
1.8kg</t>
  </si>
  <si>
    <t>쿠팡_육포100g</t>
    <phoneticPr fontId="13" type="noConversion"/>
  </si>
  <si>
    <t>쿠팡_뚝심</t>
    <phoneticPr fontId="13" type="noConversion"/>
  </si>
  <si>
    <t>쿠팡_선물세트</t>
    <phoneticPr fontId="2" type="noConversion"/>
  </si>
  <si>
    <t>쿠팡_700g
쿠팡_850g
펫사료</t>
    <phoneticPr fontId="13" type="noConversion"/>
  </si>
  <si>
    <t>로켓그로스_사료</t>
    <phoneticPr fontId="2" type="noConversion"/>
  </si>
  <si>
    <t>작업료_스티커 부착</t>
    <phoneticPr fontId="13" type="noConversion"/>
  </si>
  <si>
    <r>
      <rPr>
        <b/>
        <sz val="9"/>
        <color theme="1"/>
        <rFont val="맑은 고딕"/>
        <family val="3"/>
        <charset val="129"/>
      </rPr>
      <t>상온</t>
    </r>
    <r>
      <rPr>
        <b/>
        <sz val="9"/>
        <color theme="1"/>
        <rFont val="Arial"/>
        <family val="2"/>
      </rPr>
      <t>_</t>
    </r>
    <r>
      <rPr>
        <b/>
        <sz val="9"/>
        <color theme="1"/>
        <rFont val="맑은 고딕"/>
        <family val="3"/>
        <charset val="129"/>
      </rPr>
      <t>택배비</t>
    </r>
    <r>
      <rPr>
        <b/>
        <sz val="9"/>
        <color theme="1"/>
        <rFont val="Arial"/>
        <family val="2"/>
      </rPr>
      <t>_</t>
    </r>
    <r>
      <rPr>
        <b/>
        <sz val="9"/>
        <color theme="1"/>
        <rFont val="맑은 고딕"/>
        <family val="2"/>
        <charset val="129"/>
      </rPr>
      <t>극소</t>
    </r>
    <phoneticPr fontId="2" type="noConversion"/>
  </si>
  <si>
    <t>소</t>
    <phoneticPr fontId="2" type="noConversion"/>
  </si>
  <si>
    <t>중</t>
    <phoneticPr fontId="2" type="noConversion"/>
  </si>
  <si>
    <t>도착보장</t>
  </si>
  <si>
    <t>도착_아이스박스_2K</t>
    <phoneticPr fontId="2" type="noConversion"/>
  </si>
  <si>
    <t>도착_아이스박스_1호</t>
  </si>
  <si>
    <t>도착_아이스박스_T135</t>
    <phoneticPr fontId="2" type="noConversion"/>
  </si>
  <si>
    <t>도착_아이스박스_2호</t>
  </si>
  <si>
    <t>도착_아이스박스_3호</t>
  </si>
  <si>
    <t>도착_아이스박스_4호</t>
  </si>
  <si>
    <t>도착_아이스박스_5호</t>
  </si>
  <si>
    <t>도착_아이스박스_6호</t>
  </si>
  <si>
    <t>도착_아이스박스_7호</t>
    <phoneticPr fontId="2" type="noConversion"/>
  </si>
  <si>
    <t>도착_냉동 송장부착</t>
    <phoneticPr fontId="13" type="noConversion"/>
  </si>
  <si>
    <t>도착_종이박스_1호</t>
    <phoneticPr fontId="13" type="noConversion"/>
  </si>
  <si>
    <t>도착_종이박스_2호</t>
  </si>
  <si>
    <t>도착_종이박스_2호(강)</t>
    <phoneticPr fontId="2" type="noConversion"/>
  </si>
  <si>
    <t>도착_종이박스_3호</t>
  </si>
  <si>
    <t>도착_종이박스_4호</t>
  </si>
  <si>
    <t>도착_종이박스_5호</t>
  </si>
  <si>
    <t>도착_송장부착</t>
    <phoneticPr fontId="2" type="noConversion"/>
  </si>
  <si>
    <t>부직포세트</t>
    <phoneticPr fontId="2" type="noConversion"/>
  </si>
  <si>
    <t>도착_아이스팩_500g</t>
  </si>
  <si>
    <t>도착_아이스팩_1000g</t>
  </si>
  <si>
    <t>도착_PCM</t>
    <phoneticPr fontId="2" type="noConversion"/>
  </si>
  <si>
    <t>도착_드라이아이스</t>
  </si>
  <si>
    <t>도착_에어캡</t>
    <phoneticPr fontId="2" type="noConversion"/>
  </si>
  <si>
    <t>도착_인쇄물 작업</t>
    <phoneticPr fontId="2" type="noConversion"/>
  </si>
  <si>
    <t>도착_신선테이핑 작업</t>
    <phoneticPr fontId="2" type="noConversion"/>
  </si>
  <si>
    <t>도착_작업료_골라담기</t>
    <phoneticPr fontId="13" type="noConversion"/>
  </si>
  <si>
    <t>도착_작업료_세트/홈쇼핑</t>
    <phoneticPr fontId="13" type="noConversion"/>
  </si>
  <si>
    <t>도착_부직포세트</t>
    <phoneticPr fontId="2" type="noConversion"/>
  </si>
  <si>
    <t>도착_작업료_송장부착</t>
    <phoneticPr fontId="2" type="noConversion"/>
  </si>
  <si>
    <t>도착_작업료_완충제포장</t>
  </si>
  <si>
    <t>도착_작업료_완충제인입</t>
  </si>
  <si>
    <r>
      <rPr>
        <b/>
        <sz val="9"/>
        <color theme="1"/>
        <rFont val="맑은 고딕"/>
        <family val="3"/>
        <charset val="129"/>
      </rPr>
      <t>도착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저온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택배비</t>
    </r>
    <r>
      <rPr>
        <b/>
        <sz val="9"/>
        <color theme="1"/>
        <rFont val="Arial"/>
        <family val="2"/>
      </rPr>
      <t>_</t>
    </r>
    <r>
      <rPr>
        <b/>
        <sz val="9"/>
        <color theme="1"/>
        <rFont val="맑은 고딕"/>
        <family val="2"/>
        <charset val="129"/>
      </rPr>
      <t>극소</t>
    </r>
    <phoneticPr fontId="13" type="noConversion"/>
  </si>
  <si>
    <r>
      <rPr>
        <b/>
        <sz val="9"/>
        <color theme="1"/>
        <rFont val="맑은 고딕"/>
        <family val="3"/>
        <charset val="129"/>
      </rPr>
      <t>도착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저온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택배비</t>
    </r>
    <r>
      <rPr>
        <b/>
        <sz val="9"/>
        <color theme="1"/>
        <rFont val="Arial"/>
        <family val="2"/>
      </rPr>
      <t>_</t>
    </r>
    <r>
      <rPr>
        <b/>
        <sz val="9"/>
        <color theme="1"/>
        <rFont val="맑은 고딕"/>
        <family val="2"/>
        <charset val="129"/>
      </rPr>
      <t>소</t>
    </r>
    <phoneticPr fontId="13" type="noConversion"/>
  </si>
  <si>
    <r>
      <rPr>
        <b/>
        <sz val="9"/>
        <color theme="1"/>
        <rFont val="맑은 고딕"/>
        <family val="3"/>
        <charset val="129"/>
      </rPr>
      <t>도착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저온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택배비</t>
    </r>
    <r>
      <rPr>
        <b/>
        <sz val="9"/>
        <color theme="1"/>
        <rFont val="Arial"/>
        <family val="2"/>
      </rPr>
      <t>_</t>
    </r>
    <r>
      <rPr>
        <b/>
        <sz val="9"/>
        <color theme="1"/>
        <rFont val="맑은 고딕"/>
        <family val="2"/>
        <charset val="129"/>
      </rPr>
      <t>중</t>
    </r>
    <phoneticPr fontId="13" type="noConversion"/>
  </si>
  <si>
    <r>
      <rPr>
        <b/>
        <sz val="9"/>
        <color theme="1"/>
        <rFont val="맑은 고딕"/>
        <family val="3"/>
        <charset val="129"/>
      </rPr>
      <t>도착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저온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택배비</t>
    </r>
    <r>
      <rPr>
        <b/>
        <sz val="9"/>
        <color theme="1"/>
        <rFont val="Arial"/>
        <family val="2"/>
      </rPr>
      <t>_</t>
    </r>
    <r>
      <rPr>
        <b/>
        <sz val="9"/>
        <color theme="1"/>
        <rFont val="맑은 고딕"/>
        <family val="2"/>
        <charset val="129"/>
      </rPr>
      <t>대</t>
    </r>
    <phoneticPr fontId="13" type="noConversion"/>
  </si>
  <si>
    <r>
      <rPr>
        <b/>
        <sz val="9"/>
        <color theme="1"/>
        <rFont val="맑은 고딕"/>
        <family val="3"/>
        <charset val="129"/>
      </rPr>
      <t>도착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저온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택배비</t>
    </r>
    <r>
      <rPr>
        <b/>
        <sz val="9"/>
        <color theme="1"/>
        <rFont val="Arial"/>
        <family val="2"/>
      </rPr>
      <t>_</t>
    </r>
    <r>
      <rPr>
        <b/>
        <sz val="9"/>
        <color theme="1"/>
        <rFont val="맑은 고딕"/>
        <family val="2"/>
        <charset val="129"/>
      </rPr>
      <t>대2</t>
    </r>
    <phoneticPr fontId="13" type="noConversion"/>
  </si>
  <si>
    <r>
      <rPr>
        <b/>
        <sz val="9"/>
        <color theme="1"/>
        <rFont val="맑은 고딕"/>
        <family val="3"/>
        <charset val="129"/>
      </rPr>
      <t>도착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저온</t>
    </r>
    <r>
      <rPr>
        <b/>
        <sz val="9"/>
        <color theme="1"/>
        <rFont val="Arial"/>
        <family val="3"/>
      </rPr>
      <t>_</t>
    </r>
    <r>
      <rPr>
        <b/>
        <sz val="9"/>
        <color theme="1"/>
        <rFont val="맑은 고딕"/>
        <family val="3"/>
        <charset val="129"/>
      </rPr>
      <t>택배비</t>
    </r>
    <r>
      <rPr>
        <b/>
        <sz val="9"/>
        <color theme="1"/>
        <rFont val="Arial"/>
        <family val="2"/>
      </rPr>
      <t>_</t>
    </r>
    <r>
      <rPr>
        <b/>
        <sz val="9"/>
        <color theme="1"/>
        <rFont val="맑은 고딕"/>
        <family val="2"/>
        <charset val="129"/>
      </rPr>
      <t>이형</t>
    </r>
    <phoneticPr fontId="13" type="noConversion"/>
  </si>
  <si>
    <t>도착_상온_택배비_극소</t>
  </si>
  <si>
    <t>도착_상온_택배비_소</t>
  </si>
  <si>
    <t>도착_상온_택배비_중</t>
  </si>
  <si>
    <t>도착_상온_택배비_대</t>
  </si>
  <si>
    <t>극소</t>
    <phoneticPr fontId="2" type="noConversion"/>
  </si>
  <si>
    <t>부직포</t>
    <phoneticPr fontId="2" type="noConversion"/>
  </si>
  <si>
    <t>대2</t>
    <phoneticPr fontId="2" type="noConversion"/>
  </si>
  <si>
    <t>이형</t>
    <phoneticPr fontId="2" type="noConversion"/>
  </si>
  <si>
    <t>냉장</t>
  </si>
  <si>
    <t>목우촌 일별 보관료 산정</t>
    <phoneticPr fontId="7" type="noConversion"/>
  </si>
  <si>
    <t>목우촌 월별 보관료 산정</t>
    <phoneticPr fontId="7" type="noConversion"/>
  </si>
  <si>
    <t>Total</t>
    <phoneticPr fontId="7" type="noConversion"/>
  </si>
  <si>
    <t>[ Pallet ]</t>
    <phoneticPr fontId="7" type="noConversion"/>
  </si>
  <si>
    <t>일자</t>
    <phoneticPr fontId="7" type="noConversion"/>
  </si>
  <si>
    <t>냉장</t>
    <phoneticPr fontId="7" type="noConversion"/>
  </si>
  <si>
    <t>냉동</t>
    <phoneticPr fontId="7" type="noConversion"/>
  </si>
  <si>
    <t>합계</t>
    <phoneticPr fontId="2" type="noConversion"/>
  </si>
  <si>
    <t>일별수량</t>
    <phoneticPr fontId="2" type="noConversion"/>
  </si>
  <si>
    <t>평균</t>
    <phoneticPr fontId="7" type="noConversion"/>
  </si>
  <si>
    <t>비율</t>
    <phoneticPr fontId="2" type="noConversion"/>
  </si>
  <si>
    <t>평균수량</t>
    <phoneticPr fontId="2" type="noConversion"/>
  </si>
  <si>
    <t>평균팔레트</t>
    <phoneticPr fontId="2" type="noConversion"/>
  </si>
  <si>
    <t>일별 보관료 산정</t>
    <phoneticPr fontId="7" type="noConversion"/>
  </si>
  <si>
    <t>월별 보관료 산정</t>
    <phoneticPr fontId="7" type="noConversion"/>
  </si>
  <si>
    <t>No.</t>
    <phoneticPr fontId="2" type="noConversion"/>
  </si>
  <si>
    <t>운송장번호</t>
  </si>
  <si>
    <t>받는분</t>
  </si>
  <si>
    <t>주소</t>
  </si>
  <si>
    <t>출고일</t>
    <phoneticPr fontId="2" type="noConversion"/>
  </si>
  <si>
    <t>구분</t>
    <phoneticPr fontId="2" type="noConversion"/>
  </si>
  <si>
    <t>금액</t>
    <phoneticPr fontId="2" type="noConversion"/>
  </si>
  <si>
    <t>강한철</t>
  </si>
  <si>
    <t>제주특별자치도 서귀포시 남원읍</t>
  </si>
  <si>
    <t>[M냉장]주부9단 살코기햄 1kg**</t>
  </si>
  <si>
    <t>제주</t>
  </si>
  <si>
    <t>임명진</t>
  </si>
  <si>
    <t>제주특별자치도 제주시 진서로6길</t>
  </si>
  <si>
    <t>[M상온]★번들★뚝심340gx3</t>
  </si>
  <si>
    <t>이은주</t>
  </si>
  <si>
    <t>제주특별자치도 제주시 애월읍</t>
  </si>
  <si>
    <t>[M냉장]★번들★주부9단 올바른오리훈제450g</t>
  </si>
  <si>
    <t>현경우</t>
  </si>
  <si>
    <t>제주특별자치도 서귀포시 서홍로</t>
  </si>
  <si>
    <t>[M냉동]무항)닭가슴살IQF 1000*</t>
  </si>
  <si>
    <t>오한나</t>
  </si>
  <si>
    <t>제주특별자치도 제주시 조천읍</t>
  </si>
  <si>
    <t>[M냉장]주부9단 나주배 오리훈제200g</t>
  </si>
  <si>
    <t>김연</t>
  </si>
  <si>
    <t>제주특별자치도 제주시 화삼로</t>
  </si>
  <si>
    <t>[M냉동]쏘바삭 ★청양레드★ 300g ★주황색★</t>
  </si>
  <si>
    <t>이혜연</t>
  </si>
  <si>
    <t>강지원</t>
  </si>
  <si>
    <t>전라남도 완도군 생일면</t>
  </si>
  <si>
    <t>[M냉동]풍미삼계탕 1kg</t>
  </si>
  <si>
    <t>도서산간</t>
  </si>
  <si>
    <t>김진훈</t>
  </si>
  <si>
    <t>경상북도 울릉군 북면</t>
  </si>
  <si>
    <t>양은영</t>
  </si>
  <si>
    <t>제주특별자치도 제주시 일주동로</t>
  </si>
  <si>
    <t>정맹순</t>
  </si>
  <si>
    <t>전라남도 영광군 낙월면</t>
  </si>
  <si>
    <t>[M냉동]돈육꽃삼겹살 500g</t>
  </si>
  <si>
    <t>김현진</t>
  </si>
  <si>
    <t>제주특별자치도 제주시 대통길</t>
  </si>
  <si>
    <t>송봉협</t>
  </si>
  <si>
    <t>제주특별자치도 제주시 선사로8길</t>
  </si>
  <si>
    <t>이창용</t>
  </si>
  <si>
    <t>제주특별자치도 제주시 원노형로</t>
  </si>
  <si>
    <t>이지연</t>
  </si>
  <si>
    <t>제주특별자치도 제주시 오현길</t>
  </si>
  <si>
    <t>[M냉동] 목우촌 저당 한입닭가슴살 100g*15팩(3종*5팩)</t>
  </si>
  <si>
    <t>천하림</t>
  </si>
  <si>
    <t>제주특별자치도 제주시 우정로11길</t>
  </si>
  <si>
    <t>[M상온]생생육포오리지널30g</t>
  </si>
  <si>
    <t>박혜영</t>
  </si>
  <si>
    <t>[M냉장]주부9단 로스구이햄250g**</t>
  </si>
  <si>
    <t>성지은</t>
  </si>
  <si>
    <t>제주특별자치도 제주시 서사로10길</t>
  </si>
  <si>
    <t>고은익</t>
  </si>
  <si>
    <t>제주특별자치도 제주시 남녕로</t>
  </si>
  <si>
    <t>서미혜</t>
  </si>
  <si>
    <t>전라남도 여수시 남면</t>
  </si>
  <si>
    <t>[M상온]주부9 닭개장450g</t>
  </si>
  <si>
    <t>이미자</t>
  </si>
  <si>
    <t>제주특별자치도 제주시 서사로17길</t>
  </si>
  <si>
    <t>전미희</t>
  </si>
  <si>
    <t>제주특별자치도 제주시 천수동로</t>
  </si>
  <si>
    <t>[M냉장]F2) 주부9단 블랙페퍼 닭가슴살 420g(하담)</t>
  </si>
  <si>
    <t>[M냉동] 목우촌 저당 통닭가슴살 100g*15팩(3종*5팩)</t>
  </si>
  <si>
    <t>박홍선</t>
  </si>
  <si>
    <t>제주특별자치도 제주시 화삼북로</t>
  </si>
  <si>
    <t>좌희경</t>
  </si>
  <si>
    <t>제주특별자치도 제주시 연오로</t>
  </si>
  <si>
    <t>노선희</t>
  </si>
  <si>
    <t>제주특별자치도 서귀포시 표선면</t>
  </si>
  <si>
    <t>이도훈</t>
  </si>
  <si>
    <t>제주특별자치도 제주시 동문로21길</t>
  </si>
  <si>
    <t>이혜선</t>
  </si>
  <si>
    <t>제주특별자치도 서귀포시 서호남로</t>
  </si>
  <si>
    <t>안효빈</t>
  </si>
  <si>
    <t>제주특별자치도 서귀포시 안덕면</t>
  </si>
  <si>
    <t>노민정</t>
  </si>
  <si>
    <t>제주특별자치도 제주시 아봉로</t>
  </si>
  <si>
    <t>오대성</t>
  </si>
  <si>
    <t>김지연</t>
  </si>
  <si>
    <t>제주특별자치도 서귀포시 중앙로195번길</t>
  </si>
  <si>
    <t>고은애</t>
  </si>
  <si>
    <t>제주특별자치도 제주시 성화로7길</t>
  </si>
  <si>
    <t>양현란</t>
  </si>
  <si>
    <t>김동철</t>
  </si>
  <si>
    <t>전라남도 여수시 삼산면</t>
  </si>
  <si>
    <t>[M냉장]생생삼계탕  1kg**</t>
  </si>
  <si>
    <t>이영아</t>
  </si>
  <si>
    <t>제주특별자치도 제주시 중앙로17길</t>
  </si>
  <si>
    <t>[M상온펫]펫9단 포메라니안 사료 1.8kg (전연령)</t>
  </si>
  <si>
    <t>김은주</t>
  </si>
  <si>
    <t>제주특별자치도 제주시 첨단로동길</t>
  </si>
  <si>
    <t>[M냉동]목우촌 저당 한입닭가슴살 강정맛 100g</t>
  </si>
  <si>
    <t>[M냉장]주부9단육즙가득프랑크490g</t>
  </si>
  <si>
    <t>윤슬기</t>
  </si>
  <si>
    <t>제주특별자치도 제주시 건주로4길</t>
  </si>
  <si>
    <t>박애영</t>
  </si>
  <si>
    <t>임희인</t>
  </si>
  <si>
    <t>제주특별자치도 서귀포시 신서로</t>
  </si>
  <si>
    <t>최부식</t>
  </si>
  <si>
    <t>손주희</t>
  </si>
  <si>
    <t>제주특별자치도 제주시 서해안로</t>
  </si>
  <si>
    <t>이동엽</t>
  </si>
  <si>
    <t>경상북도 울릉군 울릉읍</t>
  </si>
  <si>
    <t>[M냉장]주부9단프랑크소시지 500g**</t>
  </si>
  <si>
    <t>김동훈</t>
  </si>
  <si>
    <t>제주특별자치도 제주시 월평8길</t>
  </si>
  <si>
    <t>[M냉장]오리훈제 180g**</t>
  </si>
  <si>
    <t>이세은</t>
  </si>
  <si>
    <t>제주특별자치도 제주시 한경면</t>
  </si>
  <si>
    <t>[M상온]주부9단 한우 사골곰탕 450g(리뉴얼)</t>
  </si>
  <si>
    <t>정우리</t>
  </si>
  <si>
    <t>제주특별자치도 제주시 신대로</t>
  </si>
  <si>
    <t>[M냉동]골든치킨너겟 1.1kg*</t>
  </si>
  <si>
    <t>이정수</t>
  </si>
  <si>
    <t>제주특별자치도 제주시 지석15길</t>
  </si>
  <si>
    <t>김나윤</t>
  </si>
  <si>
    <t>김가은</t>
  </si>
  <si>
    <t>[M냉장]주부9단 훈제치킨(닭다리) 120g**</t>
  </si>
  <si>
    <t>김하나</t>
  </si>
  <si>
    <t>제주특별자치도 제주시 연삼로</t>
  </si>
  <si>
    <t>조순영</t>
  </si>
  <si>
    <t>허영희</t>
  </si>
  <si>
    <t>제주특별자치도 제주시 구좌읍</t>
  </si>
  <si>
    <t>김지애</t>
  </si>
  <si>
    <t>제주특별자치도 제주시 연동12길</t>
  </si>
  <si>
    <t>[M냉장]홀그레인머스타드소스 160g**</t>
  </si>
  <si>
    <t>박인영</t>
  </si>
  <si>
    <t>제주특별자치도 제주시 한림읍</t>
  </si>
  <si>
    <t>변덕진</t>
  </si>
  <si>
    <t>강경두</t>
  </si>
  <si>
    <t>제주특별자치도 서귀포시 성산읍</t>
  </si>
  <si>
    <t>[M냉동] 목우촌 반마리 옛날통닭 190g</t>
  </si>
  <si>
    <t>고승운</t>
  </si>
  <si>
    <t>[M냉동]목우촌 흑돈 갈비만두 420g *</t>
  </si>
  <si>
    <t>허용후</t>
  </si>
  <si>
    <t>제주특별자치도 제주시 인다1길</t>
  </si>
  <si>
    <t>김경민</t>
  </si>
  <si>
    <t>제주특별자치도 서귀포시 대정읍</t>
  </si>
  <si>
    <t>정주연</t>
  </si>
  <si>
    <t>제주특별자치도 제주시 성신북길</t>
  </si>
  <si>
    <t>[M냉장]참나무훈연 오리훈제 410g**</t>
  </si>
  <si>
    <t>윤석찬</t>
  </si>
  <si>
    <t>양선옥</t>
  </si>
  <si>
    <t>[M상온펫]펫9단 푸들 사료 1.8kg (전연령)</t>
  </si>
  <si>
    <t>김순화</t>
  </si>
  <si>
    <t>제주특별자치도 제주시 성화로10길</t>
  </si>
  <si>
    <t>윤영준</t>
  </si>
  <si>
    <t>전남 진도군 조도면</t>
  </si>
  <si>
    <t>권경희</t>
  </si>
  <si>
    <t>[M냉장]프라임 식빵위의네모 110g**</t>
  </si>
  <si>
    <t>정현숙</t>
  </si>
  <si>
    <t>제주특별자치도 제주시 정존9길</t>
  </si>
  <si>
    <t>[M상온]위글위글 피크닉 매트</t>
  </si>
  <si>
    <t>김수미</t>
  </si>
  <si>
    <t>제주특별자치도 서귀포시 법화로</t>
  </si>
  <si>
    <t>[M상온]안심삼계탕 850g</t>
  </si>
  <si>
    <t>전규민</t>
  </si>
  <si>
    <t>제주특별자치도 제주시 우령4길</t>
  </si>
  <si>
    <t>제주특별자치도 제주시 신성로7길</t>
  </si>
  <si>
    <t>이루다</t>
  </si>
  <si>
    <t>강수진</t>
  </si>
  <si>
    <t>제주특별자치도 제주시 임항로</t>
  </si>
  <si>
    <t>김동균</t>
  </si>
  <si>
    <t>현세훈</t>
  </si>
  <si>
    <t>제주특별자치도 서귀포시 대청로</t>
  </si>
  <si>
    <t>강규선</t>
  </si>
  <si>
    <t>제주특별자치도 제주시 연화로</t>
  </si>
  <si>
    <t>안진아</t>
  </si>
  <si>
    <t>제주특별자치도 제주시 신성마을2길</t>
  </si>
  <si>
    <t>조정록</t>
  </si>
  <si>
    <t>경북 울릉군 울릉읍</t>
  </si>
  <si>
    <t>정소윤</t>
  </si>
  <si>
    <t>제주특별자치도 서귀포시 중앙로48번길</t>
  </si>
  <si>
    <t>김재진</t>
  </si>
  <si>
    <t>제주특별자치도 제주시 신설로5길</t>
  </si>
  <si>
    <t>고용범</t>
  </si>
  <si>
    <t>제주특별자치도 제주시 진군길</t>
  </si>
  <si>
    <t>김승만</t>
  </si>
  <si>
    <t>양용준</t>
  </si>
  <si>
    <t>강혜원</t>
  </si>
  <si>
    <t>제주특별자치도 서귀포시 홍중동로</t>
  </si>
  <si>
    <t>이충호</t>
  </si>
  <si>
    <t>제주특별자치도 제주시 금월길</t>
  </si>
  <si>
    <t>한지혜</t>
  </si>
  <si>
    <t>제주특별자치도 제주시 승천로</t>
  </si>
  <si>
    <t>이보람</t>
  </si>
  <si>
    <t>제주특별자치도 제주시 1100로</t>
  </si>
  <si>
    <t>고민수</t>
  </si>
  <si>
    <t>제주특별자치도 제주시 연수로</t>
  </si>
  <si>
    <t>강은정</t>
  </si>
  <si>
    <t>제주특별자치도 제주시 오라로10길</t>
  </si>
  <si>
    <t>김윤미</t>
  </si>
  <si>
    <t>제주특별자치도 제주시 아란15길</t>
  </si>
  <si>
    <t>강영근</t>
  </si>
  <si>
    <t>제주특별자치도 제주시 과원로</t>
  </si>
  <si>
    <t>김소정</t>
  </si>
  <si>
    <t>제주특별자치도 제주시 오남로</t>
  </si>
  <si>
    <t>김정심</t>
  </si>
  <si>
    <t>제주특별자치도 제주시 우령8길</t>
  </si>
  <si>
    <t>정해룡</t>
  </si>
  <si>
    <t>정향경</t>
  </si>
  <si>
    <t>제주특별자치도 제주시 아연로</t>
  </si>
  <si>
    <t>현진영</t>
  </si>
  <si>
    <t>김인식</t>
  </si>
  <si>
    <t>제주특별자치도 제주시 남성로</t>
  </si>
  <si>
    <t>양임성</t>
  </si>
  <si>
    <t>강민범</t>
  </si>
  <si>
    <t>제주특별자치도 제주시 사평4길</t>
  </si>
  <si>
    <t>김현우</t>
  </si>
  <si>
    <t>제주특별자치도 제주시 구남동2길</t>
  </si>
  <si>
    <t>이현규</t>
  </si>
  <si>
    <t>제주특별자치도 제주시 연북로</t>
  </si>
  <si>
    <t>이용주</t>
  </si>
  <si>
    <t>제주특별자치도 제주시 금천길</t>
  </si>
  <si>
    <t>박정하</t>
  </si>
  <si>
    <t>제주특별자치도 제주시 산천단동3길</t>
  </si>
  <si>
    <t>박정아</t>
  </si>
  <si>
    <t>양상현</t>
  </si>
  <si>
    <t>제주특별자치도 제주시 구릉동산길</t>
  </si>
  <si>
    <t>현혜순</t>
  </si>
  <si>
    <t>현미옥</t>
  </si>
  <si>
    <t>제주특별자치도 제주시 홍랑길</t>
  </si>
  <si>
    <t>문철환</t>
  </si>
  <si>
    <t>제주특별자치도 제주시 박성내서길</t>
  </si>
  <si>
    <t>이경하</t>
  </si>
  <si>
    <t>정준혁</t>
  </si>
  <si>
    <t>제주특별자치도 제주시 구남동8길</t>
  </si>
  <si>
    <t>유금석</t>
  </si>
  <si>
    <t>제주특별자치도 제주시 기와5길</t>
  </si>
  <si>
    <t>현순식</t>
  </si>
  <si>
    <t>제주특별자치도 제주시 수덕11길</t>
  </si>
  <si>
    <t>홍영만</t>
  </si>
  <si>
    <t>제주특별자치도 제주시 수덕9길</t>
  </si>
  <si>
    <t>김성균</t>
  </si>
  <si>
    <t>문정민</t>
  </si>
  <si>
    <t>제주특별자치도 제주시 수덕5길</t>
  </si>
  <si>
    <t>채철기</t>
  </si>
  <si>
    <t>제주특별자치도 제주시 북성로</t>
  </si>
  <si>
    <t>신동열</t>
  </si>
  <si>
    <t>제주특별자치도 제주시 승천로2길</t>
  </si>
  <si>
    <t>최은순</t>
  </si>
  <si>
    <t>제주특별자치도 제주시 원노형2길</t>
  </si>
  <si>
    <t>강경배</t>
  </si>
  <si>
    <t>제주특별자치도 제주시 정존3길</t>
  </si>
  <si>
    <t>조재훈</t>
  </si>
  <si>
    <t>제주특별자치도 제주시 황사평6길</t>
  </si>
  <si>
    <t>오현수</t>
  </si>
  <si>
    <t>제주특별자치도 서귀포시 동홍로99번길</t>
  </si>
  <si>
    <t>한주원</t>
  </si>
  <si>
    <t>고덕화</t>
  </si>
  <si>
    <t>주일량</t>
  </si>
  <si>
    <t>[M냉장]★번들★갈비맛바420**</t>
  </si>
  <si>
    <t>조무영</t>
  </si>
  <si>
    <t>제주특별자치도 제주시 용강7길</t>
  </si>
  <si>
    <t>[M상온펫]펫 동결건조 북어트릿 70g</t>
  </si>
  <si>
    <t>강태훈</t>
  </si>
  <si>
    <t>제주특별자치도 제주시 우정로15길</t>
  </si>
  <si>
    <t>[M냉동]오곡순살치킨 530g*</t>
  </si>
  <si>
    <t>이민화</t>
  </si>
  <si>
    <t>[M상온]뚝심 200g</t>
  </si>
  <si>
    <t>지학섭</t>
  </si>
  <si>
    <t>전라남도 완도군 청산면</t>
  </si>
  <si>
    <t>김수완</t>
  </si>
  <si>
    <t>제주특별자치도 제주시 동화로1길</t>
  </si>
  <si>
    <t>[M냉동]목우촌 저당 통닭가슴살 버터갈릭맛 100g</t>
  </si>
  <si>
    <t>이영식</t>
  </si>
  <si>
    <t>변용규</t>
  </si>
  <si>
    <t>제주특별자치도 제주시 광양6길</t>
  </si>
  <si>
    <t>해인</t>
  </si>
  <si>
    <t>제주특별자치도 제주시 중앙로</t>
  </si>
  <si>
    <t>폴라니포케</t>
  </si>
  <si>
    <t>제주특별자치도 제주시 동광로</t>
  </si>
  <si>
    <t>[M냉장]주부9단 그릴드 닭가슴살 680g</t>
  </si>
  <si>
    <t>문효민</t>
  </si>
  <si>
    <t>제주특별자치도 제주시 인다15길</t>
  </si>
  <si>
    <t>이현명</t>
  </si>
  <si>
    <t>제주특별자치도 서귀포시 태평로512번길</t>
  </si>
  <si>
    <t>김윤수</t>
  </si>
  <si>
    <t>제주특별자치도 제주시 연동4길</t>
  </si>
  <si>
    <t>한승용</t>
  </si>
  <si>
    <t>양융근</t>
  </si>
  <si>
    <t>제주특별자치도 제주시 기와4길</t>
  </si>
  <si>
    <t>윤수나</t>
  </si>
  <si>
    <t>김승룡</t>
  </si>
  <si>
    <t>제주특별자치도 제주시 해안마을7길</t>
  </si>
  <si>
    <t>부경미</t>
  </si>
  <si>
    <t>김은진</t>
  </si>
  <si>
    <t>송성준</t>
  </si>
  <si>
    <t>제주특별자치도 제주시 수덕로</t>
  </si>
  <si>
    <t>김은영</t>
  </si>
  <si>
    <t>제주특별자치도 제주시 도남로17길</t>
  </si>
  <si>
    <t>현승은</t>
  </si>
  <si>
    <t>송은아</t>
  </si>
  <si>
    <t>제주특별자치도 제주시 고마로</t>
  </si>
  <si>
    <t>고봉진</t>
  </si>
  <si>
    <t>제주특별자치도 제주시 흥운길</t>
  </si>
  <si>
    <t>이은재</t>
  </si>
  <si>
    <t>고창균</t>
  </si>
  <si>
    <t>제주특별자치도 제주시 천수로11길</t>
  </si>
  <si>
    <t>한주연</t>
  </si>
  <si>
    <t>제주특별자치도 제주시 신대로13길</t>
  </si>
  <si>
    <t>권민지</t>
  </si>
  <si>
    <t>제주특별자치도 제주시 인다13길</t>
  </si>
  <si>
    <t>[M냉장] 티니핑치즈프랑크160*2</t>
  </si>
  <si>
    <t>오성진</t>
  </si>
  <si>
    <t>신지우</t>
  </si>
  <si>
    <t>제주특별자치도 서귀포시 태평로</t>
  </si>
  <si>
    <t>문유미</t>
  </si>
  <si>
    <t>제주특별자치도 제주시 월산남4길</t>
  </si>
  <si>
    <t>안다민</t>
  </si>
  <si>
    <t>김현하</t>
  </si>
  <si>
    <t>박상미</t>
  </si>
  <si>
    <t>제주특별자치도 제주시 고마로9길</t>
  </si>
  <si>
    <t>오문태</t>
  </si>
  <si>
    <t>김민욱</t>
  </si>
  <si>
    <t>김정희</t>
  </si>
  <si>
    <t>제주특별자치도 제주시 신성로10길</t>
  </si>
  <si>
    <t>김민건</t>
  </si>
  <si>
    <t>신종훈</t>
  </si>
  <si>
    <t>제주특별자치도 제주시 국기로</t>
  </si>
  <si>
    <t>이규식</t>
  </si>
  <si>
    <t>전상익</t>
  </si>
  <si>
    <t>제주특별자치도 제주시 우평로</t>
  </si>
  <si>
    <t>오아현</t>
  </si>
  <si>
    <t>^*</t>
  </si>
  <si>
    <t>[M냉장]주부9단 로스팅 북경식오리520g</t>
  </si>
  <si>
    <t>김태열</t>
  </si>
  <si>
    <t>제주특별자치도 제주시 기자길</t>
  </si>
  <si>
    <t>김경순</t>
  </si>
  <si>
    <t>제주특별자치도 제주시 서광로25길</t>
  </si>
  <si>
    <t>고경이</t>
  </si>
  <si>
    <t>제주특별자치도 제주시 용남1길</t>
  </si>
  <si>
    <t>유해강</t>
  </si>
  <si>
    <t>강봉희</t>
  </si>
  <si>
    <t>제주특별자치도 제주시 우정로3길</t>
  </si>
  <si>
    <t>김다영</t>
  </si>
  <si>
    <t>박정언</t>
  </si>
  <si>
    <t>전라남도 완도군 노화읍</t>
  </si>
  <si>
    <t>김동규</t>
  </si>
  <si>
    <t>제주특별자치도 제주시 신설로</t>
  </si>
  <si>
    <t>김성만</t>
  </si>
  <si>
    <t>제주특별자치도 제주시 광양2길</t>
  </si>
  <si>
    <t>오정률</t>
  </si>
  <si>
    <t>허진욱</t>
  </si>
  <si>
    <t>박유경</t>
  </si>
  <si>
    <t>오은주</t>
  </si>
  <si>
    <t>제주특별자치도 서귀포시 중정로</t>
  </si>
  <si>
    <t>좌영림</t>
  </si>
  <si>
    <t>문은주</t>
  </si>
  <si>
    <t>제주특별자치도 제주시 남성로8길</t>
  </si>
  <si>
    <t>양태우</t>
  </si>
  <si>
    <t>김동륜</t>
  </si>
  <si>
    <t>제주특별자치도 제주시 광평동로</t>
  </si>
  <si>
    <t>[M상온]뚝심 340g</t>
  </si>
  <si>
    <t>김영순</t>
  </si>
  <si>
    <t>제주특별자치도 제주시 신산로1길</t>
  </si>
  <si>
    <t>홍경석</t>
  </si>
  <si>
    <t>윤현기</t>
  </si>
  <si>
    <t>제주특별자치도 제주시 동고산로</t>
  </si>
  <si>
    <t>박준우</t>
  </si>
  <si>
    <t>제주특별자치도 제주시 만덕로3길</t>
  </si>
  <si>
    <t>김솔이</t>
  </si>
  <si>
    <t>제주특별자치도 서귀포시 중문상로82번길</t>
  </si>
  <si>
    <t>황지원</t>
  </si>
  <si>
    <t>제주특별자치도 제주시 번영로</t>
  </si>
  <si>
    <t>윤준서</t>
  </si>
  <si>
    <t>강미경</t>
  </si>
  <si>
    <t>제주특별자치도 제주시 우도면</t>
  </si>
  <si>
    <t>천창수회장님</t>
  </si>
  <si>
    <t>제주시 조천읍 와흘2길</t>
  </si>
  <si>
    <t>[M냉장]주부9단 ★번들★로스구이햄500g **</t>
  </si>
  <si>
    <t>남은조</t>
  </si>
  <si>
    <t>문영희</t>
  </si>
  <si>
    <t>제주특별자치도 제주시 선덕로8길</t>
  </si>
  <si>
    <t>[M냉장]생생녹두삼계탕 1kg**</t>
  </si>
  <si>
    <t>이경희</t>
  </si>
  <si>
    <t>노민지</t>
  </si>
  <si>
    <t>제주특별자치도 제주시 동성길</t>
  </si>
  <si>
    <t>김준혁</t>
  </si>
  <si>
    <t>제주추가운임비 합계 금액 [ VAT 포함 ]</t>
    <phoneticPr fontId="2" type="noConversion"/>
  </si>
  <si>
    <t>도서산간추가운임비 합계 금액 [ VAT 포함 ]</t>
    <phoneticPr fontId="2" type="noConversion"/>
  </si>
  <si>
    <t>합계 금액 [ VAT 포함 ]</t>
    <phoneticPr fontId="2" type="noConversion"/>
  </si>
  <si>
    <t>원송장번호</t>
    <phoneticPr fontId="2" type="noConversion"/>
  </si>
  <si>
    <t>고객명</t>
    <phoneticPr fontId="2" type="noConversion"/>
  </si>
  <si>
    <t>품목코드</t>
    <phoneticPr fontId="2" type="noConversion"/>
  </si>
  <si>
    <t>방민경</t>
  </si>
  <si>
    <t>201991000052</t>
  </si>
  <si>
    <t>[M냉동]주부9단 바삭(파랑) 치킨텐더 600g(사조)</t>
  </si>
  <si>
    <t>고객사요청</t>
  </si>
  <si>
    <t>이은기</t>
  </si>
  <si>
    <t>302039437116 </t>
  </si>
  <si>
    <t>유지영</t>
  </si>
  <si>
    <t xml:space="preserve">	[M냉장]오리훈제 180g**</t>
  </si>
  <si>
    <t>박준희</t>
  </si>
  <si>
    <t>[M냉장] 프라임 비엔나 1kg(7개입)</t>
  </si>
  <si>
    <t>정은주</t>
  </si>
  <si>
    <t xml:space="preserve">	[M냉장]주부9단 살코기햄 1kg**</t>
  </si>
  <si>
    <t>서지민</t>
  </si>
  <si>
    <t>[M냉장]주부9단 살코기햄 ★600g★**</t>
  </si>
  <si>
    <t>정승욱</t>
  </si>
  <si>
    <t>임수진</t>
  </si>
  <si>
    <t xml:space="preserve">	[M냉장]주부9단프랑크소시지 500g**</t>
  </si>
  <si>
    <t>로켓프레시</t>
  </si>
  <si>
    <t>쿠팡반품</t>
  </si>
  <si>
    <t>마감반영</t>
    <phoneticPr fontId="7" type="noConversion"/>
  </si>
  <si>
    <t>출고정보</t>
    <phoneticPr fontId="7" type="noConversion"/>
  </si>
  <si>
    <t>품명</t>
    <phoneticPr fontId="2" type="noConversion"/>
  </si>
  <si>
    <t>수량</t>
    <phoneticPr fontId="2" type="noConversion"/>
  </si>
  <si>
    <t>BOX</t>
    <phoneticPr fontId="7" type="noConversion"/>
  </si>
  <si>
    <t>P/T</t>
    <phoneticPr fontId="7" type="noConversion"/>
  </si>
  <si>
    <t>박스상차</t>
    <phoneticPr fontId="2" type="noConversion"/>
  </si>
  <si>
    <t>아이스팩(중)</t>
    <phoneticPr fontId="2" type="noConversion"/>
  </si>
  <si>
    <t>아이스팩(대)</t>
    <phoneticPr fontId="2" type="noConversion"/>
  </si>
  <si>
    <t>드라이</t>
    <phoneticPr fontId="2" type="noConversion"/>
  </si>
  <si>
    <t>박스
단가</t>
    <phoneticPr fontId="7" type="noConversion"/>
  </si>
  <si>
    <t>아이스팩(중)
단가</t>
    <phoneticPr fontId="2" type="noConversion"/>
  </si>
  <si>
    <t>아이스팩(대)
단가</t>
    <phoneticPr fontId="2" type="noConversion"/>
  </si>
  <si>
    <t>드라이아이스 단가</t>
    <phoneticPr fontId="2" type="noConversion"/>
  </si>
  <si>
    <t>pcm
단가</t>
    <phoneticPr fontId="2" type="noConversion"/>
  </si>
  <si>
    <t>기타부자재
단가</t>
    <phoneticPr fontId="2" type="noConversion"/>
  </si>
  <si>
    <t>래핑비용</t>
    <phoneticPr fontId="7" type="noConversion"/>
  </si>
  <si>
    <t>출고비</t>
    <phoneticPr fontId="2" type="noConversion"/>
  </si>
  <si>
    <t>파렛타이징</t>
    <phoneticPr fontId="7" type="noConversion"/>
  </si>
  <si>
    <t>작업비</t>
    <phoneticPr fontId="2" type="noConversion"/>
  </si>
  <si>
    <t>파렛트
이동전표 단가</t>
    <phoneticPr fontId="2" type="noConversion"/>
  </si>
  <si>
    <t>박스비
합계</t>
    <phoneticPr fontId="2" type="noConversion"/>
  </si>
  <si>
    <t>냉매제 합계</t>
    <phoneticPr fontId="2" type="noConversion"/>
  </si>
  <si>
    <t>기타부자재
합계</t>
    <phoneticPr fontId="2" type="noConversion"/>
  </si>
  <si>
    <t xml:space="preserve">작업비
합계 </t>
    <phoneticPr fontId="7" type="noConversion"/>
  </si>
  <si>
    <t>파렛트
이동합계</t>
    <phoneticPr fontId="7" type="noConversion"/>
  </si>
  <si>
    <t>차량</t>
    <phoneticPr fontId="7" type="noConversion"/>
  </si>
  <si>
    <t>총합계</t>
    <phoneticPr fontId="7" type="noConversion"/>
  </si>
  <si>
    <t>비고</t>
    <phoneticPr fontId="2" type="noConversion"/>
  </si>
  <si>
    <t>8/6(목) 목우촌 현동물류 차량출고</t>
  </si>
  <si>
    <t>[M상온]안심삼계탕세트1호 3.4Kg</t>
  </si>
  <si>
    <t>8/11(화) 목우촌 상주재가노인통합지원센터 특판 차량출고</t>
  </si>
  <si>
    <t>[M상온]안심삼계탕세트 2호</t>
  </si>
  <si>
    <t>8/13(목) 목우촌 오뚜기 이관 차량출고</t>
  </si>
  <si>
    <t>8/17(화)목우촌 리씽크 차량출고</t>
  </si>
  <si>
    <t>8/21(금) 목우촌 오리훈제 불량 맞교환 차량출고</t>
  </si>
  <si>
    <t>[M냉장] 목우촌 정성담은 한끼 오리훈제 130gx3개</t>
  </si>
  <si>
    <t>8/24(월) 목우촌 서안성 삼계탕 이관 차량출고(1)</t>
  </si>
  <si>
    <t>8/24(월) 목우촌 서안성 삼계탕 이관 차량출고(2)</t>
  </si>
  <si>
    <t>[M냉장]생생우슬삼계탕_냉장 1000g</t>
  </si>
  <si>
    <t>No.</t>
    <phoneticPr fontId="7" type="noConversion"/>
  </si>
  <si>
    <t>청구일</t>
    <phoneticPr fontId="7" type="noConversion"/>
  </si>
  <si>
    <t>센터</t>
    <phoneticPr fontId="2" type="noConversion"/>
  </si>
  <si>
    <t>업체명</t>
    <phoneticPr fontId="7" type="noConversion"/>
  </si>
  <si>
    <t>품목명</t>
    <phoneticPr fontId="7" type="noConversion"/>
  </si>
  <si>
    <t>개별중량(g)</t>
  </si>
  <si>
    <t>폐기수량</t>
  </si>
  <si>
    <t>총중량(g)</t>
  </si>
  <si>
    <t>총중량(kg)</t>
  </si>
  <si>
    <t>단가(원/kg)</t>
    <phoneticPr fontId="2" type="noConversion"/>
  </si>
  <si>
    <t>합계
(VAT포함)</t>
    <phoneticPr fontId="7" type="noConversion"/>
  </si>
  <si>
    <t>8월</t>
  </si>
  <si>
    <t>오산센터</t>
  </si>
  <si>
    <t>목우촌</t>
  </si>
  <si>
    <t>[M냉장]★번들★주부9단  옹기종기베이컨200g*2**</t>
  </si>
  <si>
    <t>[M냉장]주부9단 슬라이스햄 100g+100g**</t>
  </si>
  <si>
    <t>[M냉동] 주부9단 추억의돈까스390g</t>
  </si>
  <si>
    <t>[M냉동]목우촌 국내산 소고기 특수부위 300g(2등급)</t>
  </si>
  <si>
    <t>* 8/29 전산재고 차감</t>
  </si>
  <si>
    <t>접수일</t>
    <phoneticPr fontId="2" type="noConversion"/>
  </si>
  <si>
    <t>출고일</t>
  </si>
  <si>
    <t>송장번호</t>
  </si>
  <si>
    <t>성함</t>
  </si>
  <si>
    <t>분류</t>
  </si>
  <si>
    <t>클레임 사유</t>
  </si>
  <si>
    <t>품목코드</t>
  </si>
  <si>
    <t>누락제품</t>
    <phoneticPr fontId="2" type="noConversion"/>
  </si>
  <si>
    <t>수량</t>
  </si>
  <si>
    <t>오포장/사고제품</t>
    <phoneticPr fontId="2" type="noConversion"/>
  </si>
  <si>
    <t>재출고/환불</t>
    <phoneticPr fontId="2" type="noConversion"/>
  </si>
  <si>
    <t>제품금액</t>
  </si>
  <si>
    <t>배송비</t>
    <phoneticPr fontId="2" type="noConversion"/>
  </si>
  <si>
    <t>부자재</t>
    <phoneticPr fontId="2" type="noConversion"/>
  </si>
  <si>
    <t>총 변상액</t>
  </si>
  <si>
    <t>08월 04일</t>
  </si>
  <si>
    <t>07월 30일</t>
  </si>
  <si>
    <t>이경인</t>
  </si>
  <si>
    <t>아워사고</t>
  </si>
  <si>
    <t>누락</t>
  </si>
  <si>
    <t>[M상온]쇠고기육포 50g</t>
  </si>
  <si>
    <t>이영실</t>
  </si>
  <si>
    <t>[M상온]★번들★뚝심200gx3</t>
  </si>
  <si>
    <t>07월 29일</t>
  </si>
  <si>
    <t>채지선</t>
  </si>
  <si>
    <t>[M냉동]주부9단 닭가슴살 피쉬어묵바 까망베르70g★단품</t>
  </si>
  <si>
    <t>08월 05일</t>
  </si>
  <si>
    <t>07월 31일</t>
  </si>
  <si>
    <t>부미혜</t>
  </si>
  <si>
    <t>08월 06일</t>
  </si>
  <si>
    <t>김정호</t>
  </si>
  <si>
    <t>08월 02일</t>
  </si>
  <si>
    <t>유혜련</t>
  </si>
  <si>
    <t>[M냉동]목우촌 저당 한입닭가슴살 바베큐맛 100g</t>
  </si>
  <si>
    <t>오영미</t>
  </si>
  <si>
    <t>08월 03일</t>
  </si>
  <si>
    <t>길광순</t>
  </si>
  <si>
    <t>황유라</t>
  </si>
  <si>
    <t>환불내역서</t>
  </si>
  <si>
    <t>허은경</t>
  </si>
  <si>
    <t>[M상온]생생육포블랙페퍼30g</t>
  </si>
  <si>
    <t>이승헌</t>
  </si>
  <si>
    <t>강민성</t>
  </si>
  <si>
    <t>정은재</t>
  </si>
  <si>
    <t>08월 07일</t>
  </si>
  <si>
    <t>심정연</t>
  </si>
  <si>
    <t>[M냉장] 티니핑치즈비엔나175g*2</t>
  </si>
  <si>
    <t>김혜정</t>
  </si>
  <si>
    <t>신소영</t>
  </si>
  <si>
    <t>이재인</t>
  </si>
  <si>
    <t>08월 10일</t>
  </si>
  <si>
    <t>이남희</t>
  </si>
  <si>
    <t>08월 11일</t>
  </si>
  <si>
    <t>남성혜</t>
  </si>
  <si>
    <t>크로바유통</t>
  </si>
  <si>
    <t>박우민</t>
  </si>
  <si>
    <t>[M냉장]뽀로로와친구들파프리카라운드햄230gx2개**</t>
  </si>
  <si>
    <t>김진주</t>
  </si>
  <si>
    <t>08월 12일</t>
  </si>
  <si>
    <t>김경미</t>
  </si>
  <si>
    <t>윤지혜</t>
  </si>
  <si>
    <t>[M냉동]열)골든치킨너겟☆720g☆*</t>
  </si>
  <si>
    <t>이상훈</t>
  </si>
  <si>
    <t>[M냉장]★번들★뽀로로프랑크 번들(130g*3)**</t>
  </si>
  <si>
    <t>08월 14일</t>
  </si>
  <si>
    <t>정일천</t>
  </si>
  <si>
    <t>[M냉장]주부9단메종콜드컷햄페퍼370g</t>
  </si>
  <si>
    <t>08월 18일</t>
  </si>
  <si>
    <t>최경진</t>
  </si>
  <si>
    <t>박미라</t>
  </si>
  <si>
    <t>박미림</t>
  </si>
  <si>
    <t>[M냉동]목우촌 저당 통닭가슴살 숯불매콤맛 100g</t>
  </si>
  <si>
    <t>박보람</t>
  </si>
  <si>
    <t>08월 20일</t>
  </si>
  <si>
    <t>박문정</t>
  </si>
  <si>
    <t>[M냉동]강된장시래기표고버섯밥 215g</t>
  </si>
  <si>
    <t>김명선</t>
  </si>
  <si>
    <t>김미혜</t>
  </si>
  <si>
    <t>안현영</t>
  </si>
  <si>
    <t>[M냉동]목우촌 저당 통닭가슴살 데리야끼맛 100g</t>
  </si>
  <si>
    <t>08월 21일</t>
  </si>
  <si>
    <t>이금자</t>
  </si>
  <si>
    <t>8월 18일</t>
  </si>
  <si>
    <t>김미순</t>
  </si>
  <si>
    <t>8월 11일</t>
  </si>
  <si>
    <t>김란</t>
  </si>
  <si>
    <t>[M냉동]무항생제IQF아랫날개(윙)1kg</t>
  </si>
  <si>
    <t>08월 24일</t>
  </si>
  <si>
    <t>8월 19일</t>
  </si>
  <si>
    <t>이훈</t>
  </si>
  <si>
    <t>[M냉장] 주부9단 ★172g★ 육즙팡팡 비엔나 소시지</t>
  </si>
  <si>
    <t>8월 20일</t>
  </si>
  <si>
    <t>고경남</t>
  </si>
  <si>
    <t>[M냉장]주부9단순살학센슬라이스500g**</t>
  </si>
  <si>
    <t>전응석</t>
  </si>
  <si>
    <t>8월 21일</t>
  </si>
  <si>
    <t>신중련</t>
  </si>
  <si>
    <t>[M상온]치즈뚝심200g</t>
  </si>
  <si>
    <t>08월 31일</t>
  </si>
  <si>
    <t>8월 28일</t>
  </si>
  <si>
    <t>하지연</t>
  </si>
  <si>
    <t>[M냉장] 뽀로로 비엔나 ★270g★</t>
  </si>
  <si>
    <t>성미경</t>
  </si>
  <si>
    <t>아이스팩 파손</t>
  </si>
  <si>
    <t>07월 28일</t>
  </si>
  <si>
    <t>아이스팩누락</t>
  </si>
  <si>
    <t>08월 19일</t>
  </si>
  <si>
    <t>신승원</t>
  </si>
  <si>
    <t>창립기념세트(축산)[M냉장]목우촌 프로포크 목살500g (1EA) + [M냉장] 뽀로로 비엔나 ★270g★ (1EA) + [M냉장] 주부9단 ★350g★ 육즙팡팡 프랑크 소시지 (1EA) + [M냉장] 목우촌 정성담은 한끼 오리훈제 130gx3개 (1EA) + [M상온]안심삼계탕 850g (1EA) + [M상온] 쌍화삼계탕 850g (1EA) + [M냉장]주부9단메종콜드컷햄페퍼370g (1EA)</t>
  </si>
  <si>
    <t xml:space="preserve"> - </t>
  </si>
  <si>
    <t>홍윤경</t>
  </si>
  <si>
    <t>아이스팩터짐</t>
  </si>
  <si>
    <t>박현숙</t>
  </si>
  <si>
    <t>박진희</t>
  </si>
  <si>
    <t>방길수</t>
  </si>
  <si>
    <t>아이스팩파손</t>
  </si>
  <si>
    <t>박현아</t>
  </si>
  <si>
    <t>유통기한없는 상품 배송</t>
  </si>
  <si>
    <t>주성원</t>
  </si>
  <si>
    <t>임박재고출고</t>
  </si>
  <si>
    <t>박새롬</t>
  </si>
  <si>
    <t>택배사고</t>
  </si>
  <si>
    <t>파손수령</t>
  </si>
  <si>
    <t>박우상</t>
  </si>
  <si>
    <t>박스갈이</t>
  </si>
  <si>
    <t>08월 01일</t>
  </si>
  <si>
    <t>오창규</t>
  </si>
  <si>
    <t>배송지연</t>
  </si>
  <si>
    <t>한아름</t>
  </si>
  <si>
    <t>07월 27일</t>
  </si>
  <si>
    <t>비니배니</t>
  </si>
  <si>
    <t>서정복</t>
  </si>
  <si>
    <t>이정례</t>
  </si>
  <si>
    <t>김응록</t>
  </si>
  <si>
    <t>박하니</t>
  </si>
  <si>
    <t>[M냉동]뽀로로 크리스피 핫도그 400g* ★파란색★</t>
  </si>
  <si>
    <t>[M냉동]뽀로로 크리스피 치즈 핫도그 320g* ★빨간색★</t>
  </si>
  <si>
    <t>황영ㅁ</t>
  </si>
  <si>
    <t>이경배</t>
  </si>
  <si>
    <t>정우현</t>
  </si>
  <si>
    <t>김옥기</t>
  </si>
  <si>
    <t>박민경</t>
  </si>
  <si>
    <t>[M냉장]주부9단 비엔나소시지 700g(F3/사조)</t>
  </si>
  <si>
    <t>최민지</t>
  </si>
  <si>
    <t>박성웅</t>
  </si>
  <si>
    <t>[M냉장]★번들★주부9단 오븐구이 닭가슴살스테이크420g</t>
  </si>
  <si>
    <t>강은애</t>
  </si>
  <si>
    <t>정미화</t>
  </si>
  <si>
    <t>[M냉장]★번들★뽀로로 비엔나 번들(270g*2)**</t>
  </si>
  <si>
    <t>박미선</t>
  </si>
  <si>
    <t>이정희사장님</t>
  </si>
  <si>
    <t>양은지</t>
  </si>
  <si>
    <t>[M냉장]주부9단비엔나450g(F3/사조)</t>
  </si>
  <si>
    <t>배민제</t>
  </si>
  <si>
    <t>08월 08일</t>
  </si>
  <si>
    <t>정윤지</t>
  </si>
  <si>
    <t>[M냉동] 주부9단 손맛가득 동그랑땡 360g</t>
  </si>
  <si>
    <t>선율이네</t>
  </si>
  <si>
    <t>권정애</t>
  </si>
  <si>
    <t>[M냉동]주부9단 오븐구이떡갈비 1kg*</t>
  </si>
  <si>
    <t>권나영</t>
  </si>
  <si>
    <t>[M냉동]주부9단 닭가슴살 피쉬어묵바 매콤70g★단품★</t>
  </si>
  <si>
    <t>김꽇</t>
  </si>
  <si>
    <t>윤소라</t>
  </si>
  <si>
    <t>선지영</t>
  </si>
  <si>
    <t>양지혜</t>
  </si>
  <si>
    <t>남윤철</t>
  </si>
  <si>
    <t>강효범</t>
  </si>
  <si>
    <t>김기림</t>
  </si>
  <si>
    <t>안도원</t>
  </si>
  <si>
    <t>08월 16일</t>
  </si>
  <si>
    <t>장승선</t>
  </si>
  <si>
    <t>강기호</t>
  </si>
  <si>
    <t>김민선</t>
  </si>
  <si>
    <t>[M냉동]목우촌 저당 한입닭가슴살 머쉬룸크림맛 100g</t>
  </si>
  <si>
    <t>손장훈</t>
  </si>
  <si>
    <t>김준영</t>
  </si>
  <si>
    <t>[M냉동]쉐프9단 목우촌 탕수육 1.5kg*</t>
  </si>
  <si>
    <t>8월 12일</t>
  </si>
  <si>
    <t>김은정</t>
  </si>
  <si>
    <t>임동규</t>
  </si>
  <si>
    <t>김태정</t>
  </si>
  <si>
    <t>[M상온] 참소스 300g</t>
  </si>
  <si>
    <t>[M냉동]통등심 돈까스 500g(분홍색)*</t>
  </si>
  <si>
    <t>변광호</t>
  </si>
  <si>
    <t>정미경</t>
  </si>
  <si>
    <t>서상한</t>
  </si>
  <si>
    <t>김민상</t>
  </si>
  <si>
    <t>이정은</t>
  </si>
  <si>
    <t>김인성</t>
  </si>
  <si>
    <t>[M냉동]목우촌 생생포차 순살 닭강정 220g*</t>
  </si>
  <si>
    <t>신동원</t>
  </si>
  <si>
    <t>김소영</t>
  </si>
  <si>
    <t>이효주</t>
  </si>
  <si>
    <t>김진호</t>
  </si>
  <si>
    <t>08월 25일</t>
  </si>
  <si>
    <t>장민정</t>
  </si>
  <si>
    <t>정창진</t>
  </si>
  <si>
    <t>김은경</t>
  </si>
  <si>
    <t>배민우</t>
  </si>
  <si>
    <t>[M냉동]★한입★ 돈까스 500g(노란색)*</t>
  </si>
  <si>
    <t>08월 26일</t>
  </si>
  <si>
    <t>8월 22일</t>
  </si>
  <si>
    <t>박성진</t>
  </si>
  <si>
    <t>[M냉동]주부9단 햄야채볶음밥210g*</t>
  </si>
  <si>
    <t>08월 27일</t>
  </si>
  <si>
    <t>박현주</t>
  </si>
  <si>
    <t>8월 25일</t>
  </si>
  <si>
    <t>유재영</t>
  </si>
  <si>
    <t>[M냉동] 미니핫도그 1kg</t>
  </si>
  <si>
    <t>8월 24일</t>
  </si>
  <si>
    <t>신나라</t>
  </si>
  <si>
    <t>8월 26일</t>
  </si>
  <si>
    <t>배민호</t>
  </si>
  <si>
    <t>정혜인</t>
  </si>
  <si>
    <t>윤근숙</t>
  </si>
  <si>
    <t>김희원</t>
  </si>
  <si>
    <t>김결</t>
  </si>
  <si>
    <t>분류오류</t>
  </si>
  <si>
    <t>[M냉장]목우촌 리얼스트링치즈 200g</t>
  </si>
  <si>
    <t>신지혜</t>
  </si>
  <si>
    <t>분실</t>
  </si>
  <si>
    <t>07월 23일</t>
  </si>
  <si>
    <t>박상원</t>
  </si>
  <si>
    <t>송장흐름없음</t>
  </si>
  <si>
    <t>[M냉동]대패삼겹살(냉동)800g</t>
  </si>
  <si>
    <t>신형민</t>
  </si>
  <si>
    <t>김영태</t>
  </si>
  <si>
    <t>07월 26일</t>
  </si>
  <si>
    <t>함소영</t>
  </si>
  <si>
    <t>07월 24일</t>
  </si>
  <si>
    <t>안은비</t>
  </si>
  <si>
    <t>권미선</t>
  </si>
  <si>
    <t>[M냉장]생생황기닭백숙1000g**</t>
  </si>
  <si>
    <t>송수미</t>
  </si>
  <si>
    <t>백현숙</t>
  </si>
  <si>
    <t>백소영</t>
  </si>
  <si>
    <t>현강이</t>
  </si>
  <si>
    <t>전진희</t>
  </si>
  <si>
    <t>이자영</t>
  </si>
  <si>
    <t>이은미</t>
  </si>
  <si>
    <t>이창준</t>
  </si>
  <si>
    <t>노덕균</t>
  </si>
  <si>
    <t>08월 15일</t>
  </si>
  <si>
    <t>정옥진</t>
  </si>
  <si>
    <t>08월 09일</t>
  </si>
  <si>
    <t>서은주</t>
  </si>
  <si>
    <t>이준호</t>
  </si>
  <si>
    <t>손수아</t>
  </si>
  <si>
    <t>김현빈</t>
  </si>
  <si>
    <t>8월 17일</t>
  </si>
  <si>
    <t>김가을</t>
  </si>
  <si>
    <t>류학현</t>
  </si>
  <si>
    <t>양미리</t>
  </si>
  <si>
    <t>이소영</t>
  </si>
  <si>
    <t>김도이</t>
  </si>
  <si>
    <t>이창욱</t>
  </si>
  <si>
    <t>김태희</t>
  </si>
  <si>
    <t>김순자</t>
  </si>
  <si>
    <t>장희선</t>
  </si>
  <si>
    <t>[M상온]주부9단 한우육개장</t>
  </si>
  <si>
    <t>최영주</t>
  </si>
  <si>
    <t>정상운</t>
  </si>
  <si>
    <t>[M냉동] 목우촌 한마리 옛날통닭 440g</t>
  </si>
  <si>
    <t>08월 28일</t>
  </si>
  <si>
    <t>최설화</t>
  </si>
  <si>
    <t>안준호</t>
  </si>
  <si>
    <t>이길수</t>
  </si>
  <si>
    <t>김대영</t>
  </si>
  <si>
    <t>이미영</t>
  </si>
  <si>
    <t>오배송</t>
  </si>
  <si>
    <t>박광순</t>
  </si>
  <si>
    <t>이진성</t>
  </si>
  <si>
    <t>파손반송</t>
  </si>
  <si>
    <t>최광호</t>
  </si>
  <si>
    <t>07월 21일</t>
  </si>
  <si>
    <t>이혜승</t>
  </si>
  <si>
    <t>오영지</t>
  </si>
  <si>
    <t>양품화완료</t>
  </si>
  <si>
    <t>박미영</t>
  </si>
  <si>
    <t>김송자</t>
  </si>
  <si>
    <t>이낙규</t>
  </si>
  <si>
    <t>김순애</t>
  </si>
  <si>
    <t>김구년</t>
  </si>
  <si>
    <t>문성복</t>
  </si>
  <si>
    <t>문형원</t>
  </si>
  <si>
    <t>이은숙</t>
  </si>
  <si>
    <t>이혜영</t>
  </si>
  <si>
    <t>이정윤</t>
  </si>
  <si>
    <t>[M냉동]치킨 꿔바로우 1kg ★파란색★</t>
  </si>
  <si>
    <t>김영욱</t>
  </si>
  <si>
    <t>장지영</t>
  </si>
  <si>
    <t>민호근</t>
  </si>
  <si>
    <t>이상희</t>
  </si>
  <si>
    <t>구시영</t>
  </si>
  <si>
    <t>이명순</t>
  </si>
  <si>
    <t>김태윤</t>
  </si>
  <si>
    <t>쭈야</t>
  </si>
  <si>
    <t>정혜승</t>
  </si>
  <si>
    <t>김숙옥</t>
  </si>
  <si>
    <t>황예슬</t>
  </si>
  <si>
    <t>이사무엘</t>
  </si>
  <si>
    <t>윤성한</t>
  </si>
  <si>
    <t>유경희</t>
  </si>
  <si>
    <t>채은수</t>
  </si>
  <si>
    <t>박형민</t>
  </si>
  <si>
    <t>여민정</t>
  </si>
  <si>
    <t>조윤서</t>
  </si>
  <si>
    <t>소형석</t>
  </si>
  <si>
    <t>김태훈</t>
  </si>
  <si>
    <t>박이안</t>
  </si>
  <si>
    <t>김진명</t>
  </si>
  <si>
    <t>허경호</t>
  </si>
  <si>
    <t>손아영</t>
  </si>
  <si>
    <t>정재령</t>
  </si>
  <si>
    <t>박영원</t>
  </si>
  <si>
    <t>08월 17일</t>
  </si>
  <si>
    <t>김효지</t>
  </si>
  <si>
    <t>박이화</t>
  </si>
  <si>
    <t>김정우</t>
  </si>
  <si>
    <t>김덕실</t>
  </si>
  <si>
    <t>8월 15일</t>
  </si>
  <si>
    <t>박찬희</t>
  </si>
  <si>
    <t>홍승범</t>
  </si>
  <si>
    <t>한상구</t>
  </si>
  <si>
    <t>김재형</t>
  </si>
  <si>
    <t>안태경</t>
  </si>
  <si>
    <t>조윤동</t>
  </si>
  <si>
    <t>이용석</t>
  </si>
  <si>
    <t>정구영</t>
  </si>
  <si>
    <t>8월 27일</t>
  </si>
  <si>
    <t>김성춘</t>
  </si>
  <si>
    <t>이하은</t>
  </si>
  <si>
    <t>정지현</t>
  </si>
  <si>
    <t>김지우</t>
  </si>
  <si>
    <t>박상혁</t>
  </si>
  <si>
    <t>[M냉동]목우촌  ★생생포차★ 직화무뼈닭발 160g*</t>
  </si>
  <si>
    <t>[M냉동] 주부9단 한우사골 고기떡만둣국 243g</t>
  </si>
  <si>
    <t>[M냉동] 주부9단 한우사골 김치떡만둣국 243g</t>
  </si>
  <si>
    <t>[M상온] [광천어머니김] 김밥김(20g)</t>
  </si>
  <si>
    <t>강희</t>
  </si>
  <si>
    <t>[M냉장]그라운드부드러운칼집비엔나1kg(하이푸드텍)</t>
  </si>
  <si>
    <t>[M냉동] 주부9단 로스구이★1kg★</t>
  </si>
  <si>
    <t>홍미경</t>
  </si>
  <si>
    <t>박윤숙</t>
  </si>
  <si>
    <t>양효정</t>
  </si>
  <si>
    <t>김상우</t>
  </si>
  <si>
    <t>김도영</t>
  </si>
  <si>
    <t>박은주</t>
  </si>
  <si>
    <t>김남민</t>
  </si>
  <si>
    <t>최지형</t>
  </si>
  <si>
    <t>오승민</t>
  </si>
  <si>
    <t>김진영</t>
  </si>
  <si>
    <t>박은진</t>
  </si>
  <si>
    <t>전병성</t>
  </si>
  <si>
    <t>정성경</t>
  </si>
  <si>
    <t>강미옥</t>
  </si>
  <si>
    <t>이동혁</t>
  </si>
  <si>
    <t>오경미</t>
  </si>
  <si>
    <t>이서은</t>
  </si>
  <si>
    <t>송순이</t>
  </si>
  <si>
    <t>배아영</t>
  </si>
  <si>
    <t>이아롬</t>
  </si>
  <si>
    <t>8월 23일</t>
  </si>
  <si>
    <t>조헌후</t>
  </si>
  <si>
    <t>[M냉장]오메가3 오리훈제 400g **</t>
  </si>
  <si>
    <t>[M냉동]목우촌 군만두 450g (사조)★</t>
  </si>
  <si>
    <t>이경애</t>
  </si>
  <si>
    <t>[M냉장]주부9단 직화구이햄**</t>
  </si>
  <si>
    <t>김봄</t>
  </si>
  <si>
    <t>조현세</t>
  </si>
  <si>
    <t>양현자</t>
  </si>
  <si>
    <t>이희경</t>
  </si>
  <si>
    <t>재  고  조  사  목  록  표</t>
    <phoneticPr fontId="2" type="noConversion"/>
  </si>
  <si>
    <t xml:space="preserve">화주사명 </t>
    <phoneticPr fontId="2" type="noConversion"/>
  </si>
  <si>
    <t>목우촌</t>
    <phoneticPr fontId="2" type="noConversion"/>
  </si>
  <si>
    <t>조사자</t>
  </si>
  <si>
    <r>
      <t xml:space="preserve">   박영규 </t>
    </r>
    <r>
      <rPr>
        <b/>
        <sz val="13"/>
        <color theme="0" tint="-0.249977111117893"/>
        <rFont val="맑은 고딕"/>
        <family val="3"/>
        <charset val="129"/>
        <scheme val="minor"/>
      </rPr>
      <t>(인)</t>
    </r>
    <phoneticPr fontId="2" type="noConversion"/>
  </si>
  <si>
    <t>재고조사 기준시점</t>
    <phoneticPr fontId="2" type="noConversion"/>
  </si>
  <si>
    <t>2026-08-29 출고전</t>
  </si>
  <si>
    <t>검수자</t>
  </si>
  <si>
    <t>재고조사 실시일시</t>
    <phoneticPr fontId="2" type="noConversion"/>
  </si>
  <si>
    <t>최종확인자</t>
  </si>
  <si>
    <r>
      <t xml:space="preserve">   윤여민 </t>
    </r>
    <r>
      <rPr>
        <b/>
        <sz val="13"/>
        <color theme="0" tint="-0.249977111117893"/>
        <rFont val="맑은 고딕"/>
        <family val="3"/>
        <charset val="129"/>
        <scheme val="minor"/>
      </rPr>
      <t>(인)</t>
    </r>
    <phoneticPr fontId="2" type="noConversion"/>
  </si>
  <si>
    <t>순서</t>
    <phoneticPr fontId="2" type="noConversion"/>
  </si>
  <si>
    <t>품목 코드</t>
    <phoneticPr fontId="2" type="noConversion"/>
  </si>
  <si>
    <t>업체품목코드</t>
    <phoneticPr fontId="2" type="noConversion"/>
  </si>
  <si>
    <t>아워박스 제품명</t>
    <phoneticPr fontId="2" type="noConversion"/>
  </si>
  <si>
    <t>전산재고</t>
    <phoneticPr fontId="2" type="noConversion"/>
  </si>
  <si>
    <t>실사재고</t>
    <phoneticPr fontId="2" type="noConversion"/>
  </si>
  <si>
    <t>차이수량</t>
    <phoneticPr fontId="2" type="noConversion"/>
  </si>
  <si>
    <t>월 누계 출고수량</t>
  </si>
  <si>
    <t>매입원가</t>
    <phoneticPr fontId="2" type="noConversion"/>
  </si>
  <si>
    <t>총 재고수량 + 출고수량
매입원가</t>
    <phoneticPr fontId="2" type="noConversion"/>
  </si>
  <si>
    <t>차이금액 (-)</t>
  </si>
  <si>
    <t>(비어 있음)</t>
  </si>
  <si>
    <t>아이스박스 샘플출고</t>
  </si>
  <si>
    <t>1100535/1100533</t>
  </si>
  <si>
    <t>[M냉동]옛날돼지고기 삼겹살(3Pack/600g) *</t>
  </si>
  <si>
    <t>[M냉동]옛날돼지고기 목살(3Pack/600g) *</t>
  </si>
  <si>
    <t>[M냉동]뒷고기 두항정살 300g *</t>
  </si>
  <si>
    <t>[M냉동]뒷고기 뽈살 300g*</t>
  </si>
  <si>
    <t>[M냉동]감자탕용 돼지등뼈 2kg*</t>
  </si>
  <si>
    <t>[M냉장]주부9단비엔나250g*2(F2)**</t>
  </si>
  <si>
    <t>1235021/1235001</t>
  </si>
  <si>
    <t>1235323/1235303</t>
  </si>
  <si>
    <t>1235901/1235921</t>
  </si>
  <si>
    <t>[M냉장]한돈 삼겹 베이컨 200g**</t>
  </si>
  <si>
    <t>[M냉장]프라임 꼬치구이프랑크 400g**</t>
  </si>
  <si>
    <t>1254022/1254002</t>
  </si>
  <si>
    <t>1254902/1254922</t>
  </si>
  <si>
    <t>[M냉장]용)신선한샌드위치햄120g*2**</t>
  </si>
  <si>
    <t>[M상온]뚝심 200g*4</t>
  </si>
  <si>
    <t>[M상온]뚝심120g</t>
  </si>
  <si>
    <t>[M상온]뚝심120g (대용량)</t>
  </si>
  <si>
    <t>[M폴리세트]목우촌 행복가득 스페셜</t>
  </si>
  <si>
    <t>[M합포장]해피빈스티커</t>
  </si>
  <si>
    <t>[M합포장]해피빈치키너겟키링</t>
  </si>
  <si>
    <t>[M합포장]해피빈치킨너겟마그넷</t>
  </si>
  <si>
    <t>[M합포장]해피빈돼지키링</t>
  </si>
  <si>
    <t>[M합포장]해피빈통통볼마그넷</t>
  </si>
  <si>
    <t>[M합포장]해피빈돼지마그넷</t>
  </si>
  <si>
    <t>[M합포장]해피빈치킨너겟지비츠</t>
  </si>
  <si>
    <t>[M합포장]해피빈통통볼지비츠</t>
  </si>
  <si>
    <t>1406803/1406801</t>
  </si>
  <si>
    <t>1450301/1450001</t>
  </si>
  <si>
    <t>1450401/1450002</t>
  </si>
  <si>
    <t>[M상온]목우촌쇠고기육포100g(50*2)</t>
  </si>
  <si>
    <t>[M상온]프라임 대용량캔햄1.8kg(사조)</t>
  </si>
  <si>
    <t>[M냉동]목우촌 찜갈비1.5kg(냉동) *</t>
  </si>
  <si>
    <t>[M상온]목우촌삼계탕(온라인)850g</t>
  </si>
  <si>
    <t>3228902/3228901</t>
  </si>
  <si>
    <t>3229002/3229001</t>
  </si>
  <si>
    <t>3329102/3229101</t>
  </si>
  <si>
    <t>[M냉동]열)동그랑땡800g*</t>
  </si>
  <si>
    <t>[M냉동]★번들★프라임 리얼 동그랑땡 300g*2*</t>
  </si>
  <si>
    <t>[M냉동]프라임 크리스피 핫도그 540g* ★하늘색★</t>
  </si>
  <si>
    <t>[M냉동]프라임 모짜렐라 핫도그 450g* ★노란색★</t>
  </si>
  <si>
    <t>[M냉동]쉐프9단 목우촌 꿔바로우 1kg* ★초록색★</t>
  </si>
  <si>
    <t>[M냉동]교자만두 1kg*</t>
  </si>
  <si>
    <t>[M냉동]★번들★군만두450g*2*</t>
  </si>
  <si>
    <t>[M냉동]왕만두 910g*</t>
  </si>
  <si>
    <t>[M냉동]★생생포차★ 직화무뼈닭발 160g*</t>
  </si>
  <si>
    <t>[M냉동]주부9단 새우볶음밥210g*</t>
  </si>
  <si>
    <t>[M냉동]주부9단 햄김치볶음밥210g*</t>
  </si>
  <si>
    <t>[M냉동]주부9단 햄깍두기볶음밥210g*</t>
  </si>
  <si>
    <t>[M상온]주부9단 한우미역국</t>
  </si>
  <si>
    <t>[M상온]주부9단 한우우거지국</t>
  </si>
  <si>
    <t>[M상온]주부9단 한우 무국 450g</t>
  </si>
  <si>
    <t>[M상온]주부9단 한우도가니탕 450g(리뉴얼)</t>
  </si>
  <si>
    <t>[M상온]홍삼삼계탕_실온 850g</t>
  </si>
  <si>
    <t>[M냉동]오븐 닭다리살 오리지널 400g*</t>
  </si>
  <si>
    <t>[M냉동]오븐 닭다리살 숯불양념맛 400g*</t>
  </si>
  <si>
    <t>[M냉동]곰돌이  떡갈비스테이크 1kg*</t>
  </si>
  <si>
    <t>[M냉동]행복한 토끼와친구들 치킨너겟 400g*</t>
  </si>
  <si>
    <t>[M냉동]무항)닭다리1kg*</t>
  </si>
  <si>
    <t>[M상온펫] Weight Light 체중건강 사료1.8kg (전연령)</t>
  </si>
  <si>
    <t>[M상온펫]펫9단 말티즈 사료 1.8kg (전연령)</t>
  </si>
  <si>
    <t>[M합포장]축구스티커</t>
  </si>
  <si>
    <t>[M상온](증정)카놀라유500ml</t>
  </si>
  <si>
    <t>[M폴리세트]마음가득M1호</t>
  </si>
  <si>
    <t>[M폴리세트]마음가득M3호</t>
  </si>
  <si>
    <t>[M폴리세트]마음가득M5호</t>
  </si>
  <si>
    <t>[M폴리세트]마음가득M9호</t>
  </si>
  <si>
    <t>[M폴리세트]마음가득M13호</t>
  </si>
  <si>
    <t>[M폴리세트]마음가득M15호</t>
  </si>
  <si>
    <t>[M송부세트]한우 한상가득 선물세트</t>
  </si>
  <si>
    <t>[M냉동]무항생제IQF윗날개(봉)1kg</t>
  </si>
  <si>
    <t>[M냉동]목우촌 냉동근위 500g</t>
  </si>
  <si>
    <t>[M냉장] 잠발라야소스 160g</t>
  </si>
  <si>
    <t>[M냉장] 주부9단 ★350g★ 육즙팡팡 프랑크 소시지</t>
  </si>
  <si>
    <t>[M냉장] 목우촌 깐메추리알 900g</t>
  </si>
  <si>
    <t>[M냉장] 주부9단 김밥햄 170g</t>
  </si>
  <si>
    <t>[M상온] 밥도둑 고기 고추장95g</t>
  </si>
  <si>
    <t>[M상온] 얹어먹는 장조림100g</t>
  </si>
  <si>
    <t>[M냉동] 주부9단 간장소불고기 1kg</t>
  </si>
  <si>
    <t>[M냉동] 주부9단 고추장돼지불고기 1kg</t>
  </si>
  <si>
    <t>[M상온] 몽구산타 수세미</t>
  </si>
  <si>
    <t>[M폴리세트]마음가득M12호</t>
  </si>
  <si>
    <t>[M폴리세트]전통가득육포세트(9개입)</t>
  </si>
  <si>
    <t>[M냉동]주부9단 김치우동 어묵전골 423g</t>
  </si>
  <si>
    <t>[M냉동]주부9단 유부우동 어묵전골 473g</t>
  </si>
  <si>
    <t>[M상온]을지로 골뱅이캔조림 400g</t>
  </si>
  <si>
    <t>[M냉동]무항생제IQF 닭안심2kg</t>
  </si>
  <si>
    <t>*정성가득선물세트(부직포가방세트)</t>
  </si>
  <si>
    <t>[M냉동]쏘바삭 ★허니소이★ 300g ★노란색★</t>
  </si>
  <si>
    <t>[M냉동]목우촌 함박스테이크2 1kg</t>
  </si>
  <si>
    <t>[M폴리세트]마음가득S2호</t>
  </si>
  <si>
    <t>[M폴리세트]마음가득S3호</t>
  </si>
  <si>
    <t>[M폴리세트]마음가득S4호</t>
  </si>
  <si>
    <t>[M폴리세트]생생육포세트(12개입)</t>
  </si>
  <si>
    <t>내품은박보냉팩</t>
  </si>
  <si>
    <t>[M폴리세트]밥심&amp;뚝심세트</t>
  </si>
  <si>
    <t>[M폴리세트]마음가득M13호(슬리브형)</t>
  </si>
  <si>
    <t>[M냉동]국내산 소고기 샤브샤브250g</t>
  </si>
  <si>
    <t>[M냉동]국내산 육우 차돌박이250g</t>
  </si>
  <si>
    <t>[M냉동]정직한목장 1등급 한우등심200g</t>
  </si>
  <si>
    <t>[M상온]★번들★뚝심340gx4번들</t>
  </si>
  <si>
    <t>[M냉장]목우촌 프로포크 목살500g</t>
  </si>
  <si>
    <t>*선물세트 지함상자</t>
  </si>
  <si>
    <t>*선물세트 보냉가방</t>
  </si>
  <si>
    <t>선물세트 은박보냉팩</t>
  </si>
  <si>
    <t>[M상온]불갈비맛오징어 100g</t>
  </si>
  <si>
    <t>[M상온]버터구이오징어 100g</t>
  </si>
  <si>
    <t>[M상온]맥반석구이오징어 100g</t>
  </si>
  <si>
    <t>[M상온]꾸이꾸이 어포튀각 100g</t>
  </si>
  <si>
    <t>[M상온]구운쥐치포 230g</t>
  </si>
  <si>
    <t>[M상온]쥐포구이채 230g</t>
  </si>
  <si>
    <t>[M냉동]원조감자빵 1.2kg</t>
  </si>
  <si>
    <t>[M냉동]치즈감자빵 1.2kg</t>
  </si>
  <si>
    <t>[M냉동]곤드레 비빔밥(간장맛) 215g</t>
  </si>
  <si>
    <t>[M냉동]산채비빔밥(고추장맛) 215g</t>
  </si>
  <si>
    <t>[M냉동]산채비빔밥(간장맛) 215g</t>
  </si>
  <si>
    <t>[M냉동]건강한 오곡밥 215g</t>
  </si>
  <si>
    <t>[M냉동]비빔밥용 모둠나물(6종) 160g</t>
  </si>
  <si>
    <t>[M냉동]건강한 나물모둠 반찬용(4종) 120g</t>
  </si>
  <si>
    <t>[M상온] 돈까스소스 300g</t>
  </si>
  <si>
    <t>[M상온] [광천어머니김] 알뜰 16단 (4g x 16봉)</t>
  </si>
  <si>
    <t>[M상온] [광천어머니김] 자반 70g</t>
  </si>
  <si>
    <t>1284901(f1)/1284907(f3)</t>
  </si>
  <si>
    <t>[M상온]홍삼삼계탕 보양세트_실온 2.3kg</t>
  </si>
  <si>
    <t>[M냉동]주부9단 오븐구이떡갈비 ★340g*2ea★</t>
  </si>
  <si>
    <t>[M냉동]곰돌이 떡갈비스테이크60 ★1.2kg★</t>
  </si>
  <si>
    <t>[M냉동]뒷고기 설하살 300g</t>
  </si>
  <si>
    <t>[M냉장]주부9단불에구운김밥햄130g*2</t>
  </si>
  <si>
    <t>[M냉동]목우촌 부대찌개 모듬햄 1kg</t>
  </si>
  <si>
    <t>[M냉동]주부9단 바삭(노랑)★치킨텐더★ 420g(사조)</t>
  </si>
  <si>
    <t>[M냉동]주부9단 팝콘치킨 420g</t>
  </si>
  <si>
    <t>[M냉동]연잎통오리훈제 1.1kg</t>
  </si>
  <si>
    <t>[M상온펫] 펫9단 멍수무강 황태고구마 240g</t>
  </si>
  <si>
    <t>[M냉장] 생생  누룽지 통다리 삼계탕_600g</t>
  </si>
  <si>
    <t>[M냉장]주부9단 ★두툼★비엔나 ★SIZE UP★ 700g</t>
  </si>
  <si>
    <t>[M냉동]쉐프9단통등심돈까스2.6kg(130*20)</t>
  </si>
  <si>
    <t>[M상온]목우촌팜플렛</t>
  </si>
  <si>
    <t>[M상온]목우촌펫 멍수무강 소고기 져키 1.1kg</t>
  </si>
  <si>
    <t>[M냉동송부세트]목우촌 으뜸 혼합갈비세트</t>
  </si>
  <si>
    <t>[M냉동송부세트] 목우촌 육우 으뜸 구이세트</t>
  </si>
  <si>
    <t>[M냉장]주부9단구운마늘프랑크450g</t>
  </si>
  <si>
    <t>[M냉장] ★티니핑★ 프라임 샌드위치햄 90g</t>
  </si>
  <si>
    <t>[M냉동] 주부9단 손맛가득 떡갈비 320g</t>
  </si>
  <si>
    <t>[M상온] 생생육포마라맛30g</t>
  </si>
  <si>
    <t>[M상온] 생생육포레드페퍼30g</t>
  </si>
  <si>
    <t>[M냉동]목우촌 국내산 소고기 특수부위 300g(3등급)</t>
  </si>
  <si>
    <t>[M냉동] 오븐닭다리살 숯불양념맛600g</t>
  </si>
  <si>
    <t>[M상온]목우촌생생쇠고기육포35g</t>
  </si>
  <si>
    <t>[M상온] 쌍화삼계탕 850g</t>
  </si>
  <si>
    <t>[M상온] 쌍화삼계탕 보양세트 1.7kg</t>
  </si>
  <si>
    <t>[M냉동] 무항 IQF한입닭가슴살1kg</t>
  </si>
  <si>
    <t>[M냉동] 목우촌 직화양념곱창 160g</t>
  </si>
  <si>
    <t>[M냉동] 목우촌 직화무뼈닭발 160g</t>
  </si>
  <si>
    <t>[M냉동] 목우촌 초계국수 1.1kg</t>
  </si>
  <si>
    <t>[M냉동] 몽구와친구들 치킨너겟 420g</t>
  </si>
  <si>
    <t>[M송부세트] 목우촌 흑염소진액 본 세트(70ml*30포)</t>
  </si>
  <si>
    <t>[M폴리세트]마음가득 K2호</t>
  </si>
  <si>
    <t>[M목우촌] 티니핑치즈비엔나175g</t>
  </si>
  <si>
    <t>[M폴리세트]마음가득 N1호</t>
  </si>
  <si>
    <t>[M폴리세트]마음가득 N2호</t>
  </si>
  <si>
    <t>[M폴리세트]마음가득 N3호</t>
  </si>
  <si>
    <t>[M폴리세트]마음가득 N4호</t>
  </si>
  <si>
    <t>[M폴리세트]마음가득 N5호</t>
  </si>
  <si>
    <t>[M폴리세트]마음가득 N6호</t>
  </si>
  <si>
    <t>[M폴리세트]마음가득 N7호</t>
  </si>
  <si>
    <t>[M폴리세트]마음가득 N8호</t>
  </si>
  <si>
    <t>[M폴리세트]마음가득 N9호</t>
  </si>
  <si>
    <t>[M폴리세트]마음가득 N10호</t>
  </si>
  <si>
    <t>[M폴리세트]마음가득 N11호</t>
  </si>
  <si>
    <t>[M폴리세트]마음가득 N12호</t>
  </si>
  <si>
    <t>[M폴리세트]마음가득 N13호</t>
  </si>
  <si>
    <t>[M폴리세트]마음가득 N14호</t>
  </si>
  <si>
    <t>[M폴리세트]마음가득 N15호</t>
  </si>
  <si>
    <t>[M폴리세트]행복가득 1호</t>
  </si>
  <si>
    <t>[M폴리세트]행복가득 3호</t>
  </si>
  <si>
    <t>★[M조립폴리세트] 목우촌펫 동결건조 트릿세트</t>
  </si>
  <si>
    <t>★[M조립폴리세트]목우촌펫 바이오 영양제 세트</t>
  </si>
  <si>
    <t>1255121/1255101</t>
  </si>
  <si>
    <t>[M냉장]주부9단 밥에싸먹는햄 60g</t>
  </si>
  <si>
    <t>[M냉동]주부9단 바삭치킨까스 360g</t>
  </si>
  <si>
    <t>인정감모액</t>
    <phoneticPr fontId="2" type="noConversion"/>
  </si>
  <si>
    <t>재고변상액</t>
    <phoneticPr fontId="2" type="noConversion"/>
  </si>
  <si>
    <t>구분</t>
    <phoneticPr fontId="7" type="noConversion"/>
  </si>
  <si>
    <t>메일주소</t>
    <phoneticPr fontId="7" type="noConversion"/>
  </si>
  <si>
    <t>참조</t>
    <phoneticPr fontId="7" type="noConversion"/>
  </si>
  <si>
    <t>마감자료</t>
    <phoneticPr fontId="7" type="noConversion"/>
  </si>
  <si>
    <r>
      <t>u2nation@naver.com</t>
    </r>
    <r>
      <rPr>
        <sz val="8"/>
        <color rgb="FF333333"/>
        <rFont val="Arial"/>
        <family val="2"/>
      </rPr>
      <t xml:space="preserve"> 
</t>
    </r>
    <r>
      <rPr>
        <sz val="8"/>
        <color rgb="FF438FFF"/>
        <rFont val="Arial"/>
        <family val="2"/>
      </rPr>
      <t>heistgm123@naver.com</t>
    </r>
    <phoneticPr fontId="2" type="noConversion"/>
  </si>
  <si>
    <t>세금계산서</t>
    <phoneticPr fontId="7" type="noConversion"/>
  </si>
  <si>
    <t>desire0640@naver.com
moguchonnh@naver.com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</si>
</sst>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mm&quot;월&quot;\ dd&quot;일&quot;"/>
    <numFmt numFmtId="180" formatCode="0_);[Red]\(0\)"/>
    <numFmt numFmtId="181" formatCode="0_ "/>
    <numFmt numFmtId="182" formatCode="yyyy&quot;년&quot;\ m&quot;월&quot;;@"/>
    <numFmt numFmtId="183" formatCode="#,##0_);[Red]\(#,##0\)"/>
  </numFmts>
  <fonts count="6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2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b/>
      <sz val="10"/>
      <color theme="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0"/>
      <color theme="1"/>
      <name val="맑은 고딕"/>
      <family val="3"/>
      <charset val="129"/>
      <scheme val="major"/>
    </font>
    <font>
      <b/>
      <sz val="9"/>
      <color theme="1"/>
      <name val="맑은 고딕"/>
      <family val="2"/>
      <charset val="129"/>
    </font>
    <font>
      <b/>
      <sz val="9"/>
      <color theme="1"/>
      <name val="Arial"/>
      <family val="2"/>
    </font>
    <font>
      <b/>
      <sz val="9"/>
      <color theme="1"/>
      <name val="Arial"/>
      <family val="3"/>
      <charset val="129"/>
    </font>
    <font>
      <b/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ajor"/>
    </font>
    <font>
      <sz val="8"/>
      <color rgb="FF438FFF"/>
      <name val="Arial"/>
      <family val="2"/>
    </font>
    <font>
      <sz val="8"/>
      <color rgb="FF333333"/>
      <name val="Arial"/>
      <family val="2"/>
    </font>
    <font>
      <sz val="8"/>
      <color theme="10"/>
      <name val="맑은 고딕"/>
      <family val="2"/>
      <charset val="129"/>
      <scheme val="minor"/>
    </font>
    <font>
      <b/>
      <sz val="9"/>
      <color theme="1"/>
      <name val="Arial"/>
      <family val="3"/>
    </font>
    <font>
      <b/>
      <sz val="9"/>
      <color indexed="81"/>
      <name val="돋움"/>
      <family val="3"/>
      <charset val="129"/>
    </font>
    <font>
      <b/>
      <sz val="9"/>
      <color theme="0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3"/>
      <color theme="0" tint="-0.249977111117893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9"/>
      <color rgb="FF000000"/>
      <name val="Arial"/>
      <family val="2"/>
    </font>
    <font>
      <b/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scheme val="major"/>
    </font>
  </fonts>
  <fills count="2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-0.249977111117893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22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0" borderId="0"/>
    <xf numFmtId="0" fontId="1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4" fillId="0" borderId="0"/>
    <xf numFmtId="177" fontId="14" fillId="0" borderId="0" applyFont="0" applyFill="0" applyBorder="0" applyAlignment="0" applyProtection="0">
      <alignment vertical="center"/>
    </xf>
    <xf numFmtId="0" fontId="15" fillId="0" borderId="0"/>
    <xf numFmtId="177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0" fontId="17" fillId="0" borderId="0"/>
    <xf numFmtId="177" fontId="10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24" fillId="0" borderId="0">
      <alignment vertical="center"/>
    </xf>
  </cellStyleXfs>
  <cellXfs count="485">
    <xf numFmtId="0" fontId="0" fillId="0" borderId="0" xfId="0">
      <alignment vertical="center"/>
    </xf>
    <xf numFmtId="177" fontId="0" fillId="0" borderId="0" xfId="1" applyFont="1">
      <alignment vertical="center"/>
    </xf>
    <xf numFmtId="0" fontId="3" fillId="0" borderId="0" xfId="62">
      <alignment vertical="center"/>
    </xf>
    <xf numFmtId="0" fontId="3" fillId="0" borderId="0" xfId="62" applyAlignment="1">
      <alignment horizontal="center" vertical="center"/>
    </xf>
    <xf numFmtId="177" fontId="3" fillId="0" borderId="0" xfId="62" applyNumberFormat="1">
      <alignment vertical="center"/>
    </xf>
    <xf numFmtId="178" fontId="3" fillId="0" borderId="0" xfId="62" applyNumberFormat="1">
      <alignment vertical="center"/>
    </xf>
    <xf numFmtId="49" fontId="19" fillId="4" borderId="11" xfId="175" applyNumberFormat="1" applyFont="1" applyFill="1" applyBorder="1" applyAlignment="1">
      <alignment horizontal="center" vertical="center"/>
    </xf>
    <xf numFmtId="177" fontId="16" fillId="0" borderId="11" xfId="1" applyFont="1" applyFill="1" applyBorder="1">
      <alignment vertical="center"/>
    </xf>
    <xf numFmtId="177" fontId="21" fillId="0" borderId="0" xfId="1" applyFont="1" applyAlignment="1">
      <alignment horizontal="right" vertical="center"/>
    </xf>
    <xf numFmtId="176" fontId="3" fillId="0" borderId="1" xfId="62" applyNumberFormat="1" applyBorder="1">
      <alignment vertical="center"/>
    </xf>
    <xf numFmtId="176" fontId="3" fillId="0" borderId="0" xfId="62" applyNumberFormat="1">
      <alignment vertical="center"/>
    </xf>
    <xf numFmtId="0" fontId="20" fillId="4" borderId="11" xfId="62" applyFont="1" applyFill="1" applyBorder="1" applyAlignment="1">
      <alignment horizontal="center" vertical="center"/>
    </xf>
    <xf numFmtId="0" fontId="8" fillId="0" borderId="11" xfId="62" applyFont="1" applyBorder="1" applyAlignment="1">
      <alignment horizontal="center" vertical="center"/>
    </xf>
    <xf numFmtId="0" fontId="22" fillId="0" borderId="11" xfId="315" applyBorder="1" applyAlignment="1">
      <alignment horizontal="center" vertical="center"/>
    </xf>
    <xf numFmtId="0" fontId="9" fillId="0" borderId="0" xfId="62" applyFont="1" applyAlignment="1">
      <alignment horizontal="left"/>
    </xf>
    <xf numFmtId="0" fontId="28" fillId="0" borderId="11" xfId="4" applyNumberFormat="1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18" fillId="4" borderId="11" xfId="0" applyFont="1" applyFill="1" applyBorder="1" applyAlignment="1">
      <alignment horizontal="centerContinuous" vertical="center"/>
    </xf>
    <xf numFmtId="177" fontId="20" fillId="4" borderId="11" xfId="1" applyFont="1" applyFill="1" applyBorder="1">
      <alignment vertical="center"/>
    </xf>
    <xf numFmtId="177" fontId="20" fillId="4" borderId="11" xfId="0" applyNumberFormat="1" applyFont="1" applyFill="1" applyBorder="1">
      <alignment vertical="center"/>
    </xf>
    <xf numFmtId="0" fontId="33" fillId="5" borderId="0" xfId="318" applyFont="1" applyFill="1" applyAlignment="1">
      <alignment horizontal="right"/>
    </xf>
    <xf numFmtId="0" fontId="26" fillId="0" borderId="0" xfId="0" applyFont="1" applyAlignment="1">
      <alignment horizontal="center" vertical="center"/>
    </xf>
    <xf numFmtId="3" fontId="26" fillId="7" borderId="11" xfId="0" applyNumberFormat="1" applyFont="1" applyFill="1" applyBorder="1" applyAlignment="1">
      <alignment horizontal="center" vertical="center" wrapText="1"/>
    </xf>
    <xf numFmtId="0" fontId="26" fillId="0" borderId="0" xfId="0" applyFont="1" applyAlignment="1"/>
    <xf numFmtId="0" fontId="32" fillId="9" borderId="11" xfId="0" applyFont="1" applyFill="1" applyBorder="1" applyAlignment="1">
      <alignment horizontal="center" vertical="center" wrapText="1"/>
    </xf>
    <xf numFmtId="0" fontId="30" fillId="8" borderId="11" xfId="0" applyFont="1" applyFill="1" applyBorder="1" applyAlignment="1">
      <alignment horizontal="center" vertical="center"/>
    </xf>
    <xf numFmtId="0" fontId="30" fillId="9" borderId="11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0" xfId="0" applyFont="1">
      <alignment vertical="center"/>
    </xf>
    <xf numFmtId="0" fontId="33" fillId="10" borderId="0" xfId="0" applyFont="1" applyFill="1" applyAlignment="1">
      <alignment horizontal="center" vertical="center" wrapText="1"/>
    </xf>
    <xf numFmtId="0" fontId="33" fillId="10" borderId="0" xfId="0" applyFont="1" applyFill="1" applyAlignment="1">
      <alignment horizontal="center" vertical="center"/>
    </xf>
    <xf numFmtId="0" fontId="33" fillId="0" borderId="0" xfId="0" applyFont="1" applyAlignment="1"/>
    <xf numFmtId="0" fontId="34" fillId="0" borderId="0" xfId="0" applyFont="1" applyAlignment="1"/>
    <xf numFmtId="0" fontId="33" fillId="0" borderId="0" xfId="0" applyFont="1" applyAlignment="1">
      <alignment horizontal="center" vertical="center" wrapText="1"/>
    </xf>
    <xf numFmtId="177" fontId="36" fillId="0" borderId="0" xfId="1" applyFont="1">
      <alignment vertical="center"/>
    </xf>
    <xf numFmtId="0" fontId="24" fillId="0" borderId="11" xfId="0" applyFont="1" applyBorder="1" applyAlignment="1">
      <alignment horizontal="center" vertical="center"/>
    </xf>
    <xf numFmtId="0" fontId="18" fillId="11" borderId="13" xfId="68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center" vertical="center"/>
    </xf>
    <xf numFmtId="177" fontId="18" fillId="4" borderId="13" xfId="1" applyFont="1" applyFill="1" applyBorder="1" applyAlignment="1">
      <alignment horizontal="center" vertical="center"/>
    </xf>
    <xf numFmtId="0" fontId="18" fillId="4" borderId="13" xfId="0" applyFont="1" applyFill="1" applyBorder="1" applyAlignment="1">
      <alignment horizontal="center" vertical="center" wrapText="1"/>
    </xf>
    <xf numFmtId="177" fontId="18" fillId="4" borderId="13" xfId="1" applyFont="1" applyFill="1" applyBorder="1" applyAlignment="1">
      <alignment horizontal="center" vertical="center" wrapText="1"/>
    </xf>
    <xf numFmtId="177" fontId="18" fillId="11" borderId="13" xfId="55" applyFont="1" applyFill="1" applyBorder="1" applyAlignment="1">
      <alignment horizontal="center" vertical="center" wrapText="1"/>
    </xf>
    <xf numFmtId="0" fontId="24" fillId="0" borderId="0" xfId="0" applyFont="1">
      <alignment vertical="center"/>
    </xf>
    <xf numFmtId="179" fontId="24" fillId="5" borderId="11" xfId="0" applyNumberFormat="1" applyFont="1" applyFill="1" applyBorder="1" applyAlignment="1">
      <alignment horizontal="center" vertical="center"/>
    </xf>
    <xf numFmtId="0" fontId="16" fillId="0" borderId="0" xfId="0" applyFont="1">
      <alignment vertical="center"/>
    </xf>
    <xf numFmtId="177" fontId="20" fillId="4" borderId="11" xfId="1" applyFont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177" fontId="16" fillId="0" borderId="0" xfId="1" applyFont="1" applyFill="1">
      <alignment vertical="center"/>
    </xf>
    <xf numFmtId="0" fontId="24" fillId="5" borderId="11" xfId="0" applyFont="1" applyFill="1" applyBorder="1" applyAlignment="1">
      <alignment horizontal="center" vertical="center"/>
    </xf>
    <xf numFmtId="177" fontId="37" fillId="12" borderId="11" xfId="55" applyFont="1" applyFill="1" applyBorder="1" applyAlignment="1">
      <alignment vertical="center"/>
    </xf>
    <xf numFmtId="180" fontId="0" fillId="0" borderId="0" xfId="0" applyNumberFormat="1">
      <alignment vertical="center"/>
    </xf>
    <xf numFmtId="0" fontId="28" fillId="0" borderId="0" xfId="0" applyFont="1" applyAlignment="1">
      <alignment horizontal="center" vertical="center"/>
    </xf>
    <xf numFmtId="0" fontId="34" fillId="0" borderId="11" xfId="0" applyFont="1" applyBorder="1" applyAlignment="1"/>
    <xf numFmtId="0" fontId="25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/>
    </xf>
    <xf numFmtId="0" fontId="26" fillId="8" borderId="11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center" indent="1"/>
    </xf>
    <xf numFmtId="177" fontId="16" fillId="0" borderId="13" xfId="1" applyFont="1" applyFill="1" applyBorder="1">
      <alignment vertical="center"/>
    </xf>
    <xf numFmtId="177" fontId="16" fillId="0" borderId="18" xfId="1" applyFont="1" applyFill="1" applyBorder="1">
      <alignment vertical="center"/>
    </xf>
    <xf numFmtId="177" fontId="16" fillId="0" borderId="20" xfId="1" applyFont="1" applyFill="1" applyBorder="1">
      <alignment vertical="center"/>
    </xf>
    <xf numFmtId="177" fontId="16" fillId="0" borderId="21" xfId="1" applyFont="1" applyFill="1" applyBorder="1">
      <alignment vertical="center"/>
    </xf>
    <xf numFmtId="177" fontId="16" fillId="0" borderId="14" xfId="1" applyFont="1" applyFill="1" applyBorder="1">
      <alignment vertical="center"/>
    </xf>
    <xf numFmtId="177" fontId="16" fillId="0" borderId="16" xfId="1" applyFont="1" applyFill="1" applyBorder="1">
      <alignment vertical="center"/>
    </xf>
    <xf numFmtId="177" fontId="16" fillId="0" borderId="17" xfId="1" applyFont="1" applyFill="1" applyBorder="1">
      <alignment vertical="center"/>
    </xf>
    <xf numFmtId="0" fontId="16" fillId="8" borderId="15" xfId="0" applyFont="1" applyFill="1" applyBorder="1" applyAlignment="1">
      <alignment horizontal="left" vertical="center" indent="1"/>
    </xf>
    <xf numFmtId="177" fontId="16" fillId="0" borderId="22" xfId="1" applyFont="1" applyFill="1" applyBorder="1">
      <alignment vertical="center"/>
    </xf>
    <xf numFmtId="0" fontId="16" fillId="9" borderId="19" xfId="0" applyFont="1" applyFill="1" applyBorder="1" applyAlignment="1">
      <alignment horizontal="left" vertical="center" indent="1"/>
    </xf>
    <xf numFmtId="0" fontId="16" fillId="9" borderId="15" xfId="0" applyFont="1" applyFill="1" applyBorder="1" applyAlignment="1">
      <alignment horizontal="left" vertical="center" indent="1"/>
    </xf>
    <xf numFmtId="0" fontId="29" fillId="8" borderId="11" xfId="0" applyFont="1" applyFill="1" applyBorder="1" applyAlignment="1">
      <alignment horizontal="center" vertical="center" wrapText="1"/>
    </xf>
    <xf numFmtId="0" fontId="39" fillId="6" borderId="11" xfId="0" applyFont="1" applyFill="1" applyBorder="1" applyAlignment="1">
      <alignment horizontal="center" vertical="center" wrapText="1"/>
    </xf>
    <xf numFmtId="0" fontId="31" fillId="8" borderId="11" xfId="0" applyFont="1" applyFill="1" applyBorder="1" applyAlignment="1">
      <alignment horizontal="center" vertical="center" wrapText="1"/>
    </xf>
    <xf numFmtId="3" fontId="16" fillId="9" borderId="15" xfId="0" applyNumberFormat="1" applyFont="1" applyFill="1" applyBorder="1" applyAlignment="1">
      <alignment horizontal="left" vertical="center" indent="1"/>
    </xf>
    <xf numFmtId="0" fontId="40" fillId="0" borderId="0" xfId="0" applyFont="1" applyAlignment="1">
      <alignment horizontal="left" vertical="center" wrapText="1"/>
    </xf>
    <xf numFmtId="0" fontId="42" fillId="0" borderId="11" xfId="315" applyFont="1" applyBorder="1" applyAlignment="1">
      <alignment horizontal="left" vertical="center" wrapText="1"/>
    </xf>
    <xf numFmtId="0" fontId="26" fillId="6" borderId="11" xfId="0" applyFont="1" applyFill="1" applyBorder="1" applyAlignment="1">
      <alignment horizontal="center" vertical="center" wrapText="1"/>
    </xf>
    <xf numFmtId="0" fontId="39" fillId="8" borderId="11" xfId="0" applyFont="1" applyFill="1" applyBorder="1" applyAlignment="1">
      <alignment horizontal="center" vertical="center" wrapText="1"/>
    </xf>
    <xf numFmtId="0" fontId="31" fillId="6" borderId="11" xfId="0" applyFont="1" applyFill="1" applyBorder="1" applyAlignment="1">
      <alignment horizontal="center" vertical="center" wrapText="1"/>
    </xf>
    <xf numFmtId="0" fontId="28" fillId="5" borderId="11" xfId="0" applyFont="1" applyFill="1" applyBorder="1" applyAlignment="1">
      <alignment horizontal="center" vertical="center"/>
    </xf>
    <xf numFmtId="0" fontId="26" fillId="5" borderId="11" xfId="0" applyFont="1" applyFill="1" applyBorder="1" applyAlignment="1">
      <alignment horizontal="center" vertical="center" wrapText="1"/>
    </xf>
    <xf numFmtId="0" fontId="29" fillId="14" borderId="11" xfId="0" applyFont="1" applyFill="1" applyBorder="1" applyAlignment="1">
      <alignment horizontal="center" vertical="center" wrapText="1"/>
    </xf>
    <xf numFmtId="0" fontId="30" fillId="14" borderId="11" xfId="0" applyFont="1" applyFill="1" applyBorder="1" applyAlignment="1">
      <alignment horizontal="center" vertical="center"/>
    </xf>
    <xf numFmtId="0" fontId="12" fillId="0" borderId="0" xfId="76" applyFont="1" applyAlignment="1">
      <alignment horizontal="center" vertical="center"/>
    </xf>
    <xf numFmtId="0" fontId="24" fillId="0" borderId="0" xfId="76" applyFont="1">
      <alignment vertical="center"/>
    </xf>
    <xf numFmtId="0" fontId="35" fillId="4" borderId="11" xfId="76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9" fillId="7" borderId="11" xfId="0" applyFont="1" applyFill="1" applyBorder="1" applyAlignment="1">
      <alignment horizontal="center" vertical="center" wrapText="1"/>
    </xf>
    <xf numFmtId="0" fontId="26" fillId="7" borderId="11" xfId="0" applyFont="1" applyFill="1" applyBorder="1" applyAlignment="1">
      <alignment horizontal="center" vertical="center" wrapText="1"/>
    </xf>
    <xf numFmtId="0" fontId="45" fillId="15" borderId="11" xfId="0" applyFont="1" applyFill="1" applyBorder="1" applyAlignment="1">
      <alignment horizontal="center" vertical="center" wrapText="1"/>
    </xf>
    <xf numFmtId="180" fontId="18" fillId="4" borderId="11" xfId="0" applyNumberFormat="1" applyFont="1" applyFill="1" applyBorder="1" applyAlignment="1">
      <alignment horizontal="center" vertical="center"/>
    </xf>
    <xf numFmtId="180" fontId="16" fillId="0" borderId="11" xfId="0" applyNumberFormat="1" applyFont="1" applyBorder="1" applyAlignment="1">
      <alignment horizontal="center" vertical="center"/>
    </xf>
    <xf numFmtId="180" fontId="18" fillId="4" borderId="11" xfId="0" applyNumberFormat="1" applyFont="1" applyFill="1" applyBorder="1" applyAlignment="1">
      <alignment horizontal="centerContinuous" vertical="center"/>
    </xf>
    <xf numFmtId="177" fontId="20" fillId="4" borderId="18" xfId="1" applyFont="1" applyFill="1" applyBorder="1" applyAlignment="1">
      <alignment horizontal="center" vertical="center"/>
    </xf>
    <xf numFmtId="0" fontId="16" fillId="0" borderId="15" xfId="0" applyFont="1" applyBorder="1" applyAlignment="1">
      <alignment horizontal="left" vertical="center" indent="1"/>
    </xf>
    <xf numFmtId="0" fontId="47" fillId="0" borderId="0" xfId="0" applyFont="1">
      <alignment vertical="center"/>
    </xf>
    <xf numFmtId="180" fontId="18" fillId="11" borderId="13" xfId="68" applyNumberFormat="1" applyFont="1" applyFill="1" applyBorder="1" applyAlignment="1">
      <alignment horizontal="center" vertical="center"/>
    </xf>
    <xf numFmtId="177" fontId="18" fillId="11" borderId="27" xfId="55" applyFont="1" applyFill="1" applyBorder="1" applyAlignment="1">
      <alignment horizontal="center" vertical="center"/>
    </xf>
    <xf numFmtId="177" fontId="18" fillId="11" borderId="23" xfId="55" applyFont="1" applyFill="1" applyBorder="1" applyAlignment="1">
      <alignment horizontal="center" vertical="center"/>
    </xf>
    <xf numFmtId="177" fontId="18" fillId="11" borderId="28" xfId="55" applyFont="1" applyFill="1" applyBorder="1" applyAlignment="1">
      <alignment horizontal="center" vertical="center"/>
    </xf>
    <xf numFmtId="177" fontId="18" fillId="4" borderId="18" xfId="0" applyNumberFormat="1" applyFont="1" applyFill="1" applyBorder="1" applyAlignment="1">
      <alignment horizontal="centerContinuous" vertical="center"/>
    </xf>
    <xf numFmtId="179" fontId="24" fillId="0" borderId="11" xfId="68" applyNumberFormat="1" applyFont="1" applyBorder="1" applyAlignment="1">
      <alignment horizontal="center" vertical="center"/>
    </xf>
    <xf numFmtId="181" fontId="38" fillId="0" borderId="11" xfId="68" applyNumberFormat="1" applyFont="1" applyBorder="1" applyAlignment="1">
      <alignment horizontal="center" vertical="center" wrapText="1"/>
    </xf>
    <xf numFmtId="180" fontId="24" fillId="0" borderId="11" xfId="68" applyNumberFormat="1" applyFont="1" applyBorder="1" applyAlignment="1">
      <alignment horizontal="center" vertical="center"/>
    </xf>
    <xf numFmtId="0" fontId="24" fillId="0" borderId="11" xfId="68" applyFont="1" applyBorder="1" applyAlignment="1">
      <alignment horizontal="center" vertical="center"/>
    </xf>
    <xf numFmtId="0" fontId="24" fillId="0" borderId="11" xfId="68" applyFont="1" applyBorder="1" applyAlignment="1">
      <alignment horizontal="center" vertical="center" wrapText="1"/>
    </xf>
    <xf numFmtId="177" fontId="24" fillId="16" borderId="11" xfId="55" applyFont="1" applyFill="1" applyBorder="1" applyAlignment="1">
      <alignment vertical="center"/>
    </xf>
    <xf numFmtId="177" fontId="24" fillId="16" borderId="11" xfId="55" applyFont="1" applyFill="1" applyBorder="1" applyAlignment="1">
      <alignment horizontal="center" vertical="center"/>
    </xf>
    <xf numFmtId="177" fontId="24" fillId="0" borderId="11" xfId="1" applyFont="1" applyFill="1" applyBorder="1">
      <alignment vertical="center"/>
    </xf>
    <xf numFmtId="0" fontId="24" fillId="0" borderId="15" xfId="0" applyFont="1" applyBorder="1" applyAlignment="1">
      <alignment horizontal="left" vertical="center" indent="1"/>
    </xf>
    <xf numFmtId="0" fontId="16" fillId="8" borderId="25" xfId="0" applyFont="1" applyFill="1" applyBorder="1" applyAlignment="1">
      <alignment horizontal="left" vertical="center" indent="1"/>
    </xf>
    <xf numFmtId="0" fontId="26" fillId="17" borderId="11" xfId="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39" fillId="17" borderId="19" xfId="0" applyFont="1" applyFill="1" applyBorder="1" applyAlignment="1">
      <alignment horizontal="center" vertical="center" wrapText="1"/>
    </xf>
    <xf numFmtId="0" fontId="39" fillId="17" borderId="20" xfId="0" applyFont="1" applyFill="1" applyBorder="1" applyAlignment="1">
      <alignment horizontal="center" vertical="center" wrapText="1"/>
    </xf>
    <xf numFmtId="0" fontId="39" fillId="17" borderId="21" xfId="0" applyFont="1" applyFill="1" applyBorder="1" applyAlignment="1">
      <alignment horizontal="center" vertical="center" wrapText="1"/>
    </xf>
    <xf numFmtId="0" fontId="26" fillId="17" borderId="15" xfId="0" applyFont="1" applyFill="1" applyBorder="1" applyAlignment="1">
      <alignment horizontal="center" vertical="center" wrapText="1"/>
    </xf>
    <xf numFmtId="0" fontId="26" fillId="17" borderId="14" xfId="0" applyFont="1" applyFill="1" applyBorder="1" applyAlignment="1">
      <alignment horizontal="center" vertical="center" wrapText="1"/>
    </xf>
    <xf numFmtId="0" fontId="28" fillId="0" borderId="31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0" fontId="28" fillId="5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 wrapText="1"/>
    </xf>
    <xf numFmtId="0" fontId="39" fillId="8" borderId="19" xfId="0" applyFont="1" applyFill="1" applyBorder="1" applyAlignment="1">
      <alignment horizontal="center" vertical="center" wrapText="1"/>
    </xf>
    <xf numFmtId="0" fontId="39" fillId="8" borderId="20" xfId="0" applyFont="1" applyFill="1" applyBorder="1" applyAlignment="1">
      <alignment horizontal="center" vertical="center" wrapText="1"/>
    </xf>
    <xf numFmtId="0" fontId="39" fillId="8" borderId="21" xfId="0" applyFont="1" applyFill="1" applyBorder="1" applyAlignment="1">
      <alignment horizontal="center" vertical="center" wrapText="1"/>
    </xf>
    <xf numFmtId="0" fontId="26" fillId="8" borderId="15" xfId="0" applyFont="1" applyFill="1" applyBorder="1" applyAlignment="1">
      <alignment horizontal="center" vertical="center" wrapText="1"/>
    </xf>
    <xf numFmtId="0" fontId="26" fillId="8" borderId="14" xfId="0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 wrapText="1"/>
    </xf>
    <xf numFmtId="0" fontId="39" fillId="6" borderId="20" xfId="0" applyFont="1" applyFill="1" applyBorder="1" applyAlignment="1">
      <alignment horizontal="center" vertical="center" wrapText="1"/>
    </xf>
    <xf numFmtId="0" fontId="39" fillId="6" borderId="21" xfId="0" applyFont="1" applyFill="1" applyBorder="1" applyAlignment="1">
      <alignment horizontal="center" vertical="center" wrapText="1"/>
    </xf>
    <xf numFmtId="0" fontId="26" fillId="6" borderId="14" xfId="0" applyFont="1" applyFill="1" applyBorder="1" applyAlignment="1">
      <alignment horizontal="center" vertical="center" wrapText="1"/>
    </xf>
    <xf numFmtId="180" fontId="18" fillId="4" borderId="13" xfId="0" applyNumberFormat="1" applyFont="1" applyFill="1" applyBorder="1" applyAlignment="1">
      <alignment horizontal="center" vertical="center"/>
    </xf>
    <xf numFmtId="0" fontId="18" fillId="4" borderId="13" xfId="1" applyNumberFormat="1" applyFont="1" applyFill="1" applyBorder="1" applyAlignment="1">
      <alignment horizontal="center" vertical="center"/>
    </xf>
    <xf numFmtId="177" fontId="16" fillId="0" borderId="14" xfId="1" applyFont="1" applyBorder="1" applyAlignment="1">
      <alignment horizontal="center" vertical="center"/>
    </xf>
    <xf numFmtId="0" fontId="18" fillId="4" borderId="18" xfId="0" applyFont="1" applyFill="1" applyBorder="1" applyAlignment="1">
      <alignment horizontal="centerContinuous" vertical="center"/>
    </xf>
    <xf numFmtId="180" fontId="18" fillId="4" borderId="18" xfId="0" applyNumberFormat="1" applyFont="1" applyFill="1" applyBorder="1" applyAlignment="1">
      <alignment horizontal="centerContinuous" vertical="center"/>
    </xf>
    <xf numFmtId="0" fontId="18" fillId="4" borderId="18" xfId="0" applyFont="1" applyFill="1" applyBorder="1" applyAlignment="1">
      <alignment horizontal="center" vertical="center"/>
    </xf>
    <xf numFmtId="177" fontId="20" fillId="4" borderId="18" xfId="1" applyFont="1" applyFill="1" applyBorder="1">
      <alignment vertical="center"/>
    </xf>
    <xf numFmtId="0" fontId="48" fillId="0" borderId="11" xfId="0" applyFont="1" applyBorder="1" applyAlignment="1">
      <alignment horizontal="center" vertical="center"/>
    </xf>
    <xf numFmtId="180" fontId="48" fillId="0" borderId="11" xfId="0" applyNumberFormat="1" applyFont="1" applyBorder="1" applyAlignment="1">
      <alignment horizontal="center" vertical="center"/>
    </xf>
    <xf numFmtId="0" fontId="48" fillId="5" borderId="11" xfId="0" applyFont="1" applyFill="1" applyBorder="1" applyAlignment="1">
      <alignment horizontal="center" vertical="center"/>
    </xf>
    <xf numFmtId="3" fontId="16" fillId="7" borderId="15" xfId="0" applyNumberFormat="1" applyFont="1" applyFill="1" applyBorder="1" applyAlignment="1">
      <alignment horizontal="left" vertical="center" indent="1"/>
    </xf>
    <xf numFmtId="0" fontId="16" fillId="17" borderId="15" xfId="0" applyFont="1" applyFill="1" applyBorder="1" applyAlignment="1">
      <alignment horizontal="left" vertical="center" indent="1"/>
    </xf>
    <xf numFmtId="49" fontId="19" fillId="4" borderId="13" xfId="175" applyNumberFormat="1" applyFont="1" applyFill="1" applyBorder="1" applyAlignment="1">
      <alignment horizontal="center" vertical="center"/>
    </xf>
    <xf numFmtId="3" fontId="16" fillId="6" borderId="15" xfId="0" applyNumberFormat="1" applyFont="1" applyFill="1" applyBorder="1" applyAlignment="1">
      <alignment horizontal="left" vertical="center" indent="1"/>
    </xf>
    <xf numFmtId="0" fontId="16" fillId="9" borderId="24" xfId="0" applyFont="1" applyFill="1" applyBorder="1" applyAlignment="1">
      <alignment horizontal="left" vertical="center" indent="1"/>
    </xf>
    <xf numFmtId="0" fontId="26" fillId="9" borderId="11" xfId="0" applyFont="1" applyFill="1" applyBorder="1" applyAlignment="1">
      <alignment horizontal="center" vertical="center" wrapText="1"/>
    </xf>
    <xf numFmtId="0" fontId="39" fillId="9" borderId="20" xfId="0" applyFont="1" applyFill="1" applyBorder="1" applyAlignment="1">
      <alignment horizontal="center" vertical="center" wrapText="1"/>
    </xf>
    <xf numFmtId="0" fontId="39" fillId="9" borderId="21" xfId="0" applyFont="1" applyFill="1" applyBorder="1" applyAlignment="1">
      <alignment horizontal="center" vertical="center" wrapText="1"/>
    </xf>
    <xf numFmtId="0" fontId="26" fillId="9" borderId="14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 wrapText="1"/>
    </xf>
    <xf numFmtId="0" fontId="39" fillId="17" borderId="32" xfId="0" applyFont="1" applyFill="1" applyBorder="1" applyAlignment="1">
      <alignment horizontal="center" vertical="center" wrapText="1"/>
    </xf>
    <xf numFmtId="0" fontId="26" fillId="17" borderId="10" xfId="0" applyFont="1" applyFill="1" applyBorder="1" applyAlignment="1">
      <alignment horizontal="center" vertical="center" wrapText="1"/>
    </xf>
    <xf numFmtId="0" fontId="26" fillId="9" borderId="12" xfId="0" applyFont="1" applyFill="1" applyBorder="1" applyAlignment="1">
      <alignment horizontal="center" vertical="center" wrapText="1"/>
    </xf>
    <xf numFmtId="0" fontId="39" fillId="17" borderId="35" xfId="0" applyFont="1" applyFill="1" applyBorder="1" applyAlignment="1">
      <alignment horizontal="center" vertical="center" wrapText="1"/>
    </xf>
    <xf numFmtId="0" fontId="26" fillId="17" borderId="12" xfId="0" applyFont="1" applyFill="1" applyBorder="1" applyAlignment="1">
      <alignment horizontal="center" vertical="center" wrapText="1"/>
    </xf>
    <xf numFmtId="0" fontId="39" fillId="9" borderId="32" xfId="0" applyFont="1" applyFill="1" applyBorder="1" applyAlignment="1">
      <alignment horizontal="center" vertical="center" wrapText="1"/>
    </xf>
    <xf numFmtId="0" fontId="26" fillId="9" borderId="10" xfId="0" applyFont="1" applyFill="1" applyBorder="1" applyAlignment="1">
      <alignment horizontal="center" vertical="center" wrapText="1"/>
    </xf>
    <xf numFmtId="0" fontId="39" fillId="9" borderId="35" xfId="0" applyFont="1" applyFill="1" applyBorder="1" applyAlignment="1">
      <alignment horizontal="center" vertical="center" wrapText="1"/>
    </xf>
    <xf numFmtId="0" fontId="39" fillId="9" borderId="19" xfId="0" applyFont="1" applyFill="1" applyBorder="1" applyAlignment="1">
      <alignment horizontal="center" vertical="center" wrapText="1"/>
    </xf>
    <xf numFmtId="0" fontId="26" fillId="9" borderId="15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/>
    </xf>
    <xf numFmtId="0" fontId="18" fillId="4" borderId="11" xfId="0" applyFont="1" applyFill="1" applyBorder="1" applyAlignment="1">
      <alignment horizontal="center" vertical="center" wrapText="1"/>
    </xf>
    <xf numFmtId="182" fontId="24" fillId="0" borderId="11" xfId="0" applyNumberFormat="1" applyFont="1" applyBorder="1" applyAlignment="1">
      <alignment horizontal="center" vertical="center"/>
    </xf>
    <xf numFmtId="14" fontId="24" fillId="0" borderId="11" xfId="0" applyNumberFormat="1" applyFont="1" applyBorder="1" applyAlignment="1">
      <alignment horizontal="center" vertical="center"/>
    </xf>
    <xf numFmtId="0" fontId="24" fillId="0" borderId="11" xfId="99" applyFont="1" applyBorder="1" applyAlignment="1">
      <alignment horizontal="center" vertical="center"/>
    </xf>
    <xf numFmtId="177" fontId="24" fillId="0" borderId="11" xfId="1" applyFont="1" applyBorder="1" applyAlignment="1">
      <alignment horizontal="center" vertical="center"/>
    </xf>
    <xf numFmtId="177" fontId="18" fillId="4" borderId="1" xfId="1" applyFont="1" applyFill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48" fillId="0" borderId="1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left" vertical="center" indent="1"/>
    </xf>
    <xf numFmtId="177" fontId="16" fillId="0" borderId="23" xfId="1" applyFont="1" applyFill="1" applyBorder="1">
      <alignment vertical="center"/>
    </xf>
    <xf numFmtId="176" fontId="18" fillId="4" borderId="13" xfId="1" applyNumberFormat="1" applyFont="1" applyFill="1" applyBorder="1" applyAlignment="1">
      <alignment horizontal="center" vertical="center" wrapText="1"/>
    </xf>
    <xf numFmtId="176" fontId="18" fillId="4" borderId="13" xfId="0" applyNumberFormat="1" applyFont="1" applyFill="1" applyBorder="1" applyAlignment="1">
      <alignment horizontal="center" vertical="center" wrapText="1"/>
    </xf>
    <xf numFmtId="176" fontId="16" fillId="0" borderId="0" xfId="1" applyNumberFormat="1" applyFont="1" applyFill="1">
      <alignment vertical="center"/>
    </xf>
    <xf numFmtId="176" fontId="16" fillId="0" borderId="0" xfId="0" applyNumberFormat="1" applyFont="1">
      <alignment vertical="center"/>
    </xf>
    <xf numFmtId="177" fontId="16" fillId="5" borderId="11" xfId="1" applyFont="1" applyFill="1" applyBorder="1" applyAlignment="1">
      <alignment horizontal="center" vertical="center"/>
    </xf>
    <xf numFmtId="179" fontId="24" fillId="0" borderId="11" xfId="68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80" fontId="24" fillId="0" borderId="0" xfId="0" applyNumberFormat="1" applyFont="1" applyAlignment="1">
      <alignment horizontal="center" vertical="center"/>
    </xf>
    <xf numFmtId="180" fontId="24" fillId="0" borderId="0" xfId="0" applyNumberFormat="1" applyFont="1" applyAlignment="1">
      <alignment horizontal="center" vertical="center" shrinkToFit="1"/>
    </xf>
    <xf numFmtId="177" fontId="24" fillId="0" borderId="0" xfId="317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80" fontId="51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 shrinkToFit="1"/>
    </xf>
    <xf numFmtId="180" fontId="24" fillId="0" borderId="0" xfId="0" applyNumberFormat="1" applyFont="1">
      <alignment vertical="center"/>
    </xf>
    <xf numFmtId="0" fontId="18" fillId="18" borderId="11" xfId="0" applyFont="1" applyFill="1" applyBorder="1" applyAlignment="1">
      <alignment horizontal="center" vertical="center"/>
    </xf>
    <xf numFmtId="180" fontId="18" fillId="18" borderId="11" xfId="0" applyNumberFormat="1" applyFont="1" applyFill="1" applyBorder="1" applyAlignment="1">
      <alignment horizontal="center" vertical="center"/>
    </xf>
    <xf numFmtId="0" fontId="18" fillId="18" borderId="11" xfId="0" applyFont="1" applyFill="1" applyBorder="1" applyAlignment="1">
      <alignment horizontal="center" vertical="center" shrinkToFit="1"/>
    </xf>
    <xf numFmtId="177" fontId="18" fillId="18" borderId="11" xfId="1" applyFont="1" applyFill="1" applyBorder="1" applyAlignment="1">
      <alignment horizontal="center" vertical="center"/>
    </xf>
    <xf numFmtId="0" fontId="37" fillId="0" borderId="0" xfId="0" applyFont="1">
      <alignment vertical="center"/>
    </xf>
    <xf numFmtId="0" fontId="18" fillId="18" borderId="11" xfId="0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left" vertical="center" shrinkToFit="1"/>
    </xf>
    <xf numFmtId="183" fontId="24" fillId="0" borderId="11" xfId="0" applyNumberFormat="1" applyFont="1" applyBorder="1">
      <alignment vertical="center"/>
    </xf>
    <xf numFmtId="177" fontId="24" fillId="0" borderId="11" xfId="0" applyNumberFormat="1" applyFont="1" applyBorder="1" applyAlignment="1">
      <alignment horizontal="center" vertical="center"/>
    </xf>
    <xf numFmtId="177" fontId="18" fillId="19" borderId="11" xfId="1" applyFont="1" applyFill="1" applyBorder="1" applyAlignment="1">
      <alignment horizontal="center" vertical="center"/>
    </xf>
    <xf numFmtId="177" fontId="18" fillId="19" borderId="0" xfId="1" applyFont="1" applyFill="1" applyBorder="1" applyAlignment="1">
      <alignment horizontal="center" vertical="center"/>
    </xf>
    <xf numFmtId="177" fontId="53" fillId="19" borderId="0" xfId="1" applyFont="1" applyFill="1" applyBorder="1" applyAlignment="1">
      <alignment horizontal="center" vertical="center"/>
    </xf>
    <xf numFmtId="177" fontId="53" fillId="19" borderId="11" xfId="1" applyFont="1" applyFill="1" applyBorder="1" applyAlignment="1">
      <alignment horizontal="center" vertical="center"/>
    </xf>
    <xf numFmtId="0" fontId="35" fillId="4" borderId="0" xfId="76" applyFont="1" applyFill="1" applyAlignment="1">
      <alignment horizontal="center" vertical="center"/>
    </xf>
    <xf numFmtId="179" fontId="33" fillId="5" borderId="11" xfId="76" applyNumberFormat="1" applyFont="1" applyFill="1" applyBorder="1" applyAlignment="1">
      <alignment horizontal="center" vertical="center"/>
    </xf>
    <xf numFmtId="180" fontId="33" fillId="5" borderId="11" xfId="1" applyNumberFormat="1" applyFont="1" applyFill="1" applyBorder="1" applyAlignment="1">
      <alignment horizontal="center" vertical="center"/>
    </xf>
    <xf numFmtId="177" fontId="24" fillId="0" borderId="11" xfId="1" applyFont="1" applyFill="1" applyBorder="1" applyAlignment="1">
      <alignment horizontal="center" vertical="center" wrapText="1"/>
    </xf>
    <xf numFmtId="180" fontId="24" fillId="5" borderId="11" xfId="1" applyNumberFormat="1" applyFont="1" applyFill="1" applyBorder="1" applyAlignment="1">
      <alignment horizontal="center" vertical="center"/>
    </xf>
    <xf numFmtId="177" fontId="24" fillId="9" borderId="11" xfId="55" applyFont="1" applyFill="1" applyBorder="1" applyAlignment="1">
      <alignment horizontal="center" vertical="center"/>
    </xf>
    <xf numFmtId="3" fontId="16" fillId="13" borderId="15" xfId="0" applyNumberFormat="1" applyFont="1" applyFill="1" applyBorder="1" applyAlignment="1">
      <alignment horizontal="left" vertical="center" indent="1"/>
    </xf>
    <xf numFmtId="177" fontId="16" fillId="13" borderId="11" xfId="1" applyFont="1" applyFill="1" applyBorder="1">
      <alignment vertical="center"/>
    </xf>
    <xf numFmtId="177" fontId="16" fillId="13" borderId="14" xfId="1" applyFont="1" applyFill="1" applyBorder="1">
      <alignment vertical="center"/>
    </xf>
    <xf numFmtId="0" fontId="16" fillId="13" borderId="15" xfId="0" applyFont="1" applyFill="1" applyBorder="1" applyAlignment="1">
      <alignment horizontal="left" vertical="center" indent="1"/>
    </xf>
    <xf numFmtId="177" fontId="16" fillId="13" borderId="13" xfId="1" applyFont="1" applyFill="1" applyBorder="1">
      <alignment vertical="center"/>
    </xf>
    <xf numFmtId="177" fontId="16" fillId="13" borderId="18" xfId="1" applyFont="1" applyFill="1" applyBorder="1">
      <alignment vertical="center"/>
    </xf>
    <xf numFmtId="177" fontId="24" fillId="0" borderId="11" xfId="1" applyFont="1" applyBorder="1" applyAlignment="1">
      <alignment horizontal="right" vertical="center"/>
    </xf>
    <xf numFmtId="177" fontId="18" fillId="19" borderId="11" xfId="1" applyFont="1" applyFill="1" applyBorder="1" applyAlignment="1">
      <alignment horizontal="right" vertical="center"/>
    </xf>
    <xf numFmtId="0" fontId="24" fillId="5" borderId="0" xfId="0" applyFont="1" applyFill="1">
      <alignment vertical="center"/>
    </xf>
    <xf numFmtId="0" fontId="45" fillId="5" borderId="0" xfId="0" applyFont="1" applyFill="1" applyAlignment="1">
      <alignment horizontal="center" vertical="center" wrapText="1"/>
    </xf>
    <xf numFmtId="0" fontId="28" fillId="5" borderId="0" xfId="0" applyFont="1" applyFill="1" applyAlignment="1">
      <alignment horizontal="center" vertical="center"/>
    </xf>
    <xf numFmtId="0" fontId="26" fillId="5" borderId="0" xfId="0" applyFont="1" applyFill="1" applyAlignment="1">
      <alignment horizontal="center" vertical="center" wrapText="1"/>
    </xf>
    <xf numFmtId="177" fontId="16" fillId="0" borderId="10" xfId="1" applyFont="1" applyFill="1" applyBorder="1">
      <alignment vertical="center"/>
    </xf>
    <xf numFmtId="3" fontId="16" fillId="6" borderId="31" xfId="0" applyNumberFormat="1" applyFont="1" applyFill="1" applyBorder="1" applyAlignment="1">
      <alignment horizontal="left" vertical="center" indent="1"/>
    </xf>
    <xf numFmtId="179" fontId="24" fillId="0" borderId="11" xfId="62" applyNumberFormat="1" applyFont="1" applyBorder="1" applyAlignment="1">
      <alignment horizontal="center" vertical="center"/>
    </xf>
    <xf numFmtId="0" fontId="24" fillId="0" borderId="11" xfId="62" applyFont="1" applyBorder="1" applyAlignment="1">
      <alignment horizontal="center" vertical="center"/>
    </xf>
    <xf numFmtId="0" fontId="33" fillId="5" borderId="0" xfId="0" applyFont="1" applyFill="1">
      <alignment vertical="center"/>
    </xf>
    <xf numFmtId="0" fontId="33" fillId="5" borderId="0" xfId="0" applyFont="1" applyFill="1" applyAlignment="1"/>
    <xf numFmtId="0" fontId="34" fillId="5" borderId="0" xfId="0" applyFont="1" applyFill="1" applyAlignment="1"/>
    <xf numFmtId="177" fontId="16" fillId="13" borderId="26" xfId="1" applyFont="1" applyFill="1" applyBorder="1">
      <alignment vertical="center"/>
    </xf>
    <xf numFmtId="180" fontId="16" fillId="5" borderId="11" xfId="1" applyNumberFormat="1" applyFont="1" applyFill="1" applyBorder="1" applyAlignment="1">
      <alignment horizontal="center" vertical="center"/>
    </xf>
    <xf numFmtId="177" fontId="24" fillId="3" borderId="11" xfId="1" applyFont="1" applyFill="1" applyBorder="1" applyAlignment="1">
      <alignment horizontal="center" vertical="center"/>
    </xf>
    <xf numFmtId="177" fontId="24" fillId="0" borderId="11" xfId="4" applyFont="1" applyFill="1" applyBorder="1" applyAlignment="1">
      <alignment horizontal="center" vertical="center"/>
    </xf>
    <xf numFmtId="180" fontId="3" fillId="0" borderId="0" xfId="62" applyNumberFormat="1">
      <alignment vertical="center"/>
    </xf>
    <xf numFmtId="0" fontId="39" fillId="6" borderId="36" xfId="0" applyFont="1" applyFill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177" fontId="16" fillId="0" borderId="26" xfId="1" applyFont="1" applyFill="1" applyBorder="1">
      <alignment vertical="center"/>
    </xf>
    <xf numFmtId="180" fontId="33" fillId="5" borderId="12" xfId="1" applyNumberFormat="1" applyFont="1" applyFill="1" applyBorder="1" applyAlignment="1">
      <alignment horizontal="center" vertical="center"/>
    </xf>
    <xf numFmtId="9" fontId="3" fillId="0" borderId="0" xfId="62" applyNumberFormat="1" applyAlignment="1">
      <alignment horizontal="center" vertical="center"/>
    </xf>
    <xf numFmtId="180" fontId="3" fillId="0" borderId="0" xfId="62" applyNumberFormat="1" applyAlignment="1">
      <alignment horizontal="center" vertical="center"/>
    </xf>
    <xf numFmtId="180" fontId="35" fillId="4" borderId="11" xfId="76" applyNumberFormat="1" applyFont="1" applyFill="1" applyBorder="1" applyAlignment="1">
      <alignment horizontal="center" vertical="center"/>
    </xf>
    <xf numFmtId="180" fontId="35" fillId="4" borderId="12" xfId="76" applyNumberFormat="1" applyFont="1" applyFill="1" applyBorder="1" applyAlignment="1">
      <alignment horizontal="center" vertical="center"/>
    </xf>
    <xf numFmtId="0" fontId="24" fillId="0" borderId="11" xfId="1" applyNumberFormat="1" applyFont="1" applyBorder="1" applyAlignment="1">
      <alignment horizontal="center" vertical="center"/>
    </xf>
    <xf numFmtId="180" fontId="24" fillId="0" borderId="11" xfId="1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177" fontId="20" fillId="4" borderId="40" xfId="1" applyFont="1" applyFill="1" applyBorder="1" applyAlignment="1">
      <alignment horizontal="center" vertical="center"/>
    </xf>
    <xf numFmtId="179" fontId="33" fillId="0" borderId="12" xfId="0" applyNumberFormat="1" applyFont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28" fillId="0" borderId="11" xfId="4" applyNumberFormat="1" applyFont="1" applyFill="1" applyBorder="1" applyAlignment="1">
      <alignment horizontal="left" vertical="center"/>
    </xf>
    <xf numFmtId="0" fontId="28" fillId="0" borderId="13" xfId="0" applyFont="1" applyBorder="1" applyAlignment="1">
      <alignment horizontal="center" vertical="center"/>
    </xf>
    <xf numFmtId="179" fontId="33" fillId="0" borderId="11" xfId="0" applyNumberFormat="1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180" fontId="28" fillId="0" borderId="11" xfId="4" applyNumberFormat="1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180" fontId="16" fillId="0" borderId="18" xfId="0" applyNumberFormat="1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 wrapText="1"/>
    </xf>
    <xf numFmtId="0" fontId="16" fillId="8" borderId="41" xfId="0" applyFont="1" applyFill="1" applyBorder="1" applyAlignment="1">
      <alignment horizontal="left" vertical="center" indent="1"/>
    </xf>
    <xf numFmtId="0" fontId="24" fillId="0" borderId="11" xfId="0" applyFont="1" applyBorder="1" applyAlignment="1">
      <alignment horizontal="left" vertical="center" wrapText="1" shrinkToFit="1"/>
    </xf>
    <xf numFmtId="0" fontId="24" fillId="0" borderId="11" xfId="1" applyNumberFormat="1" applyFont="1" applyFill="1" applyBorder="1" applyAlignment="1">
      <alignment horizontal="center" vertical="center"/>
    </xf>
    <xf numFmtId="0" fontId="33" fillId="10" borderId="0" xfId="0" applyFont="1" applyFill="1" applyAlignment="1">
      <alignment horizontal="left" vertical="center"/>
    </xf>
    <xf numFmtId="0" fontId="16" fillId="8" borderId="19" xfId="0" applyFont="1" applyFill="1" applyBorder="1" applyAlignment="1">
      <alignment horizontal="left" vertical="center" indent="1"/>
    </xf>
    <xf numFmtId="180" fontId="28" fillId="0" borderId="11" xfId="0" applyNumberFormat="1" applyFont="1" applyBorder="1" applyAlignment="1">
      <alignment horizontal="center" vertical="center" wrapText="1"/>
    </xf>
    <xf numFmtId="180" fontId="24" fillId="0" borderId="0" xfId="0" applyNumberFormat="1" applyFont="1" applyAlignment="1">
      <alignment horizontal="right" vertical="center"/>
    </xf>
    <xf numFmtId="180" fontId="24" fillId="0" borderId="11" xfId="0" applyNumberFormat="1" applyFont="1" applyBorder="1" applyAlignment="1">
      <alignment horizontal="right" vertical="center"/>
    </xf>
    <xf numFmtId="180" fontId="18" fillId="19" borderId="0" xfId="1" applyNumberFormat="1" applyFont="1" applyFill="1" applyBorder="1" applyAlignment="1">
      <alignment horizontal="right" vertical="center"/>
    </xf>
    <xf numFmtId="180" fontId="53" fillId="19" borderId="0" xfId="1" applyNumberFormat="1" applyFont="1" applyFill="1" applyBorder="1" applyAlignment="1">
      <alignment horizontal="right" vertical="center"/>
    </xf>
    <xf numFmtId="178" fontId="24" fillId="0" borderId="11" xfId="0" applyNumberFormat="1" applyFont="1" applyBorder="1" applyAlignment="1">
      <alignment horizontal="center" vertical="center"/>
    </xf>
    <xf numFmtId="0" fontId="56" fillId="0" borderId="11" xfId="4" applyNumberFormat="1" applyFont="1" applyFill="1" applyBorder="1" applyAlignment="1">
      <alignment horizontal="center" vertical="center"/>
    </xf>
    <xf numFmtId="14" fontId="3" fillId="0" borderId="0" xfId="62" applyNumberForma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3" fillId="0" borderId="0" xfId="1" applyFont="1">
      <alignment vertical="center"/>
    </xf>
    <xf numFmtId="180" fontId="33" fillId="0" borderId="11" xfId="0" applyNumberFormat="1" applyFont="1" applyBorder="1" applyAlignment="1">
      <alignment horizontal="center" vertical="center" wrapText="1"/>
    </xf>
    <xf numFmtId="180" fontId="28" fillId="0" borderId="11" xfId="0" applyNumberFormat="1" applyFont="1" applyBorder="1" applyAlignment="1">
      <alignment horizontal="center" vertical="center"/>
    </xf>
    <xf numFmtId="179" fontId="24" fillId="0" borderId="11" xfId="1" applyNumberFormat="1" applyFont="1" applyFill="1" applyBorder="1" applyAlignment="1">
      <alignment horizontal="center" vertical="center"/>
    </xf>
    <xf numFmtId="180" fontId="16" fillId="0" borderId="11" xfId="1" applyNumberFormat="1" applyFont="1" applyFill="1" applyBorder="1" applyAlignment="1">
      <alignment horizontal="center" vertical="center"/>
    </xf>
    <xf numFmtId="177" fontId="24" fillId="0" borderId="11" xfId="1" applyFont="1" applyFill="1" applyBorder="1" applyAlignment="1">
      <alignment horizontal="center" vertical="center"/>
    </xf>
    <xf numFmtId="180" fontId="24" fillId="0" borderId="11" xfId="68" applyNumberFormat="1" applyFont="1" applyBorder="1" applyAlignment="1">
      <alignment horizontal="center" vertical="center" wrapText="1"/>
    </xf>
    <xf numFmtId="0" fontId="48" fillId="5" borderId="11" xfId="0" quotePrefix="1" applyFont="1" applyFill="1" applyBorder="1" applyAlignment="1">
      <alignment horizontal="center" vertical="center"/>
    </xf>
    <xf numFmtId="49" fontId="48" fillId="5" borderId="11" xfId="0" quotePrefix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28" fillId="0" borderId="11" xfId="4" applyNumberFormat="1" applyFont="1" applyFill="1" applyBorder="1" applyAlignment="1">
      <alignment horizontal="center" vertical="center" wrapText="1"/>
    </xf>
    <xf numFmtId="180" fontId="48" fillId="5" borderId="11" xfId="0" applyNumberFormat="1" applyFont="1" applyFill="1" applyBorder="1" applyAlignment="1">
      <alignment horizontal="center" vertical="center"/>
    </xf>
    <xf numFmtId="180" fontId="48" fillId="0" borderId="11" xfId="0" applyNumberFormat="1" applyFont="1" applyBorder="1" applyAlignment="1">
      <alignment horizontal="center" vertical="center" wrapText="1"/>
    </xf>
    <xf numFmtId="180" fontId="48" fillId="0" borderId="11" xfId="0" quotePrefix="1" applyNumberFormat="1" applyFont="1" applyBorder="1" applyAlignment="1">
      <alignment horizontal="center" vertical="center"/>
    </xf>
    <xf numFmtId="0" fontId="24" fillId="0" borderId="11" xfId="1" applyNumberFormat="1" applyFont="1" applyBorder="1" applyAlignment="1">
      <alignment horizontal="right" vertical="center"/>
    </xf>
    <xf numFmtId="177" fontId="33" fillId="5" borderId="11" xfId="1" applyFont="1" applyFill="1" applyBorder="1" applyAlignment="1">
      <alignment horizontal="center" vertical="center"/>
    </xf>
    <xf numFmtId="177" fontId="33" fillId="5" borderId="12" xfId="1" applyFont="1" applyFill="1" applyBorder="1" applyAlignment="1">
      <alignment horizontal="center" vertical="center"/>
    </xf>
    <xf numFmtId="177" fontId="33" fillId="0" borderId="11" xfId="1" applyFont="1" applyBorder="1" applyAlignment="1"/>
    <xf numFmtId="177" fontId="57" fillId="0" borderId="42" xfId="1" applyFont="1" applyBorder="1" applyAlignment="1">
      <alignment vertical="center" readingOrder="1"/>
    </xf>
    <xf numFmtId="179" fontId="33" fillId="0" borderId="11" xfId="76" applyNumberFormat="1" applyFont="1" applyBorder="1" applyAlignment="1">
      <alignment horizontal="center" vertical="center"/>
    </xf>
    <xf numFmtId="180" fontId="33" fillId="0" borderId="11" xfId="1" applyNumberFormat="1" applyFont="1" applyFill="1" applyBorder="1" applyAlignment="1">
      <alignment horizontal="center" vertical="center"/>
    </xf>
    <xf numFmtId="180" fontId="33" fillId="0" borderId="12" xfId="1" applyNumberFormat="1" applyFont="1" applyFill="1" applyBorder="1" applyAlignment="1">
      <alignment horizontal="center" vertical="center"/>
    </xf>
    <xf numFmtId="177" fontId="33" fillId="0" borderId="11" xfId="1" applyFont="1" applyFill="1" applyBorder="1" applyAlignment="1">
      <alignment horizontal="center" vertical="center"/>
    </xf>
    <xf numFmtId="177" fontId="33" fillId="0" borderId="12" xfId="1" applyFont="1" applyFill="1" applyBorder="1" applyAlignment="1">
      <alignment horizontal="center" vertical="center"/>
    </xf>
    <xf numFmtId="0" fontId="28" fillId="0" borderId="11" xfId="0" applyFont="1" applyFill="1" applyBorder="1" applyAlignment="1">
      <alignment horizontal="center" vertical="center"/>
    </xf>
    <xf numFmtId="0" fontId="58" fillId="21" borderId="11" xfId="0" applyFont="1" applyFill="1" applyBorder="1" applyAlignment="1">
      <alignment horizontal="center" vertical="center" wrapText="1"/>
    </xf>
    <xf numFmtId="180" fontId="48" fillId="5" borderId="11" xfId="0" quotePrefix="1" applyNumberFormat="1" applyFont="1" applyFill="1" applyBorder="1" applyAlignment="1">
      <alignment horizontal="center" vertical="center"/>
    </xf>
    <xf numFmtId="180" fontId="24" fillId="0" borderId="11" xfId="0" applyNumberFormat="1" applyFont="1" applyBorder="1" applyAlignment="1">
      <alignment horizontal="center" vertical="center"/>
    </xf>
    <xf numFmtId="180" fontId="18" fillId="11" borderId="13" xfId="68" applyNumberFormat="1" applyFont="1" applyFill="1" applyBorder="1" applyAlignment="1">
      <alignment horizontal="center" vertical="center" wrapText="1"/>
    </xf>
    <xf numFmtId="177" fontId="24" fillId="16" borderId="18" xfId="55" applyFont="1" applyFill="1" applyBorder="1" applyAlignment="1">
      <alignment vertical="center"/>
    </xf>
    <xf numFmtId="0" fontId="59" fillId="0" borderId="11" xfId="0" applyFont="1" applyBorder="1" applyAlignment="1">
      <alignment horizontal="center" vertical="center"/>
    </xf>
    <xf numFmtId="0" fontId="60" fillId="23" borderId="11" xfId="0" applyFont="1" applyFill="1" applyBorder="1" applyAlignment="1">
      <alignment horizontal="center" vertical="center" wrapText="1"/>
    </xf>
    <xf numFmtId="0" fontId="61" fillId="23" borderId="15" xfId="0" applyFont="1" applyFill="1" applyBorder="1" applyAlignment="1">
      <alignment horizontal="left" vertical="center" indent="1"/>
    </xf>
    <xf numFmtId="0" fontId="61" fillId="0" borderId="0" xfId="0" applyFont="1" applyAlignment="1">
      <alignment horizontal="center" vertical="center"/>
    </xf>
    <xf numFmtId="0" fontId="63" fillId="22" borderId="11" xfId="0" applyFont="1" applyFill="1" applyBorder="1" applyAlignment="1">
      <alignment horizontal="center" vertical="center" wrapText="1"/>
    </xf>
    <xf numFmtId="0" fontId="62" fillId="21" borderId="11" xfId="0" applyFont="1" applyFill="1" applyBorder="1" applyAlignment="1">
      <alignment horizontal="center" vertical="center" wrapText="1"/>
    </xf>
    <xf numFmtId="0" fontId="60" fillId="22" borderId="11" xfId="0" applyFont="1" applyFill="1" applyBorder="1" applyAlignment="1">
      <alignment horizontal="center" vertical="center" wrapText="1"/>
    </xf>
    <xf numFmtId="0" fontId="62" fillId="21" borderId="11" xfId="0" applyFont="1" applyFill="1" applyBorder="1" applyAlignment="1">
      <alignment horizontal="center" vertical="center"/>
    </xf>
    <xf numFmtId="177" fontId="33" fillId="8" borderId="11" xfId="1" applyFont="1" applyFill="1" applyBorder="1" applyAlignment="1">
      <alignment horizontal="center" vertical="center"/>
    </xf>
    <xf numFmtId="177" fontId="33" fillId="8" borderId="12" xfId="1" applyFont="1" applyFill="1" applyBorder="1" applyAlignment="1">
      <alignment horizontal="center" vertical="center"/>
    </xf>
    <xf numFmtId="177" fontId="33" fillId="8" borderId="11" xfId="1" applyFont="1" applyFill="1" applyBorder="1" applyAlignment="1"/>
    <xf numFmtId="179" fontId="33" fillId="8" borderId="11" xfId="76" applyNumberFormat="1" applyFont="1" applyFill="1" applyBorder="1" applyAlignment="1">
      <alignment horizontal="center" vertical="center"/>
    </xf>
    <xf numFmtId="180" fontId="33" fillId="8" borderId="12" xfId="1" applyNumberFormat="1" applyFont="1" applyFill="1" applyBorder="1" applyAlignment="1">
      <alignment horizontal="right" vertical="center"/>
    </xf>
    <xf numFmtId="177" fontId="35" fillId="4" borderId="11" xfId="1" applyFont="1" applyFill="1" applyBorder="1" applyAlignment="1">
      <alignment horizontal="center" vertical="center"/>
    </xf>
    <xf numFmtId="177" fontId="24" fillId="0" borderId="11" xfId="1" applyFont="1" applyBorder="1" applyAlignment="1"/>
    <xf numFmtId="177" fontId="24" fillId="0" borderId="11" xfId="1" applyFont="1" applyFill="1" applyBorder="1" applyAlignment="1"/>
    <xf numFmtId="177" fontId="24" fillId="8" borderId="11" xfId="1" applyFont="1" applyFill="1" applyBorder="1" applyAlignment="1"/>
    <xf numFmtId="177" fontId="24" fillId="8" borderId="11" xfId="1" applyFont="1" applyFill="1" applyBorder="1" applyAlignment="1">
      <alignment horizontal="center" vertical="center"/>
    </xf>
    <xf numFmtId="180" fontId="33" fillId="8" borderId="11" xfId="1" applyNumberFormat="1" applyFont="1" applyFill="1" applyBorder="1" applyAlignment="1">
      <alignment horizontal="center" vertical="center"/>
    </xf>
    <xf numFmtId="180" fontId="33" fillId="8" borderId="12" xfId="1" applyNumberFormat="1" applyFont="1" applyFill="1" applyBorder="1" applyAlignment="1">
      <alignment horizontal="center" vertical="center"/>
    </xf>
    <xf numFmtId="0" fontId="3" fillId="0" borderId="0" xfId="62" applyFill="1">
      <alignment vertical="center"/>
    </xf>
    <xf numFmtId="0" fontId="3" fillId="0" borderId="0" xfId="62" applyFill="1" applyBorder="1">
      <alignment vertical="center"/>
    </xf>
    <xf numFmtId="0" fontId="33" fillId="0" borderId="0" xfId="318" applyFont="1" applyFill="1" applyAlignment="1">
      <alignment horizontal="right"/>
    </xf>
    <xf numFmtId="0" fontId="35" fillId="4" borderId="18" xfId="76" applyFont="1" applyFill="1" applyBorder="1" applyAlignment="1">
      <alignment horizontal="center" vertical="center"/>
    </xf>
    <xf numFmtId="0" fontId="33" fillId="0" borderId="0" xfId="318" applyFont="1" applyFill="1" applyBorder="1" applyAlignment="1">
      <alignment horizontal="right"/>
    </xf>
    <xf numFmtId="0" fontId="24" fillId="5" borderId="11" xfId="0" applyFont="1" applyFill="1" applyBorder="1" applyAlignment="1">
      <alignment horizontal="left" vertical="center" wrapText="1" shrinkToFit="1"/>
    </xf>
    <xf numFmtId="0" fontId="28" fillId="0" borderId="43" xfId="0" applyFont="1" applyBorder="1" applyAlignment="1">
      <alignment horizontal="center" vertical="center"/>
    </xf>
    <xf numFmtId="0" fontId="28" fillId="0" borderId="10" xfId="4" applyNumberFormat="1" applyFont="1" applyFill="1" applyBorder="1" applyAlignment="1">
      <alignment horizontal="center" vertical="center"/>
    </xf>
    <xf numFmtId="0" fontId="28" fillId="0" borderId="13" xfId="4" applyNumberFormat="1" applyFont="1" applyFill="1" applyBorder="1" applyAlignment="1">
      <alignment horizontal="center" vertical="center"/>
    </xf>
    <xf numFmtId="0" fontId="28" fillId="0" borderId="18" xfId="4" applyNumberFormat="1" applyFont="1" applyFill="1" applyBorder="1" applyAlignment="1">
      <alignment horizontal="center" vertical="center"/>
    </xf>
    <xf numFmtId="0" fontId="58" fillId="22" borderId="11" xfId="0" applyFont="1" applyFill="1" applyBorder="1" applyAlignment="1">
      <alignment horizontal="center" vertical="center" wrapText="1"/>
    </xf>
    <xf numFmtId="0" fontId="58" fillId="21" borderId="10" xfId="0" applyFont="1" applyFill="1" applyBorder="1" applyAlignment="1">
      <alignment horizontal="center" vertical="center" wrapText="1"/>
    </xf>
    <xf numFmtId="0" fontId="58" fillId="21" borderId="32" xfId="0" applyFont="1" applyFill="1" applyBorder="1" applyAlignment="1">
      <alignment horizontal="center" vertical="center" wrapText="1"/>
    </xf>
    <xf numFmtId="0" fontId="63" fillId="21" borderId="10" xfId="0" applyFont="1" applyFill="1" applyBorder="1" applyAlignment="1">
      <alignment horizontal="center" vertical="center" wrapText="1"/>
    </xf>
    <xf numFmtId="0" fontId="65" fillId="25" borderId="10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33" fillId="0" borderId="44" xfId="0" applyFont="1" applyBorder="1" applyAlignment="1">
      <alignment horizontal="center" vertical="center" wrapText="1"/>
    </xf>
    <xf numFmtId="0" fontId="33" fillId="0" borderId="43" xfId="0" applyFont="1" applyBorder="1" applyAlignment="1">
      <alignment horizontal="center" vertical="center" wrapText="1"/>
    </xf>
    <xf numFmtId="0" fontId="33" fillId="0" borderId="45" xfId="0" applyFont="1" applyBorder="1" applyAlignment="1">
      <alignment horizontal="center" vertical="center" wrapText="1"/>
    </xf>
    <xf numFmtId="177" fontId="24" fillId="9" borderId="11" xfId="55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79" fontId="33" fillId="0" borderId="11" xfId="76" applyNumberFormat="1" applyFont="1" applyFill="1" applyBorder="1" applyAlignment="1">
      <alignment horizontal="center" vertical="center"/>
    </xf>
    <xf numFmtId="177" fontId="33" fillId="0" borderId="11" xfId="1" applyFont="1" applyFill="1" applyBorder="1" applyAlignment="1"/>
    <xf numFmtId="177" fontId="3" fillId="26" borderId="0" xfId="62" applyNumberFormat="1" applyFill="1" applyAlignment="1">
      <alignment horizontal="center" vertical="center"/>
    </xf>
    <xf numFmtId="0" fontId="3" fillId="26" borderId="0" xfId="62" applyFill="1">
      <alignment vertical="center"/>
    </xf>
    <xf numFmtId="0" fontId="3" fillId="26" borderId="0" xfId="62" applyFill="1" applyAlignment="1">
      <alignment horizontal="center" vertical="center"/>
    </xf>
    <xf numFmtId="177" fontId="24" fillId="26" borderId="11" xfId="1" applyFont="1" applyFill="1" applyBorder="1" applyAlignment="1">
      <alignment horizontal="center" vertical="center"/>
    </xf>
    <xf numFmtId="0" fontId="66" fillId="0" borderId="10" xfId="0" applyFont="1" applyFill="1" applyBorder="1" applyAlignment="1">
      <alignment vertical="center"/>
    </xf>
    <xf numFmtId="0" fontId="66" fillId="0" borderId="18" xfId="0" applyFont="1" applyFill="1" applyBorder="1" applyAlignment="1">
      <alignment vertical="center"/>
    </xf>
    <xf numFmtId="0" fontId="66" fillId="0" borderId="8" xfId="0" applyFont="1" applyFill="1" applyBorder="1" applyAlignment="1">
      <alignment vertical="center"/>
    </xf>
    <xf numFmtId="3" fontId="66" fillId="0" borderId="18" xfId="0" applyNumberFormat="1" applyFont="1" applyFill="1" applyBorder="1" applyAlignment="1">
      <alignment vertical="center"/>
    </xf>
    <xf numFmtId="0" fontId="66" fillId="0" borderId="11" xfId="0" applyFont="1" applyFill="1" applyBorder="1" applyAlignment="1">
      <alignment horizontal="center" vertical="center"/>
    </xf>
    <xf numFmtId="0" fontId="66" fillId="0" borderId="18" xfId="0" applyFont="1" applyFill="1" applyBorder="1" applyAlignment="1">
      <alignment horizontal="center" vertical="center"/>
    </xf>
    <xf numFmtId="0" fontId="66" fillId="0" borderId="0" xfId="0" applyFont="1" applyFill="1" applyBorder="1" applyAlignment="1">
      <alignment horizontal="center" vertical="center"/>
    </xf>
    <xf numFmtId="0" fontId="66" fillId="0" borderId="1" xfId="0" applyFont="1" applyFill="1" applyBorder="1" applyAlignment="1">
      <alignment horizontal="center" vertical="center"/>
    </xf>
    <xf numFmtId="179" fontId="33" fillId="0" borderId="12" xfId="0" applyNumberFormat="1" applyFont="1" applyFill="1" applyBorder="1" applyAlignment="1">
      <alignment horizontal="center" vertical="center" wrapText="1"/>
    </xf>
    <xf numFmtId="0" fontId="67" fillId="0" borderId="11" xfId="0" applyFont="1" applyBorder="1" applyAlignment="1">
      <alignment horizontal="center" vertical="center" wrapText="1"/>
    </xf>
    <xf numFmtId="0" fontId="3" fillId="0" borderId="0" xfId="62" applyAlignment="1">
      <alignment horizontal="left" vertical="center"/>
    </xf>
    <xf numFmtId="0" fontId="8" fillId="0" borderId="0" xfId="62" applyFont="1" applyAlignment="1">
      <alignment horizontal="center" vertical="center"/>
    </xf>
    <xf numFmtId="0" fontId="3" fillId="0" borderId="0" xfId="62" applyAlignment="1">
      <alignment horizontal="center" vertical="center"/>
    </xf>
    <xf numFmtId="0" fontId="26" fillId="6" borderId="29" xfId="0" applyFont="1" applyFill="1" applyBorder="1" applyAlignment="1">
      <alignment horizontal="center" vertical="center" wrapText="1"/>
    </xf>
    <xf numFmtId="0" fontId="26" fillId="17" borderId="9" xfId="0" applyFont="1" applyFill="1" applyBorder="1" applyAlignment="1">
      <alignment horizontal="center" vertical="center" wrapText="1"/>
    </xf>
    <xf numFmtId="177" fontId="24" fillId="9" borderId="11" xfId="55" applyFont="1" applyFill="1" applyBorder="1" applyAlignment="1">
      <alignment vertical="center"/>
    </xf>
    <xf numFmtId="177" fontId="24" fillId="16" borderId="13" xfId="55" applyFont="1" applyFill="1" applyBorder="1" applyAlignment="1">
      <alignment horizontal="center" vertical="center"/>
    </xf>
    <xf numFmtId="177" fontId="24" fillId="16" borderId="22" xfId="55" applyFont="1" applyFill="1" applyBorder="1" applyAlignment="1">
      <alignment horizontal="center" vertical="center"/>
    </xf>
    <xf numFmtId="177" fontId="24" fillId="16" borderId="18" xfId="55" applyFont="1" applyFill="1" applyBorder="1" applyAlignment="1">
      <alignment horizontal="center" vertical="center"/>
    </xf>
    <xf numFmtId="177" fontId="37" fillId="12" borderId="13" xfId="55" applyFont="1" applyFill="1" applyBorder="1" applyAlignment="1">
      <alignment horizontal="center" vertical="center"/>
    </xf>
    <xf numFmtId="177" fontId="37" fillId="12" borderId="22" xfId="55" applyFont="1" applyFill="1" applyBorder="1" applyAlignment="1">
      <alignment horizontal="center" vertical="center"/>
    </xf>
    <xf numFmtId="177" fontId="37" fillId="12" borderId="18" xfId="55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177" fontId="24" fillId="9" borderId="13" xfId="55" applyFont="1" applyFill="1" applyBorder="1" applyAlignment="1">
      <alignment horizontal="center" vertical="center"/>
    </xf>
    <xf numFmtId="177" fontId="24" fillId="9" borderId="18" xfId="55" applyFont="1" applyFill="1" applyBorder="1" applyAlignment="1">
      <alignment horizontal="center" vertical="center"/>
    </xf>
    <xf numFmtId="177" fontId="0" fillId="0" borderId="11" xfId="3" applyFont="1" applyBorder="1" applyAlignment="1">
      <alignment horizontal="center" vertical="center"/>
    </xf>
    <xf numFmtId="3" fontId="3" fillId="0" borderId="11" xfId="62" applyNumberFormat="1" applyBorder="1" applyAlignment="1">
      <alignment horizontal="left" vertical="center" indent="1"/>
    </xf>
    <xf numFmtId="0" fontId="3" fillId="0" borderId="11" xfId="62" applyBorder="1" applyAlignment="1">
      <alignment horizontal="left" vertical="center" indent="1"/>
    </xf>
    <xf numFmtId="177" fontId="0" fillId="0" borderId="11" xfId="3" applyFont="1" applyFill="1" applyBorder="1" applyAlignment="1">
      <alignment horizontal="center" vertical="center"/>
    </xf>
    <xf numFmtId="177" fontId="8" fillId="2" borderId="13" xfId="62" applyNumberFormat="1" applyFont="1" applyFill="1" applyBorder="1" applyAlignment="1">
      <alignment horizontal="left" vertical="center"/>
    </xf>
    <xf numFmtId="0" fontId="8" fillId="2" borderId="13" xfId="62" applyFont="1" applyFill="1" applyBorder="1" applyAlignment="1">
      <alignment horizontal="left" vertical="center"/>
    </xf>
    <xf numFmtId="177" fontId="0" fillId="0" borderId="12" xfId="3" applyFont="1" applyBorder="1" applyAlignment="1">
      <alignment horizontal="center" vertical="center"/>
    </xf>
    <xf numFmtId="177" fontId="0" fillId="0" borderId="9" xfId="3" applyFont="1" applyBorder="1" applyAlignment="1">
      <alignment horizontal="center" vertical="center"/>
    </xf>
    <xf numFmtId="177" fontId="0" fillId="0" borderId="10" xfId="3" applyFont="1" applyBorder="1" applyAlignment="1">
      <alignment horizontal="center" vertical="center"/>
    </xf>
    <xf numFmtId="177" fontId="0" fillId="0" borderId="12" xfId="3" applyFont="1" applyFill="1" applyBorder="1" applyAlignment="1">
      <alignment horizontal="center" vertical="center"/>
    </xf>
    <xf numFmtId="177" fontId="0" fillId="0" borderId="9" xfId="3" applyFont="1" applyFill="1" applyBorder="1" applyAlignment="1">
      <alignment horizontal="center" vertical="center"/>
    </xf>
    <xf numFmtId="177" fontId="0" fillId="0" borderId="10" xfId="3" applyFont="1" applyFill="1" applyBorder="1" applyAlignment="1">
      <alignment horizontal="center" vertical="center"/>
    </xf>
    <xf numFmtId="0" fontId="8" fillId="2" borderId="11" xfId="62" applyFont="1" applyFill="1" applyBorder="1" applyAlignment="1">
      <alignment horizontal="left" vertical="center"/>
    </xf>
    <xf numFmtId="177" fontId="8" fillId="2" borderId="11" xfId="62" applyNumberFormat="1" applyFont="1" applyFill="1" applyBorder="1" applyAlignment="1">
      <alignment horizontal="left" vertical="center"/>
    </xf>
    <xf numFmtId="0" fontId="12" fillId="0" borderId="0" xfId="62" applyFont="1" applyAlignment="1">
      <alignment horizontal="center" vertical="center" wrapText="1"/>
    </xf>
    <xf numFmtId="0" fontId="8" fillId="2" borderId="11" xfId="62" applyFont="1" applyFill="1" applyBorder="1" applyAlignment="1">
      <alignment horizontal="center" vertical="center"/>
    </xf>
    <xf numFmtId="0" fontId="8" fillId="3" borderId="11" xfId="62" applyFont="1" applyFill="1" applyBorder="1" applyAlignment="1">
      <alignment horizontal="center" vertical="center"/>
    </xf>
    <xf numFmtId="0" fontId="3" fillId="0" borderId="11" xfId="62" applyBorder="1" applyAlignment="1">
      <alignment horizontal="left" vertical="center"/>
    </xf>
    <xf numFmtId="0" fontId="8" fillId="0" borderId="0" xfId="62" applyFont="1" applyAlignment="1">
      <alignment horizontal="center" vertical="center"/>
    </xf>
    <xf numFmtId="0" fontId="3" fillId="0" borderId="0" xfId="62" applyAlignment="1">
      <alignment horizontal="center" vertical="center"/>
    </xf>
    <xf numFmtId="0" fontId="8" fillId="0" borderId="7" xfId="62" applyFont="1" applyBorder="1" applyAlignment="1">
      <alignment horizontal="center" vertical="center"/>
    </xf>
    <xf numFmtId="0" fontId="8" fillId="0" borderId="1" xfId="62" applyFont="1" applyBorder="1" applyAlignment="1">
      <alignment horizontal="center" vertical="center"/>
    </xf>
    <xf numFmtId="0" fontId="8" fillId="0" borderId="6" xfId="62" applyFont="1" applyBorder="1" applyAlignment="1">
      <alignment horizontal="center" vertical="center"/>
    </xf>
    <xf numFmtId="0" fontId="9" fillId="0" borderId="1" xfId="62" applyFont="1" applyBorder="1" applyAlignment="1">
      <alignment horizontal="center" vertical="center"/>
    </xf>
    <xf numFmtId="0" fontId="9" fillId="0" borderId="6" xfId="62" applyFont="1" applyBorder="1" applyAlignment="1">
      <alignment horizontal="center" vertical="center"/>
    </xf>
    <xf numFmtId="177" fontId="9" fillId="0" borderId="1" xfId="62" applyNumberFormat="1" applyFont="1" applyBorder="1" applyAlignment="1">
      <alignment horizontal="center" vertical="center"/>
    </xf>
    <xf numFmtId="0" fontId="9" fillId="0" borderId="2" xfId="62" applyFont="1" applyBorder="1" applyAlignment="1">
      <alignment horizontal="center" vertical="center"/>
    </xf>
    <xf numFmtId="0" fontId="9" fillId="0" borderId="8" xfId="62" applyFont="1" applyBorder="1" applyAlignment="1">
      <alignment horizontal="center" vertical="center"/>
    </xf>
    <xf numFmtId="176" fontId="3" fillId="0" borderId="1" xfId="62" applyNumberFormat="1" applyBorder="1" applyAlignment="1">
      <alignment horizontal="center" vertical="center"/>
    </xf>
    <xf numFmtId="176" fontId="3" fillId="0" borderId="0" xfId="62" applyNumberFormat="1" applyAlignment="1">
      <alignment horizontal="center" vertical="center"/>
    </xf>
    <xf numFmtId="0" fontId="8" fillId="0" borderId="4" xfId="62" applyFont="1" applyBorder="1" applyAlignment="1">
      <alignment horizontal="center" vertical="center"/>
    </xf>
    <xf numFmtId="0" fontId="11" fillId="0" borderId="5" xfId="62" applyFont="1" applyBorder="1" applyAlignment="1">
      <alignment horizontal="center" vertical="center"/>
    </xf>
    <xf numFmtId="0" fontId="11" fillId="0" borderId="0" xfId="62" applyFont="1" applyAlignment="1">
      <alignment horizontal="center" vertical="center"/>
    </xf>
    <xf numFmtId="0" fontId="11" fillId="0" borderId="3" xfId="62" applyFont="1" applyBorder="1" applyAlignment="1">
      <alignment horizontal="center" vertical="center"/>
    </xf>
    <xf numFmtId="0" fontId="8" fillId="2" borderId="0" xfId="62" applyFont="1" applyFill="1" applyAlignment="1">
      <alignment horizontal="center" vertical="center"/>
    </xf>
    <xf numFmtId="0" fontId="8" fillId="2" borderId="6" xfId="62" applyFont="1" applyFill="1" applyBorder="1" applyAlignment="1">
      <alignment horizontal="center" vertical="center"/>
    </xf>
    <xf numFmtId="0" fontId="12" fillId="0" borderId="0" xfId="62" applyFont="1" applyAlignment="1">
      <alignment horizontal="center" vertical="center"/>
    </xf>
    <xf numFmtId="0" fontId="12" fillId="0" borderId="6" xfId="62" applyFont="1" applyBorder="1" applyAlignment="1">
      <alignment horizontal="center" vertical="center"/>
    </xf>
    <xf numFmtId="0" fontId="8" fillId="2" borderId="11" xfId="62" applyFont="1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8" fillId="0" borderId="0" xfId="62" applyFont="1" applyAlignment="1">
      <alignment horizontal="right" vertical="center"/>
    </xf>
    <xf numFmtId="177" fontId="8" fillId="2" borderId="12" xfId="62" applyNumberFormat="1" applyFont="1" applyFill="1" applyBorder="1" applyAlignment="1">
      <alignment horizontal="left" vertical="center"/>
    </xf>
    <xf numFmtId="177" fontId="8" fillId="2" borderId="9" xfId="62" applyNumberFormat="1" applyFont="1" applyFill="1" applyBorder="1" applyAlignment="1">
      <alignment horizontal="left" vertical="center"/>
    </xf>
    <xf numFmtId="177" fontId="8" fillId="2" borderId="10" xfId="62" applyNumberFormat="1" applyFont="1" applyFill="1" applyBorder="1" applyAlignment="1">
      <alignment horizontal="left" vertical="center"/>
    </xf>
    <xf numFmtId="0" fontId="3" fillId="0" borderId="0" xfId="62" applyAlignment="1">
      <alignment horizontal="left" vertical="center"/>
    </xf>
    <xf numFmtId="0" fontId="3" fillId="5" borderId="12" xfId="62" applyFill="1" applyBorder="1" applyAlignment="1">
      <alignment horizontal="left" vertical="center" indent="1"/>
    </xf>
    <xf numFmtId="0" fontId="3" fillId="5" borderId="9" xfId="62" applyFill="1" applyBorder="1" applyAlignment="1">
      <alignment horizontal="left" vertical="center" indent="1"/>
    </xf>
    <xf numFmtId="0" fontId="3" fillId="5" borderId="10" xfId="62" applyFill="1" applyBorder="1" applyAlignment="1">
      <alignment horizontal="left" vertical="center" indent="1"/>
    </xf>
    <xf numFmtId="177" fontId="0" fillId="5" borderId="12" xfId="3" applyFont="1" applyFill="1" applyBorder="1" applyAlignment="1">
      <alignment horizontal="center" vertical="center"/>
    </xf>
    <xf numFmtId="177" fontId="0" fillId="5" borderId="9" xfId="3" applyFont="1" applyFill="1" applyBorder="1" applyAlignment="1">
      <alignment horizontal="center" vertical="center"/>
    </xf>
    <xf numFmtId="177" fontId="0" fillId="5" borderId="10" xfId="3" applyFont="1" applyFill="1" applyBorder="1" applyAlignment="1">
      <alignment horizontal="center" vertical="center"/>
    </xf>
    <xf numFmtId="177" fontId="0" fillId="5" borderId="11" xfId="3" applyFont="1" applyFill="1" applyBorder="1" applyAlignment="1">
      <alignment horizontal="center" vertical="center"/>
    </xf>
    <xf numFmtId="0" fontId="3" fillId="0" borderId="12" xfId="62" applyBorder="1" applyAlignment="1">
      <alignment horizontal="left" vertical="center" indent="1"/>
    </xf>
    <xf numFmtId="0" fontId="3" fillId="0" borderId="9" xfId="62" applyBorder="1" applyAlignment="1">
      <alignment horizontal="left" vertical="center" indent="1"/>
    </xf>
    <xf numFmtId="0" fontId="3" fillId="0" borderId="10" xfId="62" applyBorder="1" applyAlignment="1">
      <alignment horizontal="left" vertical="center" indent="1"/>
    </xf>
    <xf numFmtId="177" fontId="18" fillId="4" borderId="4" xfId="1" applyFont="1" applyFill="1" applyBorder="1" applyAlignment="1">
      <alignment horizontal="center" vertical="center"/>
    </xf>
    <xf numFmtId="177" fontId="18" fillId="4" borderId="6" xfId="1" applyFont="1" applyFill="1" applyBorder="1" applyAlignment="1">
      <alignment horizontal="center" vertical="center"/>
    </xf>
    <xf numFmtId="177" fontId="18" fillId="4" borderId="8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18" fillId="4" borderId="38" xfId="1" applyFont="1" applyFill="1" applyBorder="1" applyAlignment="1">
      <alignment horizontal="center" vertical="center"/>
    </xf>
    <xf numFmtId="177" fontId="18" fillId="4" borderId="3" xfId="1" applyFont="1" applyFill="1" applyBorder="1" applyAlignment="1">
      <alignment horizontal="center" vertical="center"/>
    </xf>
    <xf numFmtId="177" fontId="18" fillId="4" borderId="39" xfId="1" applyFont="1" applyFill="1" applyBorder="1" applyAlignment="1">
      <alignment horizontal="center" vertical="center"/>
    </xf>
    <xf numFmtId="0" fontId="26" fillId="8" borderId="29" xfId="0" applyFont="1" applyFill="1" applyBorder="1" applyAlignment="1">
      <alignment horizontal="center" vertical="center" wrapText="1"/>
    </xf>
    <xf numFmtId="0" fontId="26" fillId="8" borderId="9" xfId="0" applyFont="1" applyFill="1" applyBorder="1" applyAlignment="1">
      <alignment horizontal="center" vertical="center" wrapText="1"/>
    </xf>
    <xf numFmtId="0" fontId="26" fillId="8" borderId="30" xfId="0" applyFont="1" applyFill="1" applyBorder="1" applyAlignment="1">
      <alignment horizontal="center" vertical="center" wrapText="1"/>
    </xf>
    <xf numFmtId="0" fontId="26" fillId="9" borderId="29" xfId="0" applyFont="1" applyFill="1" applyBorder="1" applyAlignment="1">
      <alignment horizontal="center" vertical="center" wrapText="1"/>
    </xf>
    <xf numFmtId="0" fontId="26" fillId="9" borderId="9" xfId="0" applyFont="1" applyFill="1" applyBorder="1" applyAlignment="1">
      <alignment horizontal="center" vertical="center" wrapText="1"/>
    </xf>
    <xf numFmtId="0" fontId="26" fillId="9" borderId="30" xfId="0" applyFont="1" applyFill="1" applyBorder="1" applyAlignment="1">
      <alignment horizontal="center" vertical="center" wrapText="1"/>
    </xf>
    <xf numFmtId="0" fontId="26" fillId="6" borderId="29" xfId="0" applyFont="1" applyFill="1" applyBorder="1" applyAlignment="1">
      <alignment horizontal="center" vertical="center" wrapText="1"/>
    </xf>
    <xf numFmtId="0" fontId="26" fillId="6" borderId="9" xfId="0" applyFont="1" applyFill="1" applyBorder="1" applyAlignment="1">
      <alignment horizontal="center" vertical="center" wrapText="1"/>
    </xf>
    <xf numFmtId="0" fontId="26" fillId="6" borderId="30" xfId="0" applyFont="1" applyFill="1" applyBorder="1" applyAlignment="1">
      <alignment horizontal="center" vertical="center" wrapText="1"/>
    </xf>
    <xf numFmtId="0" fontId="26" fillId="13" borderId="7" xfId="0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center" vertical="center" wrapText="1"/>
    </xf>
    <xf numFmtId="0" fontId="26" fillId="13" borderId="2" xfId="0" applyFont="1" applyFill="1" applyBorder="1" applyAlignment="1">
      <alignment horizontal="center" vertical="center" wrapText="1"/>
    </xf>
    <xf numFmtId="0" fontId="26" fillId="17" borderId="29" xfId="0" applyFont="1" applyFill="1" applyBorder="1" applyAlignment="1">
      <alignment horizontal="center" vertical="center" wrapText="1"/>
    </xf>
    <xf numFmtId="0" fontId="26" fillId="17" borderId="9" xfId="0" applyFont="1" applyFill="1" applyBorder="1" applyAlignment="1">
      <alignment horizontal="center" vertical="center" wrapText="1"/>
    </xf>
    <xf numFmtId="0" fontId="26" fillId="17" borderId="30" xfId="0" applyFont="1" applyFill="1" applyBorder="1" applyAlignment="1">
      <alignment horizontal="center" vertical="center" wrapText="1"/>
    </xf>
    <xf numFmtId="0" fontId="26" fillId="13" borderId="12" xfId="0" applyFont="1" applyFill="1" applyBorder="1" applyAlignment="1">
      <alignment horizontal="center" vertical="center" wrapText="1"/>
    </xf>
    <xf numFmtId="0" fontId="26" fillId="13" borderId="9" xfId="0" applyFont="1" applyFill="1" applyBorder="1" applyAlignment="1">
      <alignment horizontal="center" vertical="center" wrapText="1"/>
    </xf>
    <xf numFmtId="0" fontId="26" fillId="13" borderId="10" xfId="0" applyFont="1" applyFill="1" applyBorder="1" applyAlignment="1">
      <alignment horizontal="center" vertical="center" wrapText="1"/>
    </xf>
    <xf numFmtId="0" fontId="64" fillId="24" borderId="12" xfId="0" applyFont="1" applyFill="1" applyBorder="1" applyAlignment="1">
      <alignment horizontal="center" vertical="center" wrapText="1"/>
    </xf>
    <xf numFmtId="0" fontId="64" fillId="24" borderId="9" xfId="0" applyFont="1" applyFill="1" applyBorder="1" applyAlignment="1">
      <alignment horizontal="center" vertical="center" wrapText="1"/>
    </xf>
    <xf numFmtId="0" fontId="64" fillId="24" borderId="10" xfId="0" applyFont="1" applyFill="1" applyBorder="1" applyAlignment="1">
      <alignment horizontal="center" vertical="center" wrapText="1"/>
    </xf>
    <xf numFmtId="0" fontId="55" fillId="20" borderId="6" xfId="0" applyFont="1" applyFill="1" applyBorder="1" applyAlignment="1">
      <alignment horizontal="center" vertical="center" wrapText="1"/>
    </xf>
    <xf numFmtId="0" fontId="54" fillId="0" borderId="0" xfId="76" applyFont="1" applyAlignment="1">
      <alignment horizontal="center" vertical="center"/>
    </xf>
    <xf numFmtId="179" fontId="18" fillId="4" borderId="11" xfId="0" applyNumberFormat="1" applyFont="1" applyFill="1" applyBorder="1" applyAlignment="1">
      <alignment horizontal="center" vertical="center"/>
    </xf>
    <xf numFmtId="179" fontId="18" fillId="4" borderId="7" xfId="0" applyNumberFormat="1" applyFont="1" applyFill="1" applyBorder="1" applyAlignment="1">
      <alignment horizontal="center" vertical="center"/>
    </xf>
    <xf numFmtId="179" fontId="18" fillId="4" borderId="1" xfId="0" applyNumberFormat="1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12" xfId="0" applyFont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180" fontId="50" fillId="0" borderId="12" xfId="0" applyNumberFormat="1" applyFont="1" applyBorder="1" applyAlignment="1">
      <alignment horizontal="center" vertical="center"/>
    </xf>
    <xf numFmtId="180" fontId="50" fillId="0" borderId="10" xfId="0" applyNumberFormat="1" applyFont="1" applyBorder="1" applyAlignment="1">
      <alignment horizontal="center" vertical="center"/>
    </xf>
    <xf numFmtId="0" fontId="50" fillId="0" borderId="12" xfId="0" applyFont="1" applyBorder="1" applyAlignment="1">
      <alignment horizontal="left" vertical="center"/>
    </xf>
    <xf numFmtId="0" fontId="50" fillId="0" borderId="10" xfId="0" applyFont="1" applyBorder="1" applyAlignment="1">
      <alignment horizontal="left" vertical="center"/>
    </xf>
    <xf numFmtId="0" fontId="18" fillId="19" borderId="12" xfId="0" applyFont="1" applyFill="1" applyBorder="1" applyAlignment="1">
      <alignment horizontal="center" vertical="center"/>
    </xf>
    <xf numFmtId="0" fontId="18" fillId="19" borderId="9" xfId="0" applyFont="1" applyFill="1" applyBorder="1" applyAlignment="1">
      <alignment horizontal="center" vertical="center"/>
    </xf>
    <xf numFmtId="0" fontId="18" fillId="19" borderId="10" xfId="0" applyFont="1" applyFill="1" applyBorder="1" applyAlignment="1">
      <alignment horizontal="center" vertical="center"/>
    </xf>
    <xf numFmtId="0" fontId="50" fillId="0" borderId="12" xfId="0" applyFont="1" applyBorder="1" applyAlignment="1">
      <alignment horizontal="center" vertical="center" shrinkToFit="1"/>
    </xf>
    <xf numFmtId="0" fontId="50" fillId="0" borderId="10" xfId="0" applyFont="1" applyBorder="1" applyAlignment="1">
      <alignment horizontal="center" vertical="center" shrinkToFit="1"/>
    </xf>
    <xf numFmtId="179" fontId="50" fillId="0" borderId="12" xfId="0" applyNumberFormat="1" applyFont="1" applyBorder="1" applyAlignment="1">
      <alignment horizontal="center" vertical="center" shrinkToFit="1"/>
    </xf>
  </cellXfs>
  <cellStyles count="322">
    <cellStyle name="쉼표 [0]" xfId="1" builtinId="6"/>
    <cellStyle name="쉼표 [0] 10" xfId="4" xr:uid="{00000000-0005-0000-0000-000001000000}"/>
    <cellStyle name="쉼표 [0] 10 2" xfId="5" xr:uid="{00000000-0005-0000-0000-000002000000}"/>
    <cellStyle name="쉼표 [0] 10 2 2" xfId="6" xr:uid="{00000000-0005-0000-0000-000003000000}"/>
    <cellStyle name="쉼표 [0] 10 2 2 2" xfId="110" xr:uid="{00000000-0005-0000-0000-000004000000}"/>
    <cellStyle name="쉼표 [0] 10 2 2 2 2" xfId="246" xr:uid="{00000000-0005-0000-0000-000005000000}"/>
    <cellStyle name="쉼표 [0] 10 2 2 3" xfId="181" xr:uid="{00000000-0005-0000-0000-000006000000}"/>
    <cellStyle name="쉼표 [0] 10 2 3" xfId="109" xr:uid="{00000000-0005-0000-0000-000007000000}"/>
    <cellStyle name="쉼표 [0] 10 2 3 2" xfId="245" xr:uid="{00000000-0005-0000-0000-000008000000}"/>
    <cellStyle name="쉼표 [0] 10 2 4" xfId="180" xr:uid="{00000000-0005-0000-0000-000009000000}"/>
    <cellStyle name="쉼표 [0] 10 3" xfId="7" xr:uid="{00000000-0005-0000-0000-00000A000000}"/>
    <cellStyle name="쉼표 [0] 10 3 2" xfId="111" xr:uid="{00000000-0005-0000-0000-00000B000000}"/>
    <cellStyle name="쉼표 [0] 10 3 2 2" xfId="247" xr:uid="{00000000-0005-0000-0000-00000C000000}"/>
    <cellStyle name="쉼표 [0] 10 3 3" xfId="182" xr:uid="{00000000-0005-0000-0000-00000D000000}"/>
    <cellStyle name="쉼표 [0] 10 4" xfId="108" xr:uid="{00000000-0005-0000-0000-00000E000000}"/>
    <cellStyle name="쉼표 [0] 10 4 2" xfId="244" xr:uid="{00000000-0005-0000-0000-00000F000000}"/>
    <cellStyle name="쉼표 [0] 10 5" xfId="179" xr:uid="{00000000-0005-0000-0000-000010000000}"/>
    <cellStyle name="쉼표 [0] 11" xfId="8" xr:uid="{00000000-0005-0000-0000-000011000000}"/>
    <cellStyle name="쉼표 [0] 11 2" xfId="9" xr:uid="{00000000-0005-0000-0000-000012000000}"/>
    <cellStyle name="쉼표 [0] 11 2 2" xfId="10" xr:uid="{00000000-0005-0000-0000-000013000000}"/>
    <cellStyle name="쉼표 [0] 11 2 2 2" xfId="114" xr:uid="{00000000-0005-0000-0000-000014000000}"/>
    <cellStyle name="쉼표 [0] 11 2 2 2 2" xfId="250" xr:uid="{00000000-0005-0000-0000-000015000000}"/>
    <cellStyle name="쉼표 [0] 11 2 2 3" xfId="185" xr:uid="{00000000-0005-0000-0000-000016000000}"/>
    <cellStyle name="쉼표 [0] 11 2 3" xfId="113" xr:uid="{00000000-0005-0000-0000-000017000000}"/>
    <cellStyle name="쉼표 [0] 11 2 3 2" xfId="249" xr:uid="{00000000-0005-0000-0000-000018000000}"/>
    <cellStyle name="쉼표 [0] 11 2 4" xfId="184" xr:uid="{00000000-0005-0000-0000-000019000000}"/>
    <cellStyle name="쉼표 [0] 11 3" xfId="11" xr:uid="{00000000-0005-0000-0000-00001A000000}"/>
    <cellStyle name="쉼표 [0] 11 3 2" xfId="115" xr:uid="{00000000-0005-0000-0000-00001B000000}"/>
    <cellStyle name="쉼표 [0] 11 3 2 2" xfId="251" xr:uid="{00000000-0005-0000-0000-00001C000000}"/>
    <cellStyle name="쉼표 [0] 11 3 3" xfId="186" xr:uid="{00000000-0005-0000-0000-00001D000000}"/>
    <cellStyle name="쉼표 [0] 11 4" xfId="112" xr:uid="{00000000-0005-0000-0000-00001E000000}"/>
    <cellStyle name="쉼표 [0] 11 4 2" xfId="248" xr:uid="{00000000-0005-0000-0000-00001F000000}"/>
    <cellStyle name="쉼표 [0] 11 5" xfId="183" xr:uid="{00000000-0005-0000-0000-000020000000}"/>
    <cellStyle name="쉼표 [0] 12" xfId="12" xr:uid="{00000000-0005-0000-0000-000021000000}"/>
    <cellStyle name="쉼표 [0] 12 2" xfId="13" xr:uid="{00000000-0005-0000-0000-000022000000}"/>
    <cellStyle name="쉼표 [0] 12 2 2" xfId="14" xr:uid="{00000000-0005-0000-0000-000023000000}"/>
    <cellStyle name="쉼표 [0] 12 2 2 2" xfId="118" xr:uid="{00000000-0005-0000-0000-000024000000}"/>
    <cellStyle name="쉼표 [0] 12 2 2 2 2" xfId="254" xr:uid="{00000000-0005-0000-0000-000025000000}"/>
    <cellStyle name="쉼표 [0] 12 2 2 3" xfId="189" xr:uid="{00000000-0005-0000-0000-000026000000}"/>
    <cellStyle name="쉼표 [0] 12 2 3" xfId="117" xr:uid="{00000000-0005-0000-0000-000027000000}"/>
    <cellStyle name="쉼표 [0] 12 2 3 2" xfId="253" xr:uid="{00000000-0005-0000-0000-000028000000}"/>
    <cellStyle name="쉼표 [0] 12 2 4" xfId="188" xr:uid="{00000000-0005-0000-0000-000029000000}"/>
    <cellStyle name="쉼표 [0] 12 3" xfId="15" xr:uid="{00000000-0005-0000-0000-00002A000000}"/>
    <cellStyle name="쉼표 [0] 12 3 2" xfId="119" xr:uid="{00000000-0005-0000-0000-00002B000000}"/>
    <cellStyle name="쉼표 [0] 12 3 2 2" xfId="255" xr:uid="{00000000-0005-0000-0000-00002C000000}"/>
    <cellStyle name="쉼표 [0] 12 3 3" xfId="190" xr:uid="{00000000-0005-0000-0000-00002D000000}"/>
    <cellStyle name="쉼표 [0] 12 4" xfId="116" xr:uid="{00000000-0005-0000-0000-00002E000000}"/>
    <cellStyle name="쉼표 [0] 12 4 2" xfId="252" xr:uid="{00000000-0005-0000-0000-00002F000000}"/>
    <cellStyle name="쉼표 [0] 12 5" xfId="187" xr:uid="{00000000-0005-0000-0000-000030000000}"/>
    <cellStyle name="쉼표 [0] 13" xfId="16" xr:uid="{00000000-0005-0000-0000-000031000000}"/>
    <cellStyle name="쉼표 [0] 13 2" xfId="17" xr:uid="{00000000-0005-0000-0000-000032000000}"/>
    <cellStyle name="쉼표 [0] 13 2 2" xfId="18" xr:uid="{00000000-0005-0000-0000-000033000000}"/>
    <cellStyle name="쉼표 [0] 13 2 2 2" xfId="122" xr:uid="{00000000-0005-0000-0000-000034000000}"/>
    <cellStyle name="쉼표 [0] 13 2 2 2 2" xfId="258" xr:uid="{00000000-0005-0000-0000-000035000000}"/>
    <cellStyle name="쉼표 [0] 13 2 2 3" xfId="193" xr:uid="{00000000-0005-0000-0000-000036000000}"/>
    <cellStyle name="쉼표 [0] 13 2 3" xfId="121" xr:uid="{00000000-0005-0000-0000-000037000000}"/>
    <cellStyle name="쉼표 [0] 13 2 3 2" xfId="257" xr:uid="{00000000-0005-0000-0000-000038000000}"/>
    <cellStyle name="쉼표 [0] 13 2 4" xfId="192" xr:uid="{00000000-0005-0000-0000-000039000000}"/>
    <cellStyle name="쉼표 [0] 13 3" xfId="19" xr:uid="{00000000-0005-0000-0000-00003A000000}"/>
    <cellStyle name="쉼표 [0] 13 3 2" xfId="123" xr:uid="{00000000-0005-0000-0000-00003B000000}"/>
    <cellStyle name="쉼표 [0] 13 3 2 2" xfId="259" xr:uid="{00000000-0005-0000-0000-00003C000000}"/>
    <cellStyle name="쉼표 [0] 13 3 3" xfId="194" xr:uid="{00000000-0005-0000-0000-00003D000000}"/>
    <cellStyle name="쉼표 [0] 13 4" xfId="120" xr:uid="{00000000-0005-0000-0000-00003E000000}"/>
    <cellStyle name="쉼표 [0] 13 4 2" xfId="256" xr:uid="{00000000-0005-0000-0000-00003F000000}"/>
    <cellStyle name="쉼표 [0] 13 5" xfId="191" xr:uid="{00000000-0005-0000-0000-000040000000}"/>
    <cellStyle name="쉼표 [0] 14" xfId="20" xr:uid="{00000000-0005-0000-0000-000041000000}"/>
    <cellStyle name="쉼표 [0] 14 2" xfId="21" xr:uid="{00000000-0005-0000-0000-000042000000}"/>
    <cellStyle name="쉼표 [0] 14 2 2" xfId="22" xr:uid="{00000000-0005-0000-0000-000043000000}"/>
    <cellStyle name="쉼표 [0] 14 2 2 2" xfId="126" xr:uid="{00000000-0005-0000-0000-000044000000}"/>
    <cellStyle name="쉼표 [0] 14 2 2 2 2" xfId="262" xr:uid="{00000000-0005-0000-0000-000045000000}"/>
    <cellStyle name="쉼표 [0] 14 2 2 3" xfId="197" xr:uid="{00000000-0005-0000-0000-000046000000}"/>
    <cellStyle name="쉼표 [0] 14 2 3" xfId="125" xr:uid="{00000000-0005-0000-0000-000047000000}"/>
    <cellStyle name="쉼표 [0] 14 2 3 2" xfId="261" xr:uid="{00000000-0005-0000-0000-000048000000}"/>
    <cellStyle name="쉼표 [0] 14 2 4" xfId="196" xr:uid="{00000000-0005-0000-0000-000049000000}"/>
    <cellStyle name="쉼표 [0] 14 3" xfId="23" xr:uid="{00000000-0005-0000-0000-00004A000000}"/>
    <cellStyle name="쉼표 [0] 14 3 2" xfId="127" xr:uid="{00000000-0005-0000-0000-00004B000000}"/>
    <cellStyle name="쉼표 [0] 14 3 2 2" xfId="263" xr:uid="{00000000-0005-0000-0000-00004C000000}"/>
    <cellStyle name="쉼표 [0] 14 3 3" xfId="198" xr:uid="{00000000-0005-0000-0000-00004D000000}"/>
    <cellStyle name="쉼표 [0] 14 4" xfId="124" xr:uid="{00000000-0005-0000-0000-00004E000000}"/>
    <cellStyle name="쉼표 [0] 14 4 2" xfId="260" xr:uid="{00000000-0005-0000-0000-00004F000000}"/>
    <cellStyle name="쉼표 [0] 14 5" xfId="195" xr:uid="{00000000-0005-0000-0000-000050000000}"/>
    <cellStyle name="쉼표 [0] 15" xfId="24" xr:uid="{00000000-0005-0000-0000-000051000000}"/>
    <cellStyle name="쉼표 [0] 15 2" xfId="25" xr:uid="{00000000-0005-0000-0000-000052000000}"/>
    <cellStyle name="쉼표 [0] 15 2 2" xfId="26" xr:uid="{00000000-0005-0000-0000-000053000000}"/>
    <cellStyle name="쉼표 [0] 15 2 2 2" xfId="130" xr:uid="{00000000-0005-0000-0000-000054000000}"/>
    <cellStyle name="쉼표 [0] 15 2 2 2 2" xfId="266" xr:uid="{00000000-0005-0000-0000-000055000000}"/>
    <cellStyle name="쉼표 [0] 15 2 2 3" xfId="201" xr:uid="{00000000-0005-0000-0000-000056000000}"/>
    <cellStyle name="쉼표 [0] 15 2 3" xfId="129" xr:uid="{00000000-0005-0000-0000-000057000000}"/>
    <cellStyle name="쉼표 [0] 15 2 3 2" xfId="265" xr:uid="{00000000-0005-0000-0000-000058000000}"/>
    <cellStyle name="쉼표 [0] 15 2 4" xfId="200" xr:uid="{00000000-0005-0000-0000-000059000000}"/>
    <cellStyle name="쉼표 [0] 15 3" xfId="27" xr:uid="{00000000-0005-0000-0000-00005A000000}"/>
    <cellStyle name="쉼표 [0] 15 3 2" xfId="131" xr:uid="{00000000-0005-0000-0000-00005B000000}"/>
    <cellStyle name="쉼표 [0] 15 3 2 2" xfId="267" xr:uid="{00000000-0005-0000-0000-00005C000000}"/>
    <cellStyle name="쉼표 [0] 15 3 3" xfId="202" xr:uid="{00000000-0005-0000-0000-00005D000000}"/>
    <cellStyle name="쉼표 [0] 15 4" xfId="128" xr:uid="{00000000-0005-0000-0000-00005E000000}"/>
    <cellStyle name="쉼표 [0] 15 4 2" xfId="264" xr:uid="{00000000-0005-0000-0000-00005F000000}"/>
    <cellStyle name="쉼표 [0] 15 5" xfId="199" xr:uid="{00000000-0005-0000-0000-000060000000}"/>
    <cellStyle name="쉼표 [0] 16" xfId="28" xr:uid="{00000000-0005-0000-0000-000061000000}"/>
    <cellStyle name="쉼표 [0] 16 2" xfId="29" xr:uid="{00000000-0005-0000-0000-000062000000}"/>
    <cellStyle name="쉼표 [0] 16 2 2" xfId="30" xr:uid="{00000000-0005-0000-0000-000063000000}"/>
    <cellStyle name="쉼표 [0] 16 2 2 2" xfId="134" xr:uid="{00000000-0005-0000-0000-000064000000}"/>
    <cellStyle name="쉼표 [0] 16 2 2 2 2" xfId="270" xr:uid="{00000000-0005-0000-0000-000065000000}"/>
    <cellStyle name="쉼표 [0] 16 2 2 3" xfId="205" xr:uid="{00000000-0005-0000-0000-000066000000}"/>
    <cellStyle name="쉼표 [0] 16 2 3" xfId="133" xr:uid="{00000000-0005-0000-0000-000067000000}"/>
    <cellStyle name="쉼표 [0] 16 2 3 2" xfId="269" xr:uid="{00000000-0005-0000-0000-000068000000}"/>
    <cellStyle name="쉼표 [0] 16 2 4" xfId="204" xr:uid="{00000000-0005-0000-0000-000069000000}"/>
    <cellStyle name="쉼표 [0] 16 3" xfId="31" xr:uid="{00000000-0005-0000-0000-00006A000000}"/>
    <cellStyle name="쉼표 [0] 16 3 2" xfId="135" xr:uid="{00000000-0005-0000-0000-00006B000000}"/>
    <cellStyle name="쉼표 [0] 16 3 2 2" xfId="271" xr:uid="{00000000-0005-0000-0000-00006C000000}"/>
    <cellStyle name="쉼표 [0] 16 3 3" xfId="206" xr:uid="{00000000-0005-0000-0000-00006D000000}"/>
    <cellStyle name="쉼표 [0] 16 4" xfId="132" xr:uid="{00000000-0005-0000-0000-00006E000000}"/>
    <cellStyle name="쉼표 [0] 16 4 2" xfId="268" xr:uid="{00000000-0005-0000-0000-00006F000000}"/>
    <cellStyle name="쉼표 [0] 16 5" xfId="203" xr:uid="{00000000-0005-0000-0000-000070000000}"/>
    <cellStyle name="쉼표 [0] 17" xfId="32" xr:uid="{00000000-0005-0000-0000-000071000000}"/>
    <cellStyle name="쉼표 [0] 17 2" xfId="33" xr:uid="{00000000-0005-0000-0000-000072000000}"/>
    <cellStyle name="쉼표 [0] 17 2 2" xfId="34" xr:uid="{00000000-0005-0000-0000-000073000000}"/>
    <cellStyle name="쉼표 [0] 17 2 2 2" xfId="138" xr:uid="{00000000-0005-0000-0000-000074000000}"/>
    <cellStyle name="쉼표 [0] 17 2 2 2 2" xfId="274" xr:uid="{00000000-0005-0000-0000-000075000000}"/>
    <cellStyle name="쉼표 [0] 17 2 2 3" xfId="209" xr:uid="{00000000-0005-0000-0000-000076000000}"/>
    <cellStyle name="쉼표 [0] 17 2 3" xfId="137" xr:uid="{00000000-0005-0000-0000-000077000000}"/>
    <cellStyle name="쉼표 [0] 17 2 3 2" xfId="273" xr:uid="{00000000-0005-0000-0000-000078000000}"/>
    <cellStyle name="쉼표 [0] 17 2 4" xfId="208" xr:uid="{00000000-0005-0000-0000-000079000000}"/>
    <cellStyle name="쉼표 [0] 17 3" xfId="35" xr:uid="{00000000-0005-0000-0000-00007A000000}"/>
    <cellStyle name="쉼표 [0] 17 3 2" xfId="139" xr:uid="{00000000-0005-0000-0000-00007B000000}"/>
    <cellStyle name="쉼표 [0] 17 3 2 2" xfId="275" xr:uid="{00000000-0005-0000-0000-00007C000000}"/>
    <cellStyle name="쉼표 [0] 17 3 3" xfId="210" xr:uid="{00000000-0005-0000-0000-00007D000000}"/>
    <cellStyle name="쉼표 [0] 17 4" xfId="136" xr:uid="{00000000-0005-0000-0000-00007E000000}"/>
    <cellStyle name="쉼표 [0] 17 4 2" xfId="272" xr:uid="{00000000-0005-0000-0000-00007F000000}"/>
    <cellStyle name="쉼표 [0] 17 5" xfId="207" xr:uid="{00000000-0005-0000-0000-000080000000}"/>
    <cellStyle name="쉼표 [0] 18" xfId="36" xr:uid="{00000000-0005-0000-0000-000081000000}"/>
    <cellStyle name="쉼표 [0] 18 2" xfId="37" xr:uid="{00000000-0005-0000-0000-000082000000}"/>
    <cellStyle name="쉼표 [0] 18 2 2" xfId="141" xr:uid="{00000000-0005-0000-0000-000083000000}"/>
    <cellStyle name="쉼표 [0] 18 2 2 2" xfId="277" xr:uid="{00000000-0005-0000-0000-000084000000}"/>
    <cellStyle name="쉼표 [0] 18 2 3" xfId="212" xr:uid="{00000000-0005-0000-0000-000085000000}"/>
    <cellStyle name="쉼표 [0] 18 3" xfId="140" xr:uid="{00000000-0005-0000-0000-000086000000}"/>
    <cellStyle name="쉼표 [0] 18 3 2" xfId="276" xr:uid="{00000000-0005-0000-0000-000087000000}"/>
    <cellStyle name="쉼표 [0] 18 4" xfId="211" xr:uid="{00000000-0005-0000-0000-000088000000}"/>
    <cellStyle name="쉼표 [0] 19" xfId="38" xr:uid="{00000000-0005-0000-0000-000089000000}"/>
    <cellStyle name="쉼표 [0] 19 2" xfId="39" xr:uid="{00000000-0005-0000-0000-00008A000000}"/>
    <cellStyle name="쉼표 [0] 19 2 2" xfId="143" xr:uid="{00000000-0005-0000-0000-00008B000000}"/>
    <cellStyle name="쉼표 [0] 19 2 2 2" xfId="279" xr:uid="{00000000-0005-0000-0000-00008C000000}"/>
    <cellStyle name="쉼표 [0] 19 2 3" xfId="214" xr:uid="{00000000-0005-0000-0000-00008D000000}"/>
    <cellStyle name="쉼표 [0] 19 3" xfId="142" xr:uid="{00000000-0005-0000-0000-00008E000000}"/>
    <cellStyle name="쉼표 [0] 19 3 2" xfId="278" xr:uid="{00000000-0005-0000-0000-00008F000000}"/>
    <cellStyle name="쉼표 [0] 19 4" xfId="213" xr:uid="{00000000-0005-0000-0000-000090000000}"/>
    <cellStyle name="쉼표 [0] 2" xfId="40" xr:uid="{00000000-0005-0000-0000-000091000000}"/>
    <cellStyle name="쉼표 [0] 2 2" xfId="41" xr:uid="{00000000-0005-0000-0000-000092000000}"/>
    <cellStyle name="쉼표 [0] 2 2 2" xfId="42" xr:uid="{00000000-0005-0000-0000-000093000000}"/>
    <cellStyle name="쉼표 [0] 2 2 2 2" xfId="146" xr:uid="{00000000-0005-0000-0000-000094000000}"/>
    <cellStyle name="쉼표 [0] 2 2 2 2 2" xfId="282" xr:uid="{00000000-0005-0000-0000-000095000000}"/>
    <cellStyle name="쉼표 [0] 2 2 2 3" xfId="217" xr:uid="{00000000-0005-0000-0000-000096000000}"/>
    <cellStyle name="쉼표 [0] 2 2 3" xfId="98" xr:uid="{00000000-0005-0000-0000-000097000000}"/>
    <cellStyle name="쉼표 [0] 2 2 3 2" xfId="169" xr:uid="{00000000-0005-0000-0000-000098000000}"/>
    <cellStyle name="쉼표 [0] 2 2 3 2 2" xfId="305" xr:uid="{00000000-0005-0000-0000-000099000000}"/>
    <cellStyle name="쉼표 [0] 2 2 4" xfId="145" xr:uid="{00000000-0005-0000-0000-00009A000000}"/>
    <cellStyle name="쉼표 [0] 2 2 4 2" xfId="281" xr:uid="{00000000-0005-0000-0000-00009B000000}"/>
    <cellStyle name="쉼표 [0] 2 2 5" xfId="216" xr:uid="{00000000-0005-0000-0000-00009C000000}"/>
    <cellStyle name="쉼표 [0] 2 3" xfId="43" xr:uid="{00000000-0005-0000-0000-00009D000000}"/>
    <cellStyle name="쉼표 [0] 2 3 2" xfId="147" xr:uid="{00000000-0005-0000-0000-00009E000000}"/>
    <cellStyle name="쉼표 [0] 2 3 2 2" xfId="283" xr:uid="{00000000-0005-0000-0000-00009F000000}"/>
    <cellStyle name="쉼표 [0] 2 3 3" xfId="218" xr:uid="{00000000-0005-0000-0000-0000A0000000}"/>
    <cellStyle name="쉼표 [0] 2 4" xfId="144" xr:uid="{00000000-0005-0000-0000-0000A1000000}"/>
    <cellStyle name="쉼표 [0] 2 4 2" xfId="280" xr:uid="{00000000-0005-0000-0000-0000A2000000}"/>
    <cellStyle name="쉼표 [0] 2 5" xfId="215" xr:uid="{00000000-0005-0000-0000-0000A3000000}"/>
    <cellStyle name="쉼표 [0] 20" xfId="44" xr:uid="{00000000-0005-0000-0000-0000A4000000}"/>
    <cellStyle name="쉼표 [0] 20 2" xfId="45" xr:uid="{00000000-0005-0000-0000-0000A5000000}"/>
    <cellStyle name="쉼표 [0] 20 2 2" xfId="149" xr:uid="{00000000-0005-0000-0000-0000A6000000}"/>
    <cellStyle name="쉼표 [0] 20 2 2 2" xfId="285" xr:uid="{00000000-0005-0000-0000-0000A7000000}"/>
    <cellStyle name="쉼표 [0] 20 2 3" xfId="220" xr:uid="{00000000-0005-0000-0000-0000A8000000}"/>
    <cellStyle name="쉼표 [0] 20 3" xfId="148" xr:uid="{00000000-0005-0000-0000-0000A9000000}"/>
    <cellStyle name="쉼표 [0] 20 3 2" xfId="284" xr:uid="{00000000-0005-0000-0000-0000AA000000}"/>
    <cellStyle name="쉼표 [0] 20 4" xfId="219" xr:uid="{00000000-0005-0000-0000-0000AB000000}"/>
    <cellStyle name="쉼표 [0] 21" xfId="46" xr:uid="{00000000-0005-0000-0000-0000AC000000}"/>
    <cellStyle name="쉼표 [0] 21 2" xfId="150" xr:uid="{00000000-0005-0000-0000-0000AD000000}"/>
    <cellStyle name="쉼표 [0] 21 2 2" xfId="286" xr:uid="{00000000-0005-0000-0000-0000AE000000}"/>
    <cellStyle name="쉼표 [0] 21 3" xfId="221" xr:uid="{00000000-0005-0000-0000-0000AF000000}"/>
    <cellStyle name="쉼표 [0] 22" xfId="104" xr:uid="{00000000-0005-0000-0000-0000B0000000}"/>
    <cellStyle name="쉼표 [0] 22 2" xfId="171" xr:uid="{00000000-0005-0000-0000-0000B1000000}"/>
    <cellStyle name="쉼표 [0] 22 2 2" xfId="307" xr:uid="{00000000-0005-0000-0000-0000B2000000}"/>
    <cellStyle name="쉼표 [0] 22 3" xfId="241" xr:uid="{00000000-0005-0000-0000-0000B3000000}"/>
    <cellStyle name="쉼표 [0] 23" xfId="106" xr:uid="{00000000-0005-0000-0000-0000B4000000}"/>
    <cellStyle name="쉼표 [0] 23 2" xfId="242" xr:uid="{00000000-0005-0000-0000-0000B5000000}"/>
    <cellStyle name="쉼표 [0] 24" xfId="172" xr:uid="{00000000-0005-0000-0000-0000B6000000}"/>
    <cellStyle name="쉼표 [0] 24 2" xfId="308" xr:uid="{00000000-0005-0000-0000-0000B7000000}"/>
    <cellStyle name="쉼표 [0] 25" xfId="173" xr:uid="{00000000-0005-0000-0000-0000B8000000}"/>
    <cellStyle name="쉼표 [0] 25 2" xfId="309" xr:uid="{00000000-0005-0000-0000-0000B9000000}"/>
    <cellStyle name="쉼표 [0] 26" xfId="174" xr:uid="{00000000-0005-0000-0000-0000BA000000}"/>
    <cellStyle name="쉼표 [0] 26 2" xfId="310" xr:uid="{00000000-0005-0000-0000-0000BB000000}"/>
    <cellStyle name="쉼표 [0] 27" xfId="176" xr:uid="{00000000-0005-0000-0000-0000BC000000}"/>
    <cellStyle name="쉼표 [0] 28" xfId="177" xr:uid="{00000000-0005-0000-0000-0000BD000000}"/>
    <cellStyle name="쉼표 [0] 29" xfId="311" xr:uid="{00000000-0005-0000-0000-0000BE000000}"/>
    <cellStyle name="쉼표 [0] 3" xfId="47" xr:uid="{00000000-0005-0000-0000-0000BF000000}"/>
    <cellStyle name="쉼표 [0] 3 2" xfId="48" xr:uid="{00000000-0005-0000-0000-0000C0000000}"/>
    <cellStyle name="쉼표 [0] 3 2 2" xfId="49" xr:uid="{00000000-0005-0000-0000-0000C1000000}"/>
    <cellStyle name="쉼표 [0] 3 2 2 2" xfId="153" xr:uid="{00000000-0005-0000-0000-0000C2000000}"/>
    <cellStyle name="쉼표 [0] 3 2 2 2 2" xfId="289" xr:uid="{00000000-0005-0000-0000-0000C3000000}"/>
    <cellStyle name="쉼표 [0] 3 2 2 3" xfId="224" xr:uid="{00000000-0005-0000-0000-0000C4000000}"/>
    <cellStyle name="쉼표 [0] 3 2 3" xfId="152" xr:uid="{00000000-0005-0000-0000-0000C5000000}"/>
    <cellStyle name="쉼표 [0] 3 2 3 2" xfId="288" xr:uid="{00000000-0005-0000-0000-0000C6000000}"/>
    <cellStyle name="쉼표 [0] 3 2 4" xfId="223" xr:uid="{00000000-0005-0000-0000-0000C7000000}"/>
    <cellStyle name="쉼표 [0] 3 3" xfId="50" xr:uid="{00000000-0005-0000-0000-0000C8000000}"/>
    <cellStyle name="쉼표 [0] 3 3 2" xfId="154" xr:uid="{00000000-0005-0000-0000-0000C9000000}"/>
    <cellStyle name="쉼표 [0] 3 3 2 2" xfId="290" xr:uid="{00000000-0005-0000-0000-0000CA000000}"/>
    <cellStyle name="쉼표 [0] 3 3 3" xfId="225" xr:uid="{00000000-0005-0000-0000-0000CB000000}"/>
    <cellStyle name="쉼표 [0] 3 3 4" xfId="320" xr:uid="{00000000-0005-0000-0000-0000CC000000}"/>
    <cellStyle name="쉼표 [0] 3 4" xfId="151" xr:uid="{00000000-0005-0000-0000-0000CD000000}"/>
    <cellStyle name="쉼표 [0] 3 4 2" xfId="287" xr:uid="{00000000-0005-0000-0000-0000CE000000}"/>
    <cellStyle name="쉼표 [0] 3 5" xfId="222" xr:uid="{00000000-0005-0000-0000-0000CF000000}"/>
    <cellStyle name="쉼표 [0] 30" xfId="312" xr:uid="{00000000-0005-0000-0000-0000D0000000}"/>
    <cellStyle name="쉼표 [0] 31" xfId="313" xr:uid="{00000000-0005-0000-0000-0000D1000000}"/>
    <cellStyle name="쉼표 [0] 32" xfId="314" xr:uid="{00000000-0005-0000-0000-0000D2000000}"/>
    <cellStyle name="쉼표 [0] 4" xfId="51" xr:uid="{00000000-0005-0000-0000-0000D3000000}"/>
    <cellStyle name="쉼표 [0] 4 2" xfId="52" xr:uid="{00000000-0005-0000-0000-0000D4000000}"/>
    <cellStyle name="쉼표 [0] 4 2 2" xfId="53" xr:uid="{00000000-0005-0000-0000-0000D5000000}"/>
    <cellStyle name="쉼표 [0] 4 2 2 2" xfId="157" xr:uid="{00000000-0005-0000-0000-0000D6000000}"/>
    <cellStyle name="쉼표 [0] 4 2 2 2 2" xfId="293" xr:uid="{00000000-0005-0000-0000-0000D7000000}"/>
    <cellStyle name="쉼표 [0] 4 2 2 3" xfId="228" xr:uid="{00000000-0005-0000-0000-0000D8000000}"/>
    <cellStyle name="쉼표 [0] 4 2 3" xfId="156" xr:uid="{00000000-0005-0000-0000-0000D9000000}"/>
    <cellStyle name="쉼표 [0] 4 2 3 2" xfId="292" xr:uid="{00000000-0005-0000-0000-0000DA000000}"/>
    <cellStyle name="쉼표 [0] 4 2 4" xfId="227" xr:uid="{00000000-0005-0000-0000-0000DB000000}"/>
    <cellStyle name="쉼표 [0] 4 3" xfId="54" xr:uid="{00000000-0005-0000-0000-0000DC000000}"/>
    <cellStyle name="쉼표 [0] 4 3 2" xfId="158" xr:uid="{00000000-0005-0000-0000-0000DD000000}"/>
    <cellStyle name="쉼표 [0] 4 3 2 2" xfId="294" xr:uid="{00000000-0005-0000-0000-0000DE000000}"/>
    <cellStyle name="쉼표 [0] 4 3 3" xfId="229" xr:uid="{00000000-0005-0000-0000-0000DF000000}"/>
    <cellStyle name="쉼표 [0] 4 4" xfId="155" xr:uid="{00000000-0005-0000-0000-0000E0000000}"/>
    <cellStyle name="쉼표 [0] 4 4 2" xfId="291" xr:uid="{00000000-0005-0000-0000-0000E1000000}"/>
    <cellStyle name="쉼표 [0] 4 5" xfId="226" xr:uid="{00000000-0005-0000-0000-0000E2000000}"/>
    <cellStyle name="쉼표 [0] 5" xfId="3" xr:uid="{00000000-0005-0000-0000-0000E3000000}"/>
    <cellStyle name="쉼표 [0] 5 2" xfId="55" xr:uid="{00000000-0005-0000-0000-0000E4000000}"/>
    <cellStyle name="쉼표 [0] 5 2 2" xfId="56" xr:uid="{00000000-0005-0000-0000-0000E5000000}"/>
    <cellStyle name="쉼표 [0] 5 2 2 2" xfId="160" xr:uid="{00000000-0005-0000-0000-0000E6000000}"/>
    <cellStyle name="쉼표 [0] 5 2 2 2 2" xfId="296" xr:uid="{00000000-0005-0000-0000-0000E7000000}"/>
    <cellStyle name="쉼표 [0] 5 2 2 3" xfId="231" xr:uid="{00000000-0005-0000-0000-0000E8000000}"/>
    <cellStyle name="쉼표 [0] 5 2 3" xfId="159" xr:uid="{00000000-0005-0000-0000-0000E9000000}"/>
    <cellStyle name="쉼표 [0] 5 2 3 2" xfId="295" xr:uid="{00000000-0005-0000-0000-0000EA000000}"/>
    <cellStyle name="쉼표 [0] 5 2 4" xfId="230" xr:uid="{00000000-0005-0000-0000-0000EB000000}"/>
    <cellStyle name="쉼표 [0] 5 3" xfId="57" xr:uid="{00000000-0005-0000-0000-0000EC000000}"/>
    <cellStyle name="쉼표 [0] 5 3 2" xfId="161" xr:uid="{00000000-0005-0000-0000-0000ED000000}"/>
    <cellStyle name="쉼표 [0] 5 3 2 2" xfId="297" xr:uid="{00000000-0005-0000-0000-0000EE000000}"/>
    <cellStyle name="쉼표 [0] 5 3 3" xfId="232" xr:uid="{00000000-0005-0000-0000-0000EF000000}"/>
    <cellStyle name="쉼표 [0] 5 4" xfId="107" xr:uid="{00000000-0005-0000-0000-0000F0000000}"/>
    <cellStyle name="쉼표 [0] 5 4 2" xfId="243" xr:uid="{00000000-0005-0000-0000-0000F1000000}"/>
    <cellStyle name="쉼표 [0] 5 5" xfId="178" xr:uid="{00000000-0005-0000-0000-0000F2000000}"/>
    <cellStyle name="쉼표 [0] 6" xfId="58" xr:uid="{00000000-0005-0000-0000-0000F3000000}"/>
    <cellStyle name="쉼표 [0] 6 2" xfId="59" xr:uid="{00000000-0005-0000-0000-0000F4000000}"/>
    <cellStyle name="쉼표 [0] 6 2 2" xfId="60" xr:uid="{00000000-0005-0000-0000-0000F5000000}"/>
    <cellStyle name="쉼표 [0] 6 2 2 2" xfId="164" xr:uid="{00000000-0005-0000-0000-0000F6000000}"/>
    <cellStyle name="쉼표 [0] 6 2 2 2 2" xfId="300" xr:uid="{00000000-0005-0000-0000-0000F7000000}"/>
    <cellStyle name="쉼표 [0] 6 2 2 3" xfId="235" xr:uid="{00000000-0005-0000-0000-0000F8000000}"/>
    <cellStyle name="쉼표 [0] 6 2 3" xfId="163" xr:uid="{00000000-0005-0000-0000-0000F9000000}"/>
    <cellStyle name="쉼표 [0] 6 2 3 2" xfId="299" xr:uid="{00000000-0005-0000-0000-0000FA000000}"/>
    <cellStyle name="쉼표 [0] 6 2 4" xfId="234" xr:uid="{00000000-0005-0000-0000-0000FB000000}"/>
    <cellStyle name="쉼표 [0] 6 3" xfId="61" xr:uid="{00000000-0005-0000-0000-0000FC000000}"/>
    <cellStyle name="쉼표 [0] 6 3 2" xfId="165" xr:uid="{00000000-0005-0000-0000-0000FD000000}"/>
    <cellStyle name="쉼표 [0] 6 3 2 2" xfId="301" xr:uid="{00000000-0005-0000-0000-0000FE000000}"/>
    <cellStyle name="쉼표 [0] 6 3 3" xfId="236" xr:uid="{00000000-0005-0000-0000-0000FF000000}"/>
    <cellStyle name="쉼표 [0] 6 4" xfId="92" xr:uid="{00000000-0005-0000-0000-000000010000}"/>
    <cellStyle name="쉼표 [0] 6 4 2" xfId="166" xr:uid="{00000000-0005-0000-0000-000001010000}"/>
    <cellStyle name="쉼표 [0] 6 4 2 2" xfId="302" xr:uid="{00000000-0005-0000-0000-000002010000}"/>
    <cellStyle name="쉼표 [0] 6 4 3" xfId="237" xr:uid="{00000000-0005-0000-0000-000003010000}"/>
    <cellStyle name="쉼표 [0] 6 5" xfId="162" xr:uid="{00000000-0005-0000-0000-000004010000}"/>
    <cellStyle name="쉼표 [0] 6 5 2" xfId="298" xr:uid="{00000000-0005-0000-0000-000005010000}"/>
    <cellStyle name="쉼표 [0] 6 6" xfId="233" xr:uid="{00000000-0005-0000-0000-000006010000}"/>
    <cellStyle name="쉼표 [0] 6 7" xfId="317" xr:uid="{00000000-0005-0000-0000-000007010000}"/>
    <cellStyle name="쉼표 [0] 7" xfId="93" xr:uid="{00000000-0005-0000-0000-000008010000}"/>
    <cellStyle name="쉼표 [0] 7 2" xfId="167" xr:uid="{00000000-0005-0000-0000-000009010000}"/>
    <cellStyle name="쉼표 [0] 7 2 2" xfId="303" xr:uid="{00000000-0005-0000-0000-00000A010000}"/>
    <cellStyle name="쉼표 [0] 7 3" xfId="238" xr:uid="{00000000-0005-0000-0000-00000B010000}"/>
    <cellStyle name="쉼표 [0] 8" xfId="94" xr:uid="{00000000-0005-0000-0000-00000C010000}"/>
    <cellStyle name="쉼표 [0] 8 2" xfId="168" xr:uid="{00000000-0005-0000-0000-00000D010000}"/>
    <cellStyle name="쉼표 [0] 8 2 2" xfId="304" xr:uid="{00000000-0005-0000-0000-00000E010000}"/>
    <cellStyle name="쉼표 [0] 8 3" xfId="239" xr:uid="{00000000-0005-0000-0000-00000F010000}"/>
    <cellStyle name="쉼표 [0] 9" xfId="102" xr:uid="{00000000-0005-0000-0000-000010010000}"/>
    <cellStyle name="쉼표 [0] 9 2" xfId="170" xr:uid="{00000000-0005-0000-0000-000011010000}"/>
    <cellStyle name="쉼표 [0] 9 2 2" xfId="306" xr:uid="{00000000-0005-0000-0000-000012010000}"/>
    <cellStyle name="쉼표 [0] 9 3" xfId="240" xr:uid="{00000000-0005-0000-0000-000013010000}"/>
    <cellStyle name="표준" xfId="0" builtinId="0"/>
    <cellStyle name="표준 10" xfId="62" xr:uid="{00000000-0005-0000-0000-000015010000}"/>
    <cellStyle name="표준 11" xfId="63" xr:uid="{00000000-0005-0000-0000-000016010000}"/>
    <cellStyle name="표준 12" xfId="64" xr:uid="{00000000-0005-0000-0000-000017010000}"/>
    <cellStyle name="표준 13" xfId="65" xr:uid="{00000000-0005-0000-0000-000018010000}"/>
    <cellStyle name="표준 14" xfId="66" xr:uid="{00000000-0005-0000-0000-000019010000}"/>
    <cellStyle name="표준 15" xfId="2" xr:uid="{00000000-0005-0000-0000-00001A010000}"/>
    <cellStyle name="표준 15 2" xfId="67" xr:uid="{00000000-0005-0000-0000-00001B010000}"/>
    <cellStyle name="표준 16" xfId="96" xr:uid="{00000000-0005-0000-0000-00001C010000}"/>
    <cellStyle name="표준 17" xfId="101" xr:uid="{00000000-0005-0000-0000-00001D010000}"/>
    <cellStyle name="표준 18" xfId="103" xr:uid="{00000000-0005-0000-0000-00001E010000}"/>
    <cellStyle name="표준 19" xfId="105" xr:uid="{00000000-0005-0000-0000-00001F010000}"/>
    <cellStyle name="표준 2" xfId="68" xr:uid="{00000000-0005-0000-0000-000020010000}"/>
    <cellStyle name="표준 2 2" xfId="99" xr:uid="{00000000-0005-0000-0000-000021010000}"/>
    <cellStyle name="표준 2 2 2 2" xfId="319" xr:uid="{00000000-0005-0000-0000-000022010000}"/>
    <cellStyle name="표준 2 3" xfId="100" xr:uid="{00000000-0005-0000-0000-000023010000}"/>
    <cellStyle name="표준 20" xfId="175" xr:uid="{00000000-0005-0000-0000-000024010000}"/>
    <cellStyle name="표준 23" xfId="69" xr:uid="{00000000-0005-0000-0000-000025010000}"/>
    <cellStyle name="표준 24" xfId="70" xr:uid="{00000000-0005-0000-0000-000026010000}"/>
    <cellStyle name="표준 25" xfId="71" xr:uid="{00000000-0005-0000-0000-000027010000}"/>
    <cellStyle name="표준 26" xfId="72" xr:uid="{00000000-0005-0000-0000-000028010000}"/>
    <cellStyle name="표준 27" xfId="73" xr:uid="{00000000-0005-0000-0000-000029010000}"/>
    <cellStyle name="표준 28" xfId="74" xr:uid="{00000000-0005-0000-0000-00002A010000}"/>
    <cellStyle name="표준 29" xfId="75" xr:uid="{00000000-0005-0000-0000-00002B010000}"/>
    <cellStyle name="표준 3" xfId="76" xr:uid="{00000000-0005-0000-0000-00002C010000}"/>
    <cellStyle name="표준 3 2" xfId="97" xr:uid="{00000000-0005-0000-0000-00002D010000}"/>
    <cellStyle name="표준 3 2 2" xfId="318" xr:uid="{00000000-0005-0000-0000-00002E010000}"/>
    <cellStyle name="표준 3 3" xfId="321" xr:uid="{00000000-0005-0000-0000-00002F010000}"/>
    <cellStyle name="표준 30" xfId="77" xr:uid="{00000000-0005-0000-0000-000030010000}"/>
    <cellStyle name="표준 31" xfId="78" xr:uid="{00000000-0005-0000-0000-000031010000}"/>
    <cellStyle name="표준 32" xfId="79" xr:uid="{00000000-0005-0000-0000-000032010000}"/>
    <cellStyle name="표준 33" xfId="80" xr:uid="{00000000-0005-0000-0000-000033010000}"/>
    <cellStyle name="표준 34" xfId="81" xr:uid="{00000000-0005-0000-0000-000034010000}"/>
    <cellStyle name="표준 35" xfId="82" xr:uid="{00000000-0005-0000-0000-000035010000}"/>
    <cellStyle name="표준 36" xfId="83" xr:uid="{00000000-0005-0000-0000-000036010000}"/>
    <cellStyle name="표준 37" xfId="84" xr:uid="{00000000-0005-0000-0000-000037010000}"/>
    <cellStyle name="표준 38" xfId="85" xr:uid="{00000000-0005-0000-0000-000038010000}"/>
    <cellStyle name="표준 4" xfId="86" xr:uid="{00000000-0005-0000-0000-000039010000}"/>
    <cellStyle name="표준 4 2" xfId="95" xr:uid="{00000000-0005-0000-0000-00003A010000}"/>
    <cellStyle name="표준 5" xfId="87" xr:uid="{00000000-0005-0000-0000-00003B010000}"/>
    <cellStyle name="표준 6" xfId="88" xr:uid="{00000000-0005-0000-0000-00003C010000}"/>
    <cellStyle name="표준 7" xfId="89" xr:uid="{00000000-0005-0000-0000-00003D010000}"/>
    <cellStyle name="표준 8" xfId="90" xr:uid="{00000000-0005-0000-0000-00003E010000}"/>
    <cellStyle name="표준 9" xfId="91" xr:uid="{00000000-0005-0000-0000-00003F010000}"/>
    <cellStyle name="하이퍼링크" xfId="315" builtinId="8"/>
    <cellStyle name="하이퍼링크 2" xfId="316" xr:uid="{00000000-0005-0000-0000-000041010000}"/>
  </cellStyles>
  <dxfs count="15"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114300</xdr:colOff>
      <xdr:row>4</xdr:row>
      <xdr:rowOff>19050</xdr:rowOff>
    </xdr:from>
    <xdr:to>
      <xdr:col>28</xdr:col>
      <xdr:colOff>187138</xdr:colOff>
      <xdr:row>6</xdr:row>
      <xdr:rowOff>149038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66775"/>
          <a:ext cx="549088" cy="5490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3</xdr:row>
      <xdr:rowOff>209550</xdr:rowOff>
    </xdr:from>
    <xdr:to>
      <xdr:col>4</xdr:col>
      <xdr:colOff>104775</xdr:colOff>
      <xdr:row>36</xdr:row>
      <xdr:rowOff>85725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D15BE58-6E64-42FF-8391-430D3561A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971550"/>
          <a:ext cx="5724525" cy="67818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36</xdr:row>
      <xdr:rowOff>99392</xdr:rowOff>
    </xdr:from>
    <xdr:to>
      <xdr:col>4</xdr:col>
      <xdr:colOff>124240</xdr:colOff>
      <xdr:row>71</xdr:row>
      <xdr:rowOff>74543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B0A4342-0A3F-4EF1-AB88-040E2AA30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7694544"/>
          <a:ext cx="5855804" cy="72224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008;&#51652;\&#50500;&#50892;&#48149;&#49828;&#54252;&#51109;&#50629;&#47924;\&#50500;&#50892;&#48149;&#49828;_&#47560;&#44048;\new_&#47560;&#44048;&#50629;&#47924;%20&#52712;&#54633;(&#51221;&#47532;&#51473;)\5.%20&#47560;&#44048;\&#47560;&#44048;&#51088;&#47308;\3.%20&#46041;&#53444;&#49468;&#53552;\&#48120;&#53944;&#47532;\&#48120;&#53944;&#47532;(&#51452;)_&#47560;&#44048;(&#47932;&#47448;&#48708;&#51221;&#49328;)_202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물류비 청구서"/>
      <sheetName val="마감내역"/>
      <sheetName val="물류비 내역서"/>
      <sheetName val="2022-02"/>
      <sheetName val="차량출고_2월"/>
      <sheetName val="2월 클레임"/>
      <sheetName val="반품상세"/>
      <sheetName val="도서산간지역_내역"/>
      <sheetName val="도서산간지역_롯데택배(상세)"/>
      <sheetName val="도서산간지역_대한통운(상세)"/>
      <sheetName val="견적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효빈 안" id="{AADEDF44-D04D-46AC-931C-92A7681ECDAD}" userId="2886aa94a355e82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6-22T08:01:01.36" personId="{AADEDF44-D04D-46AC-931C-92A7681ECDAD}" id="{72B0A348-34F4-4B70-92FE-5AC795080565}">
    <text>15,말일에는 수식XX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322EE9-9B0E-4407-B6AE-261B7FF35618}">
  <we:reference id="WA200009404" version="1.0.0.8" store="ko-KR" storeType="omex"/>
  <we:alternateReferences>
    <we:reference id="WA200009404" version="1.0.0.8" store="ko-KR" storeType="omex"/>
  </we:alternateReferences>
  <we:properties>
    <we:property name="claude.fileId" value="&quot;b575c5ba-5257-4d02-8556-9535f98ffc3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L87"/>
  <sheetViews>
    <sheetView showGridLines="0" zoomScaleNormal="100" workbookViewId="0">
      <selection activeCell="AG23" sqref="AG23"/>
    </sheetView>
  </sheetViews>
  <sheetFormatPr defaultRowHeight="16.5"/>
  <cols>
    <col min="1" max="1" width="3.125" style="2" customWidth="1"/>
    <col min="2" max="6" width="4.875" style="2" customWidth="1"/>
    <col min="7" max="7" width="6.75" style="2" customWidth="1"/>
    <col min="8" max="30" width="3.125" style="2" customWidth="1"/>
    <col min="31" max="31" width="10.5" style="2" bestFit="1" customWidth="1"/>
    <col min="32" max="32" width="14.625" style="2" bestFit="1" customWidth="1"/>
    <col min="33" max="33" width="12" style="2" bestFit="1" customWidth="1"/>
    <col min="34" max="34" width="13" style="2" bestFit="1" customWidth="1"/>
    <col min="35" max="35" width="9.75" style="2" bestFit="1" customWidth="1"/>
    <col min="36" max="37" width="9" style="2"/>
    <col min="38" max="38" width="9.75" style="2" bestFit="1" customWidth="1"/>
    <col min="39" max="256" width="9" style="2"/>
    <col min="257" max="286" width="3.125" style="2" customWidth="1"/>
    <col min="287" max="512" width="9" style="2"/>
    <col min="513" max="542" width="3.125" style="2" customWidth="1"/>
    <col min="543" max="768" width="9" style="2"/>
    <col min="769" max="798" width="3.125" style="2" customWidth="1"/>
    <col min="799" max="1024" width="9" style="2"/>
    <col min="1025" max="1054" width="3.125" style="2" customWidth="1"/>
    <col min="1055" max="1280" width="9" style="2"/>
    <col min="1281" max="1310" width="3.125" style="2" customWidth="1"/>
    <col min="1311" max="1536" width="9" style="2"/>
    <col min="1537" max="1566" width="3.125" style="2" customWidth="1"/>
    <col min="1567" max="1792" width="9" style="2"/>
    <col min="1793" max="1822" width="3.125" style="2" customWidth="1"/>
    <col min="1823" max="2048" width="9" style="2"/>
    <col min="2049" max="2078" width="3.125" style="2" customWidth="1"/>
    <col min="2079" max="2304" width="9" style="2"/>
    <col min="2305" max="2334" width="3.125" style="2" customWidth="1"/>
    <col min="2335" max="2560" width="9" style="2"/>
    <col min="2561" max="2590" width="3.125" style="2" customWidth="1"/>
    <col min="2591" max="2816" width="9" style="2"/>
    <col min="2817" max="2846" width="3.125" style="2" customWidth="1"/>
    <col min="2847" max="3072" width="9" style="2"/>
    <col min="3073" max="3102" width="3.125" style="2" customWidth="1"/>
    <col min="3103" max="3328" width="9" style="2"/>
    <col min="3329" max="3358" width="3.125" style="2" customWidth="1"/>
    <col min="3359" max="3584" width="9" style="2"/>
    <col min="3585" max="3614" width="3.125" style="2" customWidth="1"/>
    <col min="3615" max="3840" width="9" style="2"/>
    <col min="3841" max="3870" width="3.125" style="2" customWidth="1"/>
    <col min="3871" max="4096" width="9" style="2"/>
    <col min="4097" max="4126" width="3.125" style="2" customWidth="1"/>
    <col min="4127" max="4352" width="9" style="2"/>
    <col min="4353" max="4382" width="3.125" style="2" customWidth="1"/>
    <col min="4383" max="4608" width="9" style="2"/>
    <col min="4609" max="4638" width="3.125" style="2" customWidth="1"/>
    <col min="4639" max="4864" width="9" style="2"/>
    <col min="4865" max="4894" width="3.125" style="2" customWidth="1"/>
    <col min="4895" max="5120" width="9" style="2"/>
    <col min="5121" max="5150" width="3.125" style="2" customWidth="1"/>
    <col min="5151" max="5376" width="9" style="2"/>
    <col min="5377" max="5406" width="3.125" style="2" customWidth="1"/>
    <col min="5407" max="5632" width="9" style="2"/>
    <col min="5633" max="5662" width="3.125" style="2" customWidth="1"/>
    <col min="5663" max="5888" width="9" style="2"/>
    <col min="5889" max="5918" width="3.125" style="2" customWidth="1"/>
    <col min="5919" max="6144" width="9" style="2"/>
    <col min="6145" max="6174" width="3.125" style="2" customWidth="1"/>
    <col min="6175" max="6400" width="9" style="2"/>
    <col min="6401" max="6430" width="3.125" style="2" customWidth="1"/>
    <col min="6431" max="6656" width="9" style="2"/>
    <col min="6657" max="6686" width="3.125" style="2" customWidth="1"/>
    <col min="6687" max="6912" width="9" style="2"/>
    <col min="6913" max="6942" width="3.125" style="2" customWidth="1"/>
    <col min="6943" max="7168" width="9" style="2"/>
    <col min="7169" max="7198" width="3.125" style="2" customWidth="1"/>
    <col min="7199" max="7424" width="9" style="2"/>
    <col min="7425" max="7454" width="3.125" style="2" customWidth="1"/>
    <col min="7455" max="7680" width="9" style="2"/>
    <col min="7681" max="7710" width="3.125" style="2" customWidth="1"/>
    <col min="7711" max="7936" width="9" style="2"/>
    <col min="7937" max="7966" width="3.125" style="2" customWidth="1"/>
    <col min="7967" max="8192" width="9" style="2"/>
    <col min="8193" max="8222" width="3.125" style="2" customWidth="1"/>
    <col min="8223" max="8448" width="9" style="2"/>
    <col min="8449" max="8478" width="3.125" style="2" customWidth="1"/>
    <col min="8479" max="8704" width="9" style="2"/>
    <col min="8705" max="8734" width="3.125" style="2" customWidth="1"/>
    <col min="8735" max="8960" width="9" style="2"/>
    <col min="8961" max="8990" width="3.125" style="2" customWidth="1"/>
    <col min="8991" max="9216" width="9" style="2"/>
    <col min="9217" max="9246" width="3.125" style="2" customWidth="1"/>
    <col min="9247" max="9472" width="9" style="2"/>
    <col min="9473" max="9502" width="3.125" style="2" customWidth="1"/>
    <col min="9503" max="9728" width="9" style="2"/>
    <col min="9729" max="9758" width="3.125" style="2" customWidth="1"/>
    <col min="9759" max="9984" width="9" style="2"/>
    <col min="9985" max="10014" width="3.125" style="2" customWidth="1"/>
    <col min="10015" max="10240" width="9" style="2"/>
    <col min="10241" max="10270" width="3.125" style="2" customWidth="1"/>
    <col min="10271" max="10496" width="9" style="2"/>
    <col min="10497" max="10526" width="3.125" style="2" customWidth="1"/>
    <col min="10527" max="10752" width="9" style="2"/>
    <col min="10753" max="10782" width="3.125" style="2" customWidth="1"/>
    <col min="10783" max="11008" width="9" style="2"/>
    <col min="11009" max="11038" width="3.125" style="2" customWidth="1"/>
    <col min="11039" max="11264" width="9" style="2"/>
    <col min="11265" max="11294" width="3.125" style="2" customWidth="1"/>
    <col min="11295" max="11520" width="9" style="2"/>
    <col min="11521" max="11550" width="3.125" style="2" customWidth="1"/>
    <col min="11551" max="11776" width="9" style="2"/>
    <col min="11777" max="11806" width="3.125" style="2" customWidth="1"/>
    <col min="11807" max="12032" width="9" style="2"/>
    <col min="12033" max="12062" width="3.125" style="2" customWidth="1"/>
    <col min="12063" max="12288" width="9" style="2"/>
    <col min="12289" max="12318" width="3.125" style="2" customWidth="1"/>
    <col min="12319" max="12544" width="9" style="2"/>
    <col min="12545" max="12574" width="3.125" style="2" customWidth="1"/>
    <col min="12575" max="12800" width="9" style="2"/>
    <col min="12801" max="12830" width="3.125" style="2" customWidth="1"/>
    <col min="12831" max="13056" width="9" style="2"/>
    <col min="13057" max="13086" width="3.125" style="2" customWidth="1"/>
    <col min="13087" max="13312" width="9" style="2"/>
    <col min="13313" max="13342" width="3.125" style="2" customWidth="1"/>
    <col min="13343" max="13568" width="9" style="2"/>
    <col min="13569" max="13598" width="3.125" style="2" customWidth="1"/>
    <col min="13599" max="13824" width="9" style="2"/>
    <col min="13825" max="13854" width="3.125" style="2" customWidth="1"/>
    <col min="13855" max="14080" width="9" style="2"/>
    <col min="14081" max="14110" width="3.125" style="2" customWidth="1"/>
    <col min="14111" max="14336" width="9" style="2"/>
    <col min="14337" max="14366" width="3.125" style="2" customWidth="1"/>
    <col min="14367" max="14592" width="9" style="2"/>
    <col min="14593" max="14622" width="3.125" style="2" customWidth="1"/>
    <col min="14623" max="14848" width="9" style="2"/>
    <col min="14849" max="14878" width="3.125" style="2" customWidth="1"/>
    <col min="14879" max="15104" width="9" style="2"/>
    <col min="15105" max="15134" width="3.125" style="2" customWidth="1"/>
    <col min="15135" max="15360" width="9" style="2"/>
    <col min="15361" max="15390" width="3.125" style="2" customWidth="1"/>
    <col min="15391" max="15616" width="9" style="2"/>
    <col min="15617" max="15646" width="3.125" style="2" customWidth="1"/>
    <col min="15647" max="15872" width="9" style="2"/>
    <col min="15873" max="15902" width="3.125" style="2" customWidth="1"/>
    <col min="15903" max="16128" width="9" style="2"/>
    <col min="16129" max="16158" width="3.125" style="2" customWidth="1"/>
    <col min="16159" max="16384" width="9" style="2"/>
  </cols>
  <sheetData>
    <row r="1" spans="2:32" ht="16.5" customHeight="1">
      <c r="B1" s="413" t="s">
        <v>0</v>
      </c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413"/>
      <c r="Z1" s="413"/>
      <c r="AA1" s="413"/>
      <c r="AB1" s="413"/>
      <c r="AC1" s="413"/>
    </row>
    <row r="2" spans="2:32" ht="16.5" customHeight="1"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14"/>
      <c r="W2" s="414"/>
      <c r="X2" s="414"/>
      <c r="Y2" s="414"/>
      <c r="Z2" s="414"/>
      <c r="AA2" s="414"/>
      <c r="AB2" s="414"/>
      <c r="AC2" s="414"/>
    </row>
    <row r="3" spans="2:32" ht="17.25" customHeight="1" thickBot="1"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5"/>
    </row>
    <row r="5" spans="2:32">
      <c r="P5" s="397" t="s">
        <v>1</v>
      </c>
      <c r="Q5" s="397"/>
      <c r="R5" s="397"/>
      <c r="S5" s="397"/>
      <c r="T5" s="399" t="s">
        <v>2</v>
      </c>
      <c r="U5" s="399"/>
      <c r="V5" s="399"/>
      <c r="W5" s="399"/>
      <c r="X5" s="399"/>
      <c r="Y5" s="399"/>
      <c r="Z5" s="399"/>
      <c r="AA5" s="399"/>
      <c r="AB5" s="399"/>
      <c r="AC5" s="399"/>
    </row>
    <row r="6" spans="2:32" ht="16.5" customHeight="1">
      <c r="B6" s="416" t="s">
        <v>3</v>
      </c>
      <c r="C6" s="416"/>
      <c r="D6" s="416"/>
      <c r="E6" s="416"/>
      <c r="F6" s="418" t="s">
        <v>4</v>
      </c>
      <c r="G6" s="418"/>
      <c r="H6" s="418"/>
      <c r="I6" s="418"/>
      <c r="J6" s="418"/>
      <c r="K6" s="418"/>
      <c r="L6" s="418"/>
      <c r="M6" s="418"/>
      <c r="N6" s="418"/>
      <c r="P6" s="397" t="s">
        <v>5</v>
      </c>
      <c r="Q6" s="397"/>
      <c r="R6" s="397"/>
      <c r="S6" s="397"/>
      <c r="T6" s="399" t="s">
        <v>6</v>
      </c>
      <c r="U6" s="399"/>
      <c r="V6" s="399"/>
      <c r="W6" s="399"/>
      <c r="X6" s="399"/>
      <c r="Y6" s="399"/>
      <c r="Z6" s="399"/>
      <c r="AA6" s="399"/>
      <c r="AB6" s="399"/>
      <c r="AC6" s="399"/>
    </row>
    <row r="7" spans="2:32" ht="16.5" customHeight="1">
      <c r="B7" s="417"/>
      <c r="C7" s="417"/>
      <c r="D7" s="417"/>
      <c r="E7" s="417"/>
      <c r="F7" s="419"/>
      <c r="G7" s="419"/>
      <c r="H7" s="419"/>
      <c r="I7" s="419"/>
      <c r="J7" s="419"/>
      <c r="K7" s="419"/>
      <c r="L7" s="419"/>
      <c r="M7" s="419"/>
      <c r="N7" s="419"/>
      <c r="P7" s="420" t="s">
        <v>7</v>
      </c>
      <c r="Q7" s="420"/>
      <c r="R7" s="420"/>
      <c r="S7" s="420"/>
      <c r="T7" s="421" t="s">
        <v>8</v>
      </c>
      <c r="U7" s="422"/>
      <c r="V7" s="422"/>
      <c r="W7" s="422"/>
      <c r="X7" s="422"/>
      <c r="Y7" s="422"/>
      <c r="Z7" s="422"/>
      <c r="AA7" s="422"/>
      <c r="AB7" s="422"/>
      <c r="AC7" s="422"/>
    </row>
    <row r="8" spans="2:32">
      <c r="P8" s="420"/>
      <c r="Q8" s="420"/>
      <c r="R8" s="420"/>
      <c r="S8" s="420"/>
      <c r="T8" s="422"/>
      <c r="U8" s="422"/>
      <c r="V8" s="422"/>
      <c r="W8" s="422"/>
      <c r="X8" s="422"/>
      <c r="Y8" s="422"/>
      <c r="Z8" s="422"/>
      <c r="AA8" s="422"/>
      <c r="AB8" s="422"/>
      <c r="AC8" s="422"/>
    </row>
    <row r="9" spans="2:32">
      <c r="B9" s="396" t="s">
        <v>9</v>
      </c>
      <c r="C9" s="396"/>
      <c r="D9" s="396"/>
      <c r="E9" s="396"/>
      <c r="F9" s="396"/>
      <c r="G9" s="396"/>
      <c r="H9" s="396"/>
      <c r="I9" s="396"/>
      <c r="J9" s="396"/>
      <c r="K9" s="396"/>
      <c r="L9" s="396"/>
      <c r="M9" s="396"/>
      <c r="N9" s="396"/>
      <c r="P9" s="397" t="s">
        <v>10</v>
      </c>
      <c r="Q9" s="397"/>
      <c r="R9" s="397"/>
      <c r="S9" s="397"/>
      <c r="T9" s="399" t="s">
        <v>11</v>
      </c>
      <c r="U9" s="399"/>
      <c r="V9" s="399"/>
      <c r="W9" s="399"/>
      <c r="X9" s="399"/>
      <c r="Y9" s="399"/>
      <c r="Z9" s="399"/>
      <c r="AA9" s="399"/>
      <c r="AB9" s="399"/>
      <c r="AC9" s="399"/>
    </row>
    <row r="10" spans="2:32">
      <c r="B10" s="396"/>
      <c r="C10" s="396"/>
      <c r="D10" s="396"/>
      <c r="E10" s="396"/>
      <c r="F10" s="396"/>
      <c r="G10" s="396"/>
      <c r="H10" s="396"/>
      <c r="I10" s="396"/>
      <c r="J10" s="396"/>
      <c r="K10" s="396"/>
      <c r="L10" s="396"/>
      <c r="M10" s="396"/>
      <c r="N10" s="396"/>
      <c r="P10" s="397" t="s">
        <v>12</v>
      </c>
      <c r="Q10" s="397"/>
      <c r="R10" s="397"/>
      <c r="S10" s="397"/>
      <c r="T10" s="399" t="s">
        <v>13</v>
      </c>
      <c r="U10" s="399"/>
      <c r="V10" s="399"/>
      <c r="W10" s="399"/>
      <c r="X10" s="399"/>
      <c r="Y10" s="399"/>
      <c r="Z10" s="399"/>
      <c r="AA10" s="399"/>
      <c r="AB10" s="399"/>
      <c r="AC10" s="399"/>
    </row>
    <row r="11" spans="2:32">
      <c r="B11" s="396"/>
      <c r="C11" s="396"/>
      <c r="D11" s="396"/>
      <c r="E11" s="396"/>
      <c r="F11" s="396"/>
      <c r="G11" s="396"/>
      <c r="H11" s="396"/>
      <c r="I11" s="396"/>
      <c r="J11" s="396"/>
      <c r="K11" s="396"/>
      <c r="L11" s="396"/>
      <c r="M11" s="396"/>
      <c r="N11" s="396"/>
    </row>
    <row r="12" spans="2:32">
      <c r="O12" s="400" t="s">
        <v>14</v>
      </c>
      <c r="P12" s="400"/>
      <c r="Q12" s="400"/>
      <c r="R12" s="367" t="s">
        <v>15</v>
      </c>
      <c r="S12" s="401" t="s">
        <v>16</v>
      </c>
      <c r="T12" s="401"/>
      <c r="U12" s="401"/>
      <c r="V12" s="401"/>
      <c r="W12" s="401"/>
      <c r="X12" s="401"/>
      <c r="Y12" s="401"/>
      <c r="Z12" s="401"/>
      <c r="AA12" s="401"/>
      <c r="AB12" s="401"/>
      <c r="AC12" s="401"/>
    </row>
    <row r="13" spans="2:32">
      <c r="B13" s="402" t="s">
        <v>17</v>
      </c>
      <c r="C13" s="403"/>
      <c r="D13" s="403"/>
      <c r="E13" s="403"/>
      <c r="F13" s="403"/>
      <c r="G13" s="403"/>
      <c r="H13" s="410">
        <f>O18+O42+O52+O72+O74+O76+O81</f>
        <v>271936977.63636363</v>
      </c>
      <c r="I13" s="410"/>
      <c r="J13" s="410"/>
      <c r="K13" s="410"/>
      <c r="L13" s="410"/>
      <c r="M13" s="410"/>
      <c r="N13" s="9"/>
      <c r="O13" s="403" t="s">
        <v>18</v>
      </c>
      <c r="P13" s="403"/>
      <c r="Q13" s="403"/>
      <c r="R13" s="405" t="s">
        <v>19</v>
      </c>
      <c r="S13" s="405"/>
      <c r="T13" s="407">
        <f>Y18+Y42+Y52+Y72+Y74+Y76+Y81</f>
        <v>299130675.39999998</v>
      </c>
      <c r="U13" s="405"/>
      <c r="V13" s="405"/>
      <c r="W13" s="405"/>
      <c r="X13" s="405"/>
      <c r="Y13" s="405"/>
      <c r="Z13" s="405"/>
      <c r="AA13" s="405"/>
      <c r="AB13" s="405"/>
      <c r="AC13" s="408" t="s">
        <v>20</v>
      </c>
    </row>
    <row r="14" spans="2:32" ht="16.5" customHeight="1">
      <c r="B14" s="412" t="s">
        <v>21</v>
      </c>
      <c r="C14" s="404"/>
      <c r="D14" s="404"/>
      <c r="E14" s="404"/>
      <c r="F14" s="404"/>
      <c r="G14" s="404"/>
      <c r="H14" s="411">
        <f>T18+T42+T52+T72+T74+T76+T81</f>
        <v>27193697.763636366</v>
      </c>
      <c r="I14" s="411"/>
      <c r="J14" s="411"/>
      <c r="K14" s="411"/>
      <c r="L14" s="411"/>
      <c r="M14" s="411"/>
      <c r="N14" s="10"/>
      <c r="O14" s="404"/>
      <c r="P14" s="404"/>
      <c r="Q14" s="404"/>
      <c r="R14" s="406"/>
      <c r="S14" s="406"/>
      <c r="T14" s="406"/>
      <c r="U14" s="406"/>
      <c r="V14" s="406"/>
      <c r="W14" s="406"/>
      <c r="X14" s="406"/>
      <c r="Y14" s="406"/>
      <c r="Z14" s="406"/>
      <c r="AA14" s="406"/>
      <c r="AB14" s="406"/>
      <c r="AC14" s="409"/>
      <c r="AF14" s="5"/>
    </row>
    <row r="15" spans="2:32" ht="17.25" customHeight="1">
      <c r="B15" s="398" t="s">
        <v>22</v>
      </c>
      <c r="C15" s="398"/>
      <c r="D15" s="398"/>
      <c r="E15" s="398"/>
      <c r="F15" s="398"/>
      <c r="G15" s="398"/>
      <c r="H15" s="398" t="s">
        <v>23</v>
      </c>
      <c r="I15" s="398"/>
      <c r="J15" s="398"/>
      <c r="K15" s="398" t="s">
        <v>24</v>
      </c>
      <c r="L15" s="398"/>
      <c r="M15" s="398"/>
      <c r="N15" s="398"/>
      <c r="O15" s="398" t="s">
        <v>17</v>
      </c>
      <c r="P15" s="398"/>
      <c r="Q15" s="398"/>
      <c r="R15" s="398"/>
      <c r="S15" s="398"/>
      <c r="T15" s="398" t="s">
        <v>25</v>
      </c>
      <c r="U15" s="398"/>
      <c r="V15" s="398"/>
      <c r="W15" s="398"/>
      <c r="X15" s="398"/>
      <c r="Y15" s="398" t="s">
        <v>26</v>
      </c>
      <c r="Z15" s="398"/>
      <c r="AA15" s="398"/>
      <c r="AB15" s="398"/>
      <c r="AC15" s="398"/>
      <c r="AF15" s="4"/>
    </row>
    <row r="16" spans="2:32" ht="16.5" customHeight="1">
      <c r="B16" s="384" t="s">
        <v>27</v>
      </c>
      <c r="C16" s="384"/>
      <c r="D16" s="384"/>
      <c r="E16" s="384"/>
      <c r="F16" s="384"/>
      <c r="G16" s="384"/>
      <c r="H16" s="391">
        <f>'물류비 내역서'!C5</f>
        <v>124</v>
      </c>
      <c r="I16" s="392"/>
      <c r="J16" s="393"/>
      <c r="K16" s="388">
        <f>'물류비 내역서'!D5</f>
        <v>20000</v>
      </c>
      <c r="L16" s="389"/>
      <c r="M16" s="389"/>
      <c r="N16" s="390"/>
      <c r="O16" s="382">
        <f>H16*K16</f>
        <v>2480000</v>
      </c>
      <c r="P16" s="382"/>
      <c r="Q16" s="382"/>
      <c r="R16" s="382"/>
      <c r="S16" s="382"/>
      <c r="T16" s="382">
        <f>+O16*0.1</f>
        <v>248000</v>
      </c>
      <c r="U16" s="382"/>
      <c r="V16" s="382"/>
      <c r="W16" s="382"/>
      <c r="X16" s="382"/>
      <c r="Y16" s="382">
        <f>O16+T16</f>
        <v>2728000</v>
      </c>
      <c r="Z16" s="382"/>
      <c r="AA16" s="382"/>
      <c r="AB16" s="382"/>
      <c r="AC16" s="382"/>
    </row>
    <row r="17" spans="2:38" ht="16.5" customHeight="1">
      <c r="B17" s="384" t="s">
        <v>28</v>
      </c>
      <c r="C17" s="384"/>
      <c r="D17" s="384"/>
      <c r="E17" s="384"/>
      <c r="F17" s="384"/>
      <c r="G17" s="384"/>
      <c r="H17" s="391">
        <f>'물류비 내역서'!C6</f>
        <v>248</v>
      </c>
      <c r="I17" s="392"/>
      <c r="J17" s="393"/>
      <c r="K17" s="388">
        <f>'물류비 내역서'!D6</f>
        <v>27000</v>
      </c>
      <c r="L17" s="389"/>
      <c r="M17" s="389"/>
      <c r="N17" s="390"/>
      <c r="O17" s="382">
        <f>H17*K17</f>
        <v>6696000</v>
      </c>
      <c r="P17" s="382"/>
      <c r="Q17" s="382"/>
      <c r="R17" s="382"/>
      <c r="S17" s="382"/>
      <c r="T17" s="382">
        <f>+O17*0.1</f>
        <v>669600</v>
      </c>
      <c r="U17" s="382"/>
      <c r="V17" s="382"/>
      <c r="W17" s="382"/>
      <c r="X17" s="382"/>
      <c r="Y17" s="382">
        <f>O17+T17</f>
        <v>7365600</v>
      </c>
      <c r="Z17" s="382"/>
      <c r="AA17" s="382"/>
      <c r="AB17" s="382"/>
      <c r="AC17" s="382"/>
    </row>
    <row r="18" spans="2:38" ht="16.5" customHeight="1">
      <c r="B18" s="387" t="s">
        <v>29</v>
      </c>
      <c r="C18" s="387"/>
      <c r="D18" s="387"/>
      <c r="E18" s="387"/>
      <c r="F18" s="387"/>
      <c r="G18" s="387"/>
      <c r="H18" s="387"/>
      <c r="I18" s="387"/>
      <c r="J18" s="387"/>
      <c r="K18" s="387"/>
      <c r="L18" s="387"/>
      <c r="M18" s="387"/>
      <c r="N18" s="387"/>
      <c r="O18" s="386">
        <f>SUM(O16:S17)</f>
        <v>9176000</v>
      </c>
      <c r="P18" s="387"/>
      <c r="Q18" s="387"/>
      <c r="R18" s="387"/>
      <c r="S18" s="387"/>
      <c r="T18" s="386">
        <f>SUM(T16:X17)</f>
        <v>917600</v>
      </c>
      <c r="U18" s="387"/>
      <c r="V18" s="387"/>
      <c r="W18" s="387"/>
      <c r="X18" s="387"/>
      <c r="Y18" s="386">
        <f>SUM(Y16:AC17)</f>
        <v>10093600</v>
      </c>
      <c r="Z18" s="387"/>
      <c r="AA18" s="387"/>
      <c r="AB18" s="387"/>
      <c r="AC18" s="387"/>
      <c r="AF18" s="5"/>
    </row>
    <row r="19" spans="2:38" ht="16.5" customHeight="1">
      <c r="B19" s="384" t="s">
        <v>30</v>
      </c>
      <c r="C19" s="384"/>
      <c r="D19" s="384"/>
      <c r="E19" s="384"/>
      <c r="F19" s="384"/>
      <c r="G19" s="384"/>
      <c r="H19" s="385">
        <f>'물류비 내역서'!C7+'물류비 내역서'!Q5+'물류비 내역서'!J5</f>
        <v>4</v>
      </c>
      <c r="I19" s="385"/>
      <c r="J19" s="385"/>
      <c r="K19" s="382">
        <f>'물류비 내역서'!D7</f>
        <v>420</v>
      </c>
      <c r="L19" s="382"/>
      <c r="M19" s="382"/>
      <c r="N19" s="382"/>
      <c r="O19" s="382">
        <f t="shared" ref="O19:O27" si="0">H19*K19</f>
        <v>1680</v>
      </c>
      <c r="P19" s="382"/>
      <c r="Q19" s="382"/>
      <c r="R19" s="382"/>
      <c r="S19" s="382"/>
      <c r="T19" s="382">
        <f t="shared" ref="T19:T27" si="1">+O19*0.1</f>
        <v>168</v>
      </c>
      <c r="U19" s="382"/>
      <c r="V19" s="382"/>
      <c r="W19" s="382"/>
      <c r="X19" s="382"/>
      <c r="Y19" s="382">
        <f t="shared" ref="Y19:Y27" si="2">O19+T19</f>
        <v>1848</v>
      </c>
      <c r="Z19" s="382"/>
      <c r="AA19" s="382"/>
      <c r="AB19" s="382"/>
      <c r="AC19" s="382"/>
      <c r="AF19" s="5"/>
    </row>
    <row r="20" spans="2:38" ht="16.5" customHeight="1">
      <c r="B20" s="384" t="s">
        <v>31</v>
      </c>
      <c r="C20" s="384"/>
      <c r="D20" s="384"/>
      <c r="E20" s="384"/>
      <c r="F20" s="384"/>
      <c r="G20" s="384"/>
      <c r="H20" s="385">
        <f>'물류비 내역서'!C8+'물류비 내역서'!J6+'물류비 내역서'!Q6</f>
        <v>26173</v>
      </c>
      <c r="I20" s="385"/>
      <c r="J20" s="385"/>
      <c r="K20" s="382">
        <f>'물류비 내역서'!D8</f>
        <v>550</v>
      </c>
      <c r="L20" s="382"/>
      <c r="M20" s="382"/>
      <c r="N20" s="382"/>
      <c r="O20" s="382">
        <f t="shared" si="0"/>
        <v>14395150</v>
      </c>
      <c r="P20" s="382"/>
      <c r="Q20" s="382"/>
      <c r="R20" s="382"/>
      <c r="S20" s="382"/>
      <c r="T20" s="382">
        <f t="shared" si="1"/>
        <v>1439515</v>
      </c>
      <c r="U20" s="382"/>
      <c r="V20" s="382"/>
      <c r="W20" s="382"/>
      <c r="X20" s="382"/>
      <c r="Y20" s="382">
        <f t="shared" si="2"/>
        <v>15834665</v>
      </c>
      <c r="Z20" s="382"/>
      <c r="AA20" s="382"/>
      <c r="AB20" s="382"/>
      <c r="AC20" s="382"/>
      <c r="AL20" s="5"/>
    </row>
    <row r="21" spans="2:38" ht="16.5" customHeight="1">
      <c r="B21" s="384" t="s">
        <v>32</v>
      </c>
      <c r="C21" s="384"/>
      <c r="D21" s="384"/>
      <c r="E21" s="384"/>
      <c r="F21" s="384"/>
      <c r="G21" s="384"/>
      <c r="H21" s="385">
        <f>'물류비 내역서'!C9+'물류비 내역서'!J7+'물류비 내역서'!Q7</f>
        <v>6782</v>
      </c>
      <c r="I21" s="385"/>
      <c r="J21" s="385"/>
      <c r="K21" s="382">
        <f>'물류비 내역서'!D9</f>
        <v>650</v>
      </c>
      <c r="L21" s="382"/>
      <c r="M21" s="382"/>
      <c r="N21" s="382"/>
      <c r="O21" s="382">
        <f t="shared" si="0"/>
        <v>4408300</v>
      </c>
      <c r="P21" s="382"/>
      <c r="Q21" s="382"/>
      <c r="R21" s="382"/>
      <c r="S21" s="382"/>
      <c r="T21" s="382">
        <f t="shared" si="1"/>
        <v>440830</v>
      </c>
      <c r="U21" s="382"/>
      <c r="V21" s="382"/>
      <c r="W21" s="382"/>
      <c r="X21" s="382"/>
      <c r="Y21" s="382">
        <f t="shared" si="2"/>
        <v>4849130</v>
      </c>
      <c r="Z21" s="382"/>
      <c r="AA21" s="382"/>
      <c r="AB21" s="382"/>
      <c r="AC21" s="382"/>
      <c r="AL21" s="5"/>
    </row>
    <row r="22" spans="2:38" ht="16.5" customHeight="1">
      <c r="B22" s="384" t="s">
        <v>33</v>
      </c>
      <c r="C22" s="384"/>
      <c r="D22" s="384"/>
      <c r="E22" s="384"/>
      <c r="F22" s="384"/>
      <c r="G22" s="384"/>
      <c r="H22" s="385">
        <f>'물류비 내역서'!C10+'물류비 내역서'!J8+'물류비 내역서'!Q8</f>
        <v>4483</v>
      </c>
      <c r="I22" s="385"/>
      <c r="J22" s="385"/>
      <c r="K22" s="382">
        <f>'물류비 내역서'!D10</f>
        <v>750</v>
      </c>
      <c r="L22" s="382"/>
      <c r="M22" s="382"/>
      <c r="N22" s="382"/>
      <c r="O22" s="382">
        <f t="shared" si="0"/>
        <v>3362250</v>
      </c>
      <c r="P22" s="382"/>
      <c r="Q22" s="382"/>
      <c r="R22" s="382"/>
      <c r="S22" s="382"/>
      <c r="T22" s="382">
        <f t="shared" si="1"/>
        <v>336225</v>
      </c>
      <c r="U22" s="382"/>
      <c r="V22" s="382"/>
      <c r="W22" s="382"/>
      <c r="X22" s="382"/>
      <c r="Y22" s="382">
        <f t="shared" si="2"/>
        <v>3698475</v>
      </c>
      <c r="Z22" s="382"/>
      <c r="AA22" s="382"/>
      <c r="AB22" s="382"/>
      <c r="AC22" s="382"/>
      <c r="AH22" s="5"/>
    </row>
    <row r="23" spans="2:38" ht="17.25" customHeight="1">
      <c r="B23" s="384" t="s">
        <v>34</v>
      </c>
      <c r="C23" s="384"/>
      <c r="D23" s="384"/>
      <c r="E23" s="384"/>
      <c r="F23" s="384"/>
      <c r="G23" s="384"/>
      <c r="H23" s="385">
        <f>'물류비 내역서'!C11+'물류비 내역서'!J9+'물류비 내역서'!Q9</f>
        <v>11969</v>
      </c>
      <c r="I23" s="385"/>
      <c r="J23" s="385"/>
      <c r="K23" s="382">
        <f>'물류비 내역서'!D11</f>
        <v>1000</v>
      </c>
      <c r="L23" s="382"/>
      <c r="M23" s="382"/>
      <c r="N23" s="382"/>
      <c r="O23" s="382">
        <f t="shared" si="0"/>
        <v>11969000</v>
      </c>
      <c r="P23" s="382"/>
      <c r="Q23" s="382"/>
      <c r="R23" s="382"/>
      <c r="S23" s="382"/>
      <c r="T23" s="382">
        <f t="shared" si="1"/>
        <v>1196900</v>
      </c>
      <c r="U23" s="382"/>
      <c r="V23" s="382"/>
      <c r="W23" s="382"/>
      <c r="X23" s="382"/>
      <c r="Y23" s="382">
        <f t="shared" si="2"/>
        <v>13165900</v>
      </c>
      <c r="Z23" s="382"/>
      <c r="AA23" s="382"/>
      <c r="AB23" s="382"/>
      <c r="AC23" s="382"/>
    </row>
    <row r="24" spans="2:38" ht="16.5" customHeight="1">
      <c r="B24" s="384" t="s">
        <v>35</v>
      </c>
      <c r="C24" s="384"/>
      <c r="D24" s="384"/>
      <c r="E24" s="384"/>
      <c r="F24" s="384"/>
      <c r="G24" s="384"/>
      <c r="H24" s="385">
        <f>'물류비 내역서'!C12+'물류비 내역서'!J10+'물류비 내역서'!Q10</f>
        <v>1347</v>
      </c>
      <c r="I24" s="385"/>
      <c r="J24" s="385"/>
      <c r="K24" s="382">
        <f>'물류비 내역서'!D12</f>
        <v>1350</v>
      </c>
      <c r="L24" s="382"/>
      <c r="M24" s="382"/>
      <c r="N24" s="382"/>
      <c r="O24" s="382">
        <f t="shared" si="0"/>
        <v>1818450</v>
      </c>
      <c r="P24" s="382"/>
      <c r="Q24" s="382"/>
      <c r="R24" s="382"/>
      <c r="S24" s="382"/>
      <c r="T24" s="382">
        <f t="shared" si="1"/>
        <v>181845</v>
      </c>
      <c r="U24" s="382"/>
      <c r="V24" s="382"/>
      <c r="W24" s="382"/>
      <c r="X24" s="382"/>
      <c r="Y24" s="382">
        <f t="shared" si="2"/>
        <v>2000295</v>
      </c>
      <c r="Z24" s="382"/>
      <c r="AA24" s="382"/>
      <c r="AB24" s="382"/>
      <c r="AC24" s="382"/>
      <c r="AG24" s="5"/>
    </row>
    <row r="25" spans="2:38" ht="16.5" customHeight="1">
      <c r="B25" s="384" t="s">
        <v>36</v>
      </c>
      <c r="C25" s="384"/>
      <c r="D25" s="384"/>
      <c r="E25" s="384"/>
      <c r="F25" s="384"/>
      <c r="G25" s="384"/>
      <c r="H25" s="385">
        <f>'물류비 내역서'!C13+'물류비 내역서'!Q11</f>
        <v>580</v>
      </c>
      <c r="I25" s="385"/>
      <c r="J25" s="385"/>
      <c r="K25" s="382">
        <f>'물류비 내역서'!D13</f>
        <v>1750</v>
      </c>
      <c r="L25" s="382"/>
      <c r="M25" s="382"/>
      <c r="N25" s="382"/>
      <c r="O25" s="382">
        <f t="shared" si="0"/>
        <v>1015000</v>
      </c>
      <c r="P25" s="382"/>
      <c r="Q25" s="382"/>
      <c r="R25" s="382"/>
      <c r="S25" s="382"/>
      <c r="T25" s="382">
        <f t="shared" si="1"/>
        <v>101500</v>
      </c>
      <c r="U25" s="382"/>
      <c r="V25" s="382"/>
      <c r="W25" s="382"/>
      <c r="X25" s="382"/>
      <c r="Y25" s="382">
        <f t="shared" si="2"/>
        <v>1116500</v>
      </c>
      <c r="Z25" s="382"/>
      <c r="AA25" s="382"/>
      <c r="AB25" s="382"/>
      <c r="AC25" s="382"/>
      <c r="AG25" s="5"/>
      <c r="AI25" s="5"/>
    </row>
    <row r="26" spans="2:38" ht="16.5" customHeight="1">
      <c r="B26" s="384" t="s">
        <v>37</v>
      </c>
      <c r="C26" s="384"/>
      <c r="D26" s="384"/>
      <c r="E26" s="384"/>
      <c r="F26" s="384"/>
      <c r="G26" s="384"/>
      <c r="H26" s="385">
        <f>'물류비 내역서'!C14+'물류비 내역서'!Q12</f>
        <v>154</v>
      </c>
      <c r="I26" s="385"/>
      <c r="J26" s="385"/>
      <c r="K26" s="382">
        <f>'물류비 내역서'!D14</f>
        <v>1950</v>
      </c>
      <c r="L26" s="382"/>
      <c r="M26" s="382"/>
      <c r="N26" s="382"/>
      <c r="O26" s="382">
        <f t="shared" si="0"/>
        <v>300300</v>
      </c>
      <c r="P26" s="382"/>
      <c r="Q26" s="382"/>
      <c r="R26" s="382"/>
      <c r="S26" s="382"/>
      <c r="T26" s="382">
        <f t="shared" si="1"/>
        <v>30030</v>
      </c>
      <c r="U26" s="382"/>
      <c r="V26" s="382"/>
      <c r="W26" s="382"/>
      <c r="X26" s="382"/>
      <c r="Y26" s="382">
        <f t="shared" si="2"/>
        <v>330330</v>
      </c>
      <c r="Z26" s="382"/>
      <c r="AA26" s="382"/>
      <c r="AB26" s="382"/>
      <c r="AC26" s="382"/>
      <c r="AG26" s="5"/>
    </row>
    <row r="27" spans="2:38" ht="16.5" customHeight="1">
      <c r="B27" s="384" t="s">
        <v>38</v>
      </c>
      <c r="C27" s="384"/>
      <c r="D27" s="384"/>
      <c r="E27" s="384"/>
      <c r="F27" s="384"/>
      <c r="G27" s="384"/>
      <c r="H27" s="385">
        <f>'물류비 내역서'!C15+'물류비 내역서'!Q13</f>
        <v>84</v>
      </c>
      <c r="I27" s="385"/>
      <c r="J27" s="385"/>
      <c r="K27" s="382">
        <f>'물류비 내역서'!D15</f>
        <v>2500</v>
      </c>
      <c r="L27" s="382"/>
      <c r="M27" s="382"/>
      <c r="N27" s="382"/>
      <c r="O27" s="382">
        <f t="shared" si="0"/>
        <v>210000</v>
      </c>
      <c r="P27" s="382"/>
      <c r="Q27" s="382"/>
      <c r="R27" s="382"/>
      <c r="S27" s="382"/>
      <c r="T27" s="382">
        <f t="shared" si="1"/>
        <v>21000</v>
      </c>
      <c r="U27" s="382"/>
      <c r="V27" s="382"/>
      <c r="W27" s="382"/>
      <c r="X27" s="382"/>
      <c r="Y27" s="382">
        <f t="shared" si="2"/>
        <v>231000</v>
      </c>
      <c r="Z27" s="382"/>
      <c r="AA27" s="382"/>
      <c r="AB27" s="382"/>
      <c r="AC27" s="382"/>
      <c r="AG27" s="5"/>
    </row>
    <row r="28" spans="2:38" ht="16.5" customHeight="1">
      <c r="B28" s="384" t="s">
        <v>39</v>
      </c>
      <c r="C28" s="384"/>
      <c r="D28" s="384"/>
      <c r="E28" s="384"/>
      <c r="F28" s="384"/>
      <c r="G28" s="384"/>
      <c r="H28" s="385">
        <f>'물류비 내역서'!C16+'물류비 내역서'!J11+'물류비 내역서'!Q14</f>
        <v>6268</v>
      </c>
      <c r="I28" s="385"/>
      <c r="J28" s="385"/>
      <c r="K28" s="382">
        <f>'물류비 내역서'!D16</f>
        <v>210</v>
      </c>
      <c r="L28" s="382"/>
      <c r="M28" s="382"/>
      <c r="N28" s="382"/>
      <c r="O28" s="382">
        <f t="shared" ref="O28:O33" si="3">H28*K28</f>
        <v>1316280</v>
      </c>
      <c r="P28" s="382"/>
      <c r="Q28" s="382"/>
      <c r="R28" s="382"/>
      <c r="S28" s="382"/>
      <c r="T28" s="382">
        <f t="shared" ref="T28:T33" si="4">+O28*0.1</f>
        <v>131628</v>
      </c>
      <c r="U28" s="382"/>
      <c r="V28" s="382"/>
      <c r="W28" s="382"/>
      <c r="X28" s="382"/>
      <c r="Y28" s="382">
        <f t="shared" ref="Y28:Y33" si="5">O28+T28</f>
        <v>1447908</v>
      </c>
      <c r="Z28" s="382"/>
      <c r="AA28" s="382"/>
      <c r="AB28" s="382"/>
      <c r="AC28" s="382"/>
      <c r="AG28" s="5"/>
    </row>
    <row r="29" spans="2:38" ht="16.5" customHeight="1">
      <c r="B29" s="384" t="s">
        <v>40</v>
      </c>
      <c r="C29" s="384"/>
      <c r="D29" s="384"/>
      <c r="E29" s="384"/>
      <c r="F29" s="384"/>
      <c r="G29" s="384"/>
      <c r="H29" s="385">
        <f>'물류비 내역서'!C17+'물류비 내역서'!J12+'물류비 내역서'!Q15</f>
        <v>719</v>
      </c>
      <c r="I29" s="385"/>
      <c r="J29" s="385"/>
      <c r="K29" s="382">
        <f>'물류비 내역서'!D17</f>
        <v>330</v>
      </c>
      <c r="L29" s="382"/>
      <c r="M29" s="382"/>
      <c r="N29" s="382"/>
      <c r="O29" s="382">
        <f t="shared" si="3"/>
        <v>237270</v>
      </c>
      <c r="P29" s="382"/>
      <c r="Q29" s="382"/>
      <c r="R29" s="382"/>
      <c r="S29" s="382"/>
      <c r="T29" s="382">
        <f t="shared" si="4"/>
        <v>23727</v>
      </c>
      <c r="U29" s="382"/>
      <c r="V29" s="382"/>
      <c r="W29" s="382"/>
      <c r="X29" s="382"/>
      <c r="Y29" s="382">
        <f t="shared" si="5"/>
        <v>260997</v>
      </c>
      <c r="Z29" s="382"/>
      <c r="AA29" s="382"/>
      <c r="AB29" s="382"/>
      <c r="AC29" s="382"/>
      <c r="AG29" s="5"/>
    </row>
    <row r="30" spans="2:38" ht="16.5" customHeight="1">
      <c r="B30" s="384" t="s">
        <v>41</v>
      </c>
      <c r="C30" s="384"/>
      <c r="D30" s="384"/>
      <c r="E30" s="384"/>
      <c r="F30" s="384"/>
      <c r="G30" s="384"/>
      <c r="H30" s="391">
        <f>'물류비 내역서'!C18+'물류비 내역서'!J13+'물류비 내역서'!Q16</f>
        <v>0</v>
      </c>
      <c r="I30" s="392"/>
      <c r="J30" s="393"/>
      <c r="K30" s="382">
        <f>'물류비 내역서'!D18</f>
        <v>370</v>
      </c>
      <c r="L30" s="382"/>
      <c r="M30" s="382"/>
      <c r="N30" s="382"/>
      <c r="O30" s="382">
        <f>H30*K30</f>
        <v>0</v>
      </c>
      <c r="P30" s="382"/>
      <c r="Q30" s="382"/>
      <c r="R30" s="382"/>
      <c r="S30" s="382"/>
      <c r="T30" s="382">
        <f>+O30*0.1</f>
        <v>0</v>
      </c>
      <c r="U30" s="382"/>
      <c r="V30" s="382"/>
      <c r="W30" s="382"/>
      <c r="X30" s="382"/>
      <c r="Y30" s="382">
        <f>O30+T30</f>
        <v>0</v>
      </c>
      <c r="Z30" s="382"/>
      <c r="AA30" s="382"/>
      <c r="AB30" s="382"/>
      <c r="AC30" s="382"/>
      <c r="AG30" s="5"/>
    </row>
    <row r="31" spans="2:38" ht="16.5" customHeight="1">
      <c r="B31" s="384" t="s">
        <v>42</v>
      </c>
      <c r="C31" s="384"/>
      <c r="D31" s="384"/>
      <c r="E31" s="384"/>
      <c r="F31" s="384"/>
      <c r="G31" s="384"/>
      <c r="H31" s="385">
        <f>'물류비 내역서'!C19+'물류비 내역서'!J14+'물류비 내역서'!Q17</f>
        <v>154</v>
      </c>
      <c r="I31" s="385"/>
      <c r="J31" s="385"/>
      <c r="K31" s="382">
        <f>'물류비 내역서'!D19</f>
        <v>540</v>
      </c>
      <c r="L31" s="382"/>
      <c r="M31" s="382"/>
      <c r="N31" s="382"/>
      <c r="O31" s="382">
        <f t="shared" si="3"/>
        <v>83160</v>
      </c>
      <c r="P31" s="382"/>
      <c r="Q31" s="382"/>
      <c r="R31" s="382"/>
      <c r="S31" s="382"/>
      <c r="T31" s="382">
        <f t="shared" si="4"/>
        <v>8316</v>
      </c>
      <c r="U31" s="382"/>
      <c r="V31" s="382"/>
      <c r="W31" s="382"/>
      <c r="X31" s="382"/>
      <c r="Y31" s="382">
        <f t="shared" si="5"/>
        <v>91476</v>
      </c>
      <c r="Z31" s="382"/>
      <c r="AA31" s="382"/>
      <c r="AB31" s="382"/>
      <c r="AC31" s="382"/>
      <c r="AG31" s="5"/>
    </row>
    <row r="32" spans="2:38" ht="16.5" customHeight="1">
      <c r="B32" s="384" t="s">
        <v>43</v>
      </c>
      <c r="C32" s="384"/>
      <c r="D32" s="384"/>
      <c r="E32" s="384"/>
      <c r="F32" s="384"/>
      <c r="G32" s="384"/>
      <c r="H32" s="385">
        <f>'물류비 내역서'!C20+'물류비 내역서'!Q18</f>
        <v>3</v>
      </c>
      <c r="I32" s="385"/>
      <c r="J32" s="385"/>
      <c r="K32" s="382">
        <f>'물류비 내역서'!D20</f>
        <v>700</v>
      </c>
      <c r="L32" s="382"/>
      <c r="M32" s="382"/>
      <c r="N32" s="382"/>
      <c r="O32" s="382">
        <f t="shared" si="3"/>
        <v>2100</v>
      </c>
      <c r="P32" s="382"/>
      <c r="Q32" s="382"/>
      <c r="R32" s="382"/>
      <c r="S32" s="382"/>
      <c r="T32" s="382">
        <f t="shared" si="4"/>
        <v>210</v>
      </c>
      <c r="U32" s="382"/>
      <c r="V32" s="382"/>
      <c r="W32" s="382"/>
      <c r="X32" s="382"/>
      <c r="Y32" s="382">
        <f t="shared" si="5"/>
        <v>2310</v>
      </c>
      <c r="Z32" s="382"/>
      <c r="AA32" s="382"/>
      <c r="AB32" s="382"/>
      <c r="AC32" s="382"/>
      <c r="AG32" s="5"/>
    </row>
    <row r="33" spans="2:33" ht="16.5" customHeight="1">
      <c r="B33" s="384" t="s">
        <v>44</v>
      </c>
      <c r="C33" s="384"/>
      <c r="D33" s="384"/>
      <c r="E33" s="384"/>
      <c r="F33" s="384"/>
      <c r="G33" s="384"/>
      <c r="H33" s="385">
        <f>'물류비 내역서'!C21+'물류비 내역서'!Q19</f>
        <v>0</v>
      </c>
      <c r="I33" s="385"/>
      <c r="J33" s="385"/>
      <c r="K33" s="382">
        <f>'물류비 내역서'!D21</f>
        <v>1100</v>
      </c>
      <c r="L33" s="382"/>
      <c r="M33" s="382"/>
      <c r="N33" s="382"/>
      <c r="O33" s="382">
        <f t="shared" si="3"/>
        <v>0</v>
      </c>
      <c r="P33" s="382"/>
      <c r="Q33" s="382"/>
      <c r="R33" s="382"/>
      <c r="S33" s="382"/>
      <c r="T33" s="382">
        <f t="shared" si="4"/>
        <v>0</v>
      </c>
      <c r="U33" s="382"/>
      <c r="V33" s="382"/>
      <c r="W33" s="382"/>
      <c r="X33" s="382"/>
      <c r="Y33" s="382">
        <f t="shared" si="5"/>
        <v>0</v>
      </c>
      <c r="Z33" s="382"/>
      <c r="AA33" s="382"/>
      <c r="AB33" s="382"/>
      <c r="AC33" s="382"/>
      <c r="AG33" s="5"/>
    </row>
    <row r="34" spans="2:33" ht="16.5" customHeight="1">
      <c r="B34" s="383" t="s">
        <v>45</v>
      </c>
      <c r="C34" s="384"/>
      <c r="D34" s="384"/>
      <c r="E34" s="384"/>
      <c r="F34" s="384"/>
      <c r="G34" s="384"/>
      <c r="H34" s="385">
        <f>'물류비 내역서'!C22+'물류비 내역서'!J15+'물류비 내역서'!Q20</f>
        <v>38030</v>
      </c>
      <c r="I34" s="385"/>
      <c r="J34" s="385"/>
      <c r="K34" s="382">
        <v>150</v>
      </c>
      <c r="L34" s="382"/>
      <c r="M34" s="382"/>
      <c r="N34" s="382"/>
      <c r="O34" s="382">
        <f t="shared" ref="O34:O41" si="6">H34*K34</f>
        <v>5704500</v>
      </c>
      <c r="P34" s="382"/>
      <c r="Q34" s="382"/>
      <c r="R34" s="382"/>
      <c r="S34" s="382"/>
      <c r="T34" s="382">
        <f t="shared" ref="T34:T41" si="7">+O34*0.1</f>
        <v>570450</v>
      </c>
      <c r="U34" s="382"/>
      <c r="V34" s="382"/>
      <c r="W34" s="382"/>
      <c r="X34" s="382"/>
      <c r="Y34" s="382">
        <f t="shared" ref="Y34:Y41" si="8">O34+T34</f>
        <v>6274950</v>
      </c>
      <c r="Z34" s="382"/>
      <c r="AA34" s="382"/>
      <c r="AB34" s="382"/>
      <c r="AC34" s="382"/>
      <c r="AG34" s="5"/>
    </row>
    <row r="35" spans="2:33" ht="16.5" customHeight="1">
      <c r="B35" s="383" t="s">
        <v>46</v>
      </c>
      <c r="C35" s="384"/>
      <c r="D35" s="384"/>
      <c r="E35" s="384"/>
      <c r="F35" s="384"/>
      <c r="G35" s="384"/>
      <c r="H35" s="385">
        <f>'물류비 내역서'!C23+'물류비 내역서'!J16+'물류비 내역서'!Q21</f>
        <v>30995</v>
      </c>
      <c r="I35" s="385"/>
      <c r="J35" s="385"/>
      <c r="K35" s="382">
        <v>250</v>
      </c>
      <c r="L35" s="382"/>
      <c r="M35" s="382"/>
      <c r="N35" s="382"/>
      <c r="O35" s="382">
        <f t="shared" si="6"/>
        <v>7748750</v>
      </c>
      <c r="P35" s="382"/>
      <c r="Q35" s="382"/>
      <c r="R35" s="382"/>
      <c r="S35" s="382"/>
      <c r="T35" s="382">
        <f t="shared" si="7"/>
        <v>774875</v>
      </c>
      <c r="U35" s="382"/>
      <c r="V35" s="382"/>
      <c r="W35" s="382"/>
      <c r="X35" s="382"/>
      <c r="Y35" s="382">
        <f t="shared" si="8"/>
        <v>8523625</v>
      </c>
      <c r="Z35" s="382"/>
      <c r="AA35" s="382"/>
      <c r="AB35" s="382"/>
      <c r="AC35" s="382"/>
      <c r="AG35" s="5"/>
    </row>
    <row r="36" spans="2:33" ht="16.5" customHeight="1">
      <c r="B36" s="383" t="str">
        <f>'물류비 내역서'!B25</f>
        <v>드라이아이스</v>
      </c>
      <c r="C36" s="384"/>
      <c r="D36" s="384"/>
      <c r="E36" s="384"/>
      <c r="F36" s="384"/>
      <c r="G36" s="384"/>
      <c r="H36" s="385">
        <f>'물류비 내역서'!C25+'물류비 내역서'!J18+'물류비 내역서'!Q22</f>
        <v>0</v>
      </c>
      <c r="I36" s="385"/>
      <c r="J36" s="385"/>
      <c r="K36" s="382">
        <v>480</v>
      </c>
      <c r="L36" s="382"/>
      <c r="M36" s="382"/>
      <c r="N36" s="382"/>
      <c r="O36" s="382">
        <f t="shared" si="6"/>
        <v>0</v>
      </c>
      <c r="P36" s="382"/>
      <c r="Q36" s="382"/>
      <c r="R36" s="382"/>
      <c r="S36" s="382"/>
      <c r="T36" s="382">
        <f t="shared" si="7"/>
        <v>0</v>
      </c>
      <c r="U36" s="382"/>
      <c r="V36" s="382"/>
      <c r="W36" s="382"/>
      <c r="X36" s="382"/>
      <c r="Y36" s="382">
        <f t="shared" si="8"/>
        <v>0</v>
      </c>
      <c r="Z36" s="382"/>
      <c r="AA36" s="382"/>
      <c r="AB36" s="382"/>
      <c r="AC36" s="382"/>
      <c r="AG36" s="5"/>
    </row>
    <row r="37" spans="2:33" ht="16.5" customHeight="1">
      <c r="B37" s="383" t="s">
        <v>47</v>
      </c>
      <c r="C37" s="384"/>
      <c r="D37" s="384"/>
      <c r="E37" s="384"/>
      <c r="F37" s="384"/>
      <c r="G37" s="384"/>
      <c r="H37" s="385">
        <f>'물류비 내역서'!C24+'물류비 내역서'!J17+'물류비 내역서'!Q23</f>
        <v>125512</v>
      </c>
      <c r="I37" s="385"/>
      <c r="J37" s="385"/>
      <c r="K37" s="382">
        <v>250</v>
      </c>
      <c r="L37" s="382"/>
      <c r="M37" s="382"/>
      <c r="N37" s="382"/>
      <c r="O37" s="382">
        <f t="shared" si="6"/>
        <v>31378000</v>
      </c>
      <c r="P37" s="382"/>
      <c r="Q37" s="382"/>
      <c r="R37" s="382"/>
      <c r="S37" s="382"/>
      <c r="T37" s="382">
        <f t="shared" si="7"/>
        <v>3137800</v>
      </c>
      <c r="U37" s="382"/>
      <c r="V37" s="382"/>
      <c r="W37" s="382"/>
      <c r="X37" s="382"/>
      <c r="Y37" s="382">
        <f t="shared" si="8"/>
        <v>34515800</v>
      </c>
      <c r="Z37" s="382"/>
      <c r="AA37" s="382"/>
      <c r="AB37" s="382"/>
      <c r="AC37" s="382"/>
      <c r="AG37" s="5"/>
    </row>
    <row r="38" spans="2:33" ht="16.5" customHeight="1">
      <c r="B38" s="383" t="s">
        <v>48</v>
      </c>
      <c r="C38" s="384"/>
      <c r="D38" s="384"/>
      <c r="E38" s="384"/>
      <c r="F38" s="384"/>
      <c r="G38" s="384"/>
      <c r="H38" s="385">
        <f>'물류비 내역서'!C27+'물류비 내역서'!Q24</f>
        <v>1969</v>
      </c>
      <c r="I38" s="385"/>
      <c r="J38" s="385"/>
      <c r="K38" s="382">
        <v>60</v>
      </c>
      <c r="L38" s="382"/>
      <c r="M38" s="382"/>
      <c r="N38" s="382"/>
      <c r="O38" s="382">
        <f t="shared" si="6"/>
        <v>118140</v>
      </c>
      <c r="P38" s="382"/>
      <c r="Q38" s="382"/>
      <c r="R38" s="382"/>
      <c r="S38" s="382"/>
      <c r="T38" s="382">
        <f t="shared" si="7"/>
        <v>11814</v>
      </c>
      <c r="U38" s="382"/>
      <c r="V38" s="382"/>
      <c r="W38" s="382"/>
      <c r="X38" s="382"/>
      <c r="Y38" s="382">
        <f t="shared" si="8"/>
        <v>129954</v>
      </c>
      <c r="Z38" s="382"/>
      <c r="AA38" s="382"/>
      <c r="AB38" s="382"/>
      <c r="AC38" s="382"/>
      <c r="AG38" s="5"/>
    </row>
    <row r="39" spans="2:33" ht="16.5" customHeight="1">
      <c r="B39" s="383" t="s">
        <v>49</v>
      </c>
      <c r="C39" s="384"/>
      <c r="D39" s="384"/>
      <c r="E39" s="384"/>
      <c r="F39" s="384"/>
      <c r="G39" s="384"/>
      <c r="H39" s="385">
        <f>'물류비 내역서'!C28+'물류비 내역서'!Q25</f>
        <v>27</v>
      </c>
      <c r="I39" s="385"/>
      <c r="J39" s="385"/>
      <c r="K39" s="382">
        <v>100</v>
      </c>
      <c r="L39" s="382"/>
      <c r="M39" s="382"/>
      <c r="N39" s="382"/>
      <c r="O39" s="382">
        <f t="shared" si="6"/>
        <v>2700</v>
      </c>
      <c r="P39" s="382"/>
      <c r="Q39" s="382"/>
      <c r="R39" s="382"/>
      <c r="S39" s="382"/>
      <c r="T39" s="382">
        <f t="shared" si="7"/>
        <v>270</v>
      </c>
      <c r="U39" s="382"/>
      <c r="V39" s="382"/>
      <c r="W39" s="382"/>
      <c r="X39" s="382"/>
      <c r="Y39" s="382">
        <f t="shared" si="8"/>
        <v>2970</v>
      </c>
      <c r="Z39" s="382"/>
      <c r="AA39" s="382"/>
      <c r="AB39" s="382"/>
      <c r="AC39" s="382"/>
      <c r="AG39" s="5"/>
    </row>
    <row r="40" spans="2:33" ht="16.5" customHeight="1">
      <c r="B40" s="383" t="s">
        <v>50</v>
      </c>
      <c r="C40" s="384"/>
      <c r="D40" s="384"/>
      <c r="E40" s="384"/>
      <c r="F40" s="384"/>
      <c r="G40" s="384"/>
      <c r="H40" s="391">
        <f>일반!AR36</f>
        <v>0</v>
      </c>
      <c r="I40" s="392"/>
      <c r="J40" s="393"/>
      <c r="K40" s="388">
        <v>100</v>
      </c>
      <c r="L40" s="389"/>
      <c r="M40" s="389"/>
      <c r="N40" s="390"/>
      <c r="O40" s="382">
        <f t="shared" ref="O40" si="9">H40*K40</f>
        <v>0</v>
      </c>
      <c r="P40" s="382"/>
      <c r="Q40" s="382"/>
      <c r="R40" s="382"/>
      <c r="S40" s="382"/>
      <c r="T40" s="382">
        <f t="shared" ref="T40" si="10">+O40*0.1</f>
        <v>0</v>
      </c>
      <c r="U40" s="382"/>
      <c r="V40" s="382"/>
      <c r="W40" s="382"/>
      <c r="X40" s="382"/>
      <c r="Y40" s="382">
        <f t="shared" ref="Y40" si="11">O40+T40</f>
        <v>0</v>
      </c>
      <c r="Z40" s="382"/>
      <c r="AA40" s="382"/>
      <c r="AB40" s="382"/>
      <c r="AC40" s="382"/>
      <c r="AG40" s="5"/>
    </row>
    <row r="41" spans="2:33" ht="16.5" customHeight="1">
      <c r="B41" s="383" t="str">
        <f>'물류비 내역서'!B29</f>
        <v>신선테이핑 작업</v>
      </c>
      <c r="C41" s="384"/>
      <c r="D41" s="384"/>
      <c r="E41" s="384"/>
      <c r="F41" s="384"/>
      <c r="G41" s="384"/>
      <c r="H41" s="385">
        <f>'물류비 내역서'!C29+'물류비 내역서'!Q27</f>
        <v>42</v>
      </c>
      <c r="I41" s="385"/>
      <c r="J41" s="385"/>
      <c r="K41" s="382">
        <v>150</v>
      </c>
      <c r="L41" s="382"/>
      <c r="M41" s="382"/>
      <c r="N41" s="382"/>
      <c r="O41" s="382">
        <f t="shared" si="6"/>
        <v>6300</v>
      </c>
      <c r="P41" s="382"/>
      <c r="Q41" s="382"/>
      <c r="R41" s="382"/>
      <c r="S41" s="382"/>
      <c r="T41" s="382">
        <f t="shared" si="7"/>
        <v>630</v>
      </c>
      <c r="U41" s="382"/>
      <c r="V41" s="382"/>
      <c r="W41" s="382"/>
      <c r="X41" s="382"/>
      <c r="Y41" s="382">
        <f t="shared" si="8"/>
        <v>6930</v>
      </c>
      <c r="Z41" s="382"/>
      <c r="AA41" s="382"/>
      <c r="AB41" s="382"/>
      <c r="AC41" s="382"/>
      <c r="AG41" s="5"/>
    </row>
    <row r="42" spans="2:33" ht="16.5" customHeight="1">
      <c r="B42" s="394" t="s">
        <v>51</v>
      </c>
      <c r="C42" s="394"/>
      <c r="D42" s="394"/>
      <c r="E42" s="394"/>
      <c r="F42" s="394"/>
      <c r="G42" s="394"/>
      <c r="H42" s="394"/>
      <c r="I42" s="394"/>
      <c r="J42" s="394"/>
      <c r="K42" s="394"/>
      <c r="L42" s="394"/>
      <c r="M42" s="394"/>
      <c r="N42" s="394"/>
      <c r="O42" s="395">
        <f>SUM(O19:S41)</f>
        <v>84077330</v>
      </c>
      <c r="P42" s="394"/>
      <c r="Q42" s="394"/>
      <c r="R42" s="394"/>
      <c r="S42" s="394"/>
      <c r="T42" s="395">
        <f>SUM(T19:X41)</f>
        <v>8407733</v>
      </c>
      <c r="U42" s="394"/>
      <c r="V42" s="394"/>
      <c r="W42" s="394"/>
      <c r="X42" s="394"/>
      <c r="Y42" s="395">
        <f>SUM(Y19:AC41)</f>
        <v>92485063</v>
      </c>
      <c r="Z42" s="394"/>
      <c r="AA42" s="394"/>
      <c r="AB42" s="394"/>
      <c r="AC42" s="394"/>
    </row>
    <row r="43" spans="2:33" ht="16.5" customHeight="1">
      <c r="B43" s="384" t="s">
        <v>52</v>
      </c>
      <c r="C43" s="384"/>
      <c r="D43" s="384"/>
      <c r="E43" s="384"/>
      <c r="F43" s="384"/>
      <c r="G43" s="384"/>
      <c r="H43" s="385">
        <f>'물류비 내역서'!C30+'물류비 내역서'!Q28</f>
        <v>20767</v>
      </c>
      <c r="I43" s="385"/>
      <c r="J43" s="385"/>
      <c r="K43" s="382">
        <v>900</v>
      </c>
      <c r="L43" s="382"/>
      <c r="M43" s="382"/>
      <c r="N43" s="382"/>
      <c r="O43" s="382">
        <f t="shared" ref="O43:O48" si="12">H43*K43</f>
        <v>18690300</v>
      </c>
      <c r="P43" s="382"/>
      <c r="Q43" s="382"/>
      <c r="R43" s="382"/>
      <c r="S43" s="382"/>
      <c r="T43" s="382">
        <f t="shared" ref="T43:T48" si="13">+O43*0.1</f>
        <v>1869030</v>
      </c>
      <c r="U43" s="382"/>
      <c r="V43" s="382"/>
      <c r="W43" s="382"/>
      <c r="X43" s="382"/>
      <c r="Y43" s="382">
        <f t="shared" ref="Y43:Y48" si="14">O43+T43</f>
        <v>20559330</v>
      </c>
      <c r="Z43" s="382"/>
      <c r="AA43" s="382"/>
      <c r="AB43" s="382"/>
      <c r="AC43" s="382"/>
      <c r="AF43" s="277"/>
      <c r="AG43" s="5"/>
    </row>
    <row r="44" spans="2:33" ht="16.5" customHeight="1">
      <c r="B44" s="384" t="s">
        <v>53</v>
      </c>
      <c r="C44" s="384"/>
      <c r="D44" s="384"/>
      <c r="E44" s="384"/>
      <c r="F44" s="384"/>
      <c r="G44" s="384"/>
      <c r="H44" s="385">
        <f>'물류비 내역서'!C31+'물류비 내역서'!J19+'물류비 내역서'!Q29</f>
        <v>38060</v>
      </c>
      <c r="I44" s="385"/>
      <c r="J44" s="385"/>
      <c r="K44" s="382">
        <v>450</v>
      </c>
      <c r="L44" s="382"/>
      <c r="M44" s="382"/>
      <c r="N44" s="382"/>
      <c r="O44" s="382">
        <f t="shared" si="12"/>
        <v>17127000</v>
      </c>
      <c r="P44" s="382"/>
      <c r="Q44" s="382"/>
      <c r="R44" s="382"/>
      <c r="S44" s="382"/>
      <c r="T44" s="382">
        <f t="shared" si="13"/>
        <v>1712700</v>
      </c>
      <c r="U44" s="382"/>
      <c r="V44" s="382"/>
      <c r="W44" s="382"/>
      <c r="X44" s="382"/>
      <c r="Y44" s="382">
        <f t="shared" si="14"/>
        <v>18839700</v>
      </c>
      <c r="Z44" s="382"/>
      <c r="AA44" s="382"/>
      <c r="AB44" s="382"/>
      <c r="AC44" s="382"/>
      <c r="AF44" s="277"/>
      <c r="AG44" s="5"/>
    </row>
    <row r="45" spans="2:33" ht="16.5" customHeight="1">
      <c r="B45" s="383" t="str">
        <f>'물류비 내역서'!B32</f>
        <v>작업료_부직포세트</v>
      </c>
      <c r="C45" s="384"/>
      <c r="D45" s="384"/>
      <c r="E45" s="384"/>
      <c r="F45" s="384"/>
      <c r="G45" s="384"/>
      <c r="H45" s="385">
        <f>'물류비 내역서'!C32+'물류비 내역서'!Q30</f>
        <v>12</v>
      </c>
      <c r="I45" s="385"/>
      <c r="J45" s="385"/>
      <c r="K45" s="382">
        <v>700</v>
      </c>
      <c r="L45" s="382"/>
      <c r="M45" s="382"/>
      <c r="N45" s="382"/>
      <c r="O45" s="382">
        <f>H45*K45</f>
        <v>8400</v>
      </c>
      <c r="P45" s="382"/>
      <c r="Q45" s="382"/>
      <c r="R45" s="382"/>
      <c r="S45" s="382"/>
      <c r="T45" s="382">
        <f>+O45*0.1</f>
        <v>840</v>
      </c>
      <c r="U45" s="382"/>
      <c r="V45" s="382"/>
      <c r="W45" s="382"/>
      <c r="X45" s="382"/>
      <c r="Y45" s="382">
        <f>O45+T45</f>
        <v>9240</v>
      </c>
      <c r="Z45" s="382"/>
      <c r="AA45" s="382"/>
      <c r="AB45" s="382"/>
      <c r="AC45" s="382"/>
      <c r="AF45" s="277"/>
      <c r="AG45" s="5"/>
    </row>
    <row r="46" spans="2:33" ht="16.5" customHeight="1">
      <c r="B46" s="384" t="s">
        <v>54</v>
      </c>
      <c r="C46" s="384"/>
      <c r="D46" s="384"/>
      <c r="E46" s="384"/>
      <c r="F46" s="384"/>
      <c r="G46" s="384"/>
      <c r="H46" s="385">
        <f>'물류비 내역서'!C33+'물류비 내역서'!J30+'물류비 내역서'!Q31</f>
        <v>2035</v>
      </c>
      <c r="I46" s="385"/>
      <c r="J46" s="385"/>
      <c r="K46" s="382">
        <v>600</v>
      </c>
      <c r="L46" s="382"/>
      <c r="M46" s="382"/>
      <c r="N46" s="382"/>
      <c r="O46" s="382">
        <f t="shared" si="12"/>
        <v>1221000</v>
      </c>
      <c r="P46" s="382"/>
      <c r="Q46" s="382"/>
      <c r="R46" s="382"/>
      <c r="S46" s="382"/>
      <c r="T46" s="382">
        <f t="shared" si="13"/>
        <v>122100</v>
      </c>
      <c r="U46" s="382"/>
      <c r="V46" s="382"/>
      <c r="W46" s="382"/>
      <c r="X46" s="382"/>
      <c r="Y46" s="382">
        <f t="shared" si="14"/>
        <v>1343100</v>
      </c>
      <c r="Z46" s="382"/>
      <c r="AA46" s="382"/>
      <c r="AB46" s="382"/>
      <c r="AC46" s="382"/>
      <c r="AG46" s="5"/>
    </row>
    <row r="47" spans="2:33" ht="16.5" customHeight="1">
      <c r="B47" s="383" t="str">
        <f>'물류비 내역서'!B34</f>
        <v>작업료_조립폴리</v>
      </c>
      <c r="C47" s="384"/>
      <c r="D47" s="384"/>
      <c r="E47" s="384"/>
      <c r="F47" s="384"/>
      <c r="G47" s="384"/>
      <c r="H47" s="385">
        <f>'물류비 내역서'!C34</f>
        <v>0</v>
      </c>
      <c r="I47" s="385"/>
      <c r="J47" s="385"/>
      <c r="K47" s="382">
        <v>950</v>
      </c>
      <c r="L47" s="382"/>
      <c r="M47" s="382"/>
      <c r="N47" s="382"/>
      <c r="O47" s="382">
        <f>H47*K47</f>
        <v>0</v>
      </c>
      <c r="P47" s="382"/>
      <c r="Q47" s="382"/>
      <c r="R47" s="382"/>
      <c r="S47" s="382"/>
      <c r="T47" s="382">
        <f>+O47*0.1</f>
        <v>0</v>
      </c>
      <c r="U47" s="382"/>
      <c r="V47" s="382"/>
      <c r="W47" s="382"/>
      <c r="X47" s="382"/>
      <c r="Y47" s="382">
        <f>O47+T47</f>
        <v>0</v>
      </c>
      <c r="Z47" s="382"/>
      <c r="AA47" s="382"/>
      <c r="AB47" s="382"/>
      <c r="AC47" s="382"/>
      <c r="AG47" s="5"/>
    </row>
    <row r="48" spans="2:33" ht="16.5" customHeight="1">
      <c r="B48" s="384" t="s">
        <v>55</v>
      </c>
      <c r="C48" s="384"/>
      <c r="D48" s="384"/>
      <c r="E48" s="384"/>
      <c r="F48" s="384"/>
      <c r="G48" s="384"/>
      <c r="H48" s="385">
        <f>'물류비 내역서'!J31</f>
        <v>2091</v>
      </c>
      <c r="I48" s="385"/>
      <c r="J48" s="385"/>
      <c r="K48" s="382">
        <v>100</v>
      </c>
      <c r="L48" s="382"/>
      <c r="M48" s="382"/>
      <c r="N48" s="382"/>
      <c r="O48" s="382">
        <f t="shared" si="12"/>
        <v>209100</v>
      </c>
      <c r="P48" s="382"/>
      <c r="Q48" s="382"/>
      <c r="R48" s="382"/>
      <c r="S48" s="382"/>
      <c r="T48" s="382">
        <f t="shared" si="13"/>
        <v>20910</v>
      </c>
      <c r="U48" s="382"/>
      <c r="V48" s="382"/>
      <c r="W48" s="382"/>
      <c r="X48" s="382"/>
      <c r="Y48" s="382">
        <f t="shared" si="14"/>
        <v>230010</v>
      </c>
      <c r="Z48" s="382"/>
      <c r="AA48" s="382"/>
      <c r="AB48" s="382"/>
      <c r="AC48" s="382"/>
      <c r="AF48" s="277"/>
      <c r="AG48" s="5"/>
    </row>
    <row r="49" spans="2:34" ht="16.5" customHeight="1">
      <c r="B49" s="383" t="str">
        <f>'물류비 내역서'!B35</f>
        <v>작업료_해체비</v>
      </c>
      <c r="C49" s="384"/>
      <c r="D49" s="384"/>
      <c r="E49" s="384"/>
      <c r="F49" s="384"/>
      <c r="G49" s="384"/>
      <c r="H49" s="385">
        <f>'물류비 내역서'!C35</f>
        <v>0</v>
      </c>
      <c r="I49" s="385"/>
      <c r="J49" s="385"/>
      <c r="K49" s="382">
        <v>550</v>
      </c>
      <c r="L49" s="382"/>
      <c r="M49" s="382"/>
      <c r="N49" s="382"/>
      <c r="O49" s="382">
        <f>H49*K49</f>
        <v>0</v>
      </c>
      <c r="P49" s="382"/>
      <c r="Q49" s="382"/>
      <c r="R49" s="382"/>
      <c r="S49" s="382"/>
      <c r="T49" s="382">
        <f>+O49*0.1</f>
        <v>0</v>
      </c>
      <c r="U49" s="382"/>
      <c r="V49" s="382"/>
      <c r="W49" s="382"/>
      <c r="X49" s="382"/>
      <c r="Y49" s="382">
        <f>O49+T49</f>
        <v>0</v>
      </c>
      <c r="Z49" s="382"/>
      <c r="AA49" s="382"/>
      <c r="AB49" s="382"/>
      <c r="AC49" s="382"/>
      <c r="AG49" s="5"/>
    </row>
    <row r="50" spans="2:34" ht="16.5" customHeight="1">
      <c r="B50" s="384" t="str">
        <f>'물류비 내역서'!B46</f>
        <v>입고비_Pallet</v>
      </c>
      <c r="C50" s="384"/>
      <c r="D50" s="384"/>
      <c r="E50" s="384"/>
      <c r="F50" s="384"/>
      <c r="G50" s="384"/>
      <c r="H50" s="385">
        <f>'물류비 내역서'!C46</f>
        <v>422</v>
      </c>
      <c r="I50" s="385"/>
      <c r="J50" s="385"/>
      <c r="K50" s="382">
        <f>'물류비 내역서'!D46</f>
        <v>2500</v>
      </c>
      <c r="L50" s="382"/>
      <c r="M50" s="382"/>
      <c r="N50" s="382"/>
      <c r="O50" s="382">
        <f>H50*K50</f>
        <v>1055000</v>
      </c>
      <c r="P50" s="382"/>
      <c r="Q50" s="382"/>
      <c r="R50" s="382"/>
      <c r="S50" s="382"/>
      <c r="T50" s="382">
        <f>+O50*0.1</f>
        <v>105500</v>
      </c>
      <c r="U50" s="382"/>
      <c r="V50" s="382"/>
      <c r="W50" s="382"/>
      <c r="X50" s="382"/>
      <c r="Y50" s="382">
        <f>O50+T50</f>
        <v>1160500</v>
      </c>
      <c r="Z50" s="382"/>
      <c r="AA50" s="382"/>
      <c r="AB50" s="382"/>
      <c r="AC50" s="382"/>
    </row>
    <row r="51" spans="2:34" ht="16.5" customHeight="1">
      <c r="B51" s="384" t="str">
        <f>'물류비 내역서'!B47</f>
        <v>입고비_BOX</v>
      </c>
      <c r="C51" s="384"/>
      <c r="D51" s="384"/>
      <c r="E51" s="384"/>
      <c r="F51" s="384"/>
      <c r="G51" s="384"/>
      <c r="H51" s="385">
        <f>'물류비 내역서'!C47</f>
        <v>27</v>
      </c>
      <c r="I51" s="385"/>
      <c r="J51" s="385"/>
      <c r="K51" s="382">
        <f>'물류비 내역서'!D47</f>
        <v>150</v>
      </c>
      <c r="L51" s="382"/>
      <c r="M51" s="382"/>
      <c r="N51" s="382"/>
      <c r="O51" s="382">
        <f>H51*K51</f>
        <v>4050</v>
      </c>
      <c r="P51" s="382"/>
      <c r="Q51" s="382"/>
      <c r="R51" s="382"/>
      <c r="S51" s="382"/>
      <c r="T51" s="382">
        <f>+O51*0.1</f>
        <v>405</v>
      </c>
      <c r="U51" s="382"/>
      <c r="V51" s="382"/>
      <c r="W51" s="382"/>
      <c r="X51" s="382"/>
      <c r="Y51" s="382">
        <f>O51+T51</f>
        <v>4455</v>
      </c>
      <c r="Z51" s="382"/>
      <c r="AA51" s="382"/>
      <c r="AB51" s="382"/>
      <c r="AC51" s="382"/>
    </row>
    <row r="52" spans="2:34" ht="16.5" customHeight="1">
      <c r="B52" s="394" t="s">
        <v>56</v>
      </c>
      <c r="C52" s="394"/>
      <c r="D52" s="394"/>
      <c r="E52" s="394"/>
      <c r="F52" s="394"/>
      <c r="G52" s="394"/>
      <c r="H52" s="394"/>
      <c r="I52" s="394"/>
      <c r="J52" s="394"/>
      <c r="K52" s="394"/>
      <c r="L52" s="394"/>
      <c r="M52" s="394"/>
      <c r="N52" s="394"/>
      <c r="O52" s="395">
        <f>SUM(O43:S51)</f>
        <v>38314850</v>
      </c>
      <c r="P52" s="394"/>
      <c r="Q52" s="394"/>
      <c r="R52" s="394"/>
      <c r="S52" s="394"/>
      <c r="T52" s="395">
        <f>SUM(T43:X51)</f>
        <v>3831485</v>
      </c>
      <c r="U52" s="394"/>
      <c r="V52" s="394"/>
      <c r="W52" s="394"/>
      <c r="X52" s="394"/>
      <c r="Y52" s="395">
        <f>SUM(Y43:AC51)</f>
        <v>42146335</v>
      </c>
      <c r="Z52" s="394"/>
      <c r="AA52" s="394"/>
      <c r="AB52" s="394"/>
      <c r="AC52" s="394"/>
      <c r="AF52" s="5"/>
    </row>
    <row r="53" spans="2:34" ht="16.5" customHeight="1">
      <c r="B53" s="384" t="str">
        <f>'물류비 내역서'!B36</f>
        <v>저온_택배비_극소</v>
      </c>
      <c r="C53" s="384"/>
      <c r="D53" s="384"/>
      <c r="E53" s="384"/>
      <c r="F53" s="384"/>
      <c r="G53" s="384"/>
      <c r="H53" s="385">
        <f>'물류비 내역서'!C36+'물류비 내역서'!J20</f>
        <v>19393</v>
      </c>
      <c r="I53" s="385"/>
      <c r="J53" s="385"/>
      <c r="K53" s="382">
        <f>'물류비 내역서'!D36</f>
        <v>2050</v>
      </c>
      <c r="L53" s="382"/>
      <c r="M53" s="382"/>
      <c r="N53" s="382"/>
      <c r="O53" s="382">
        <f>H53*K53</f>
        <v>39755650</v>
      </c>
      <c r="P53" s="382"/>
      <c r="Q53" s="382"/>
      <c r="R53" s="382"/>
      <c r="S53" s="382"/>
      <c r="T53" s="382">
        <f>+O53*0.1</f>
        <v>3975565</v>
      </c>
      <c r="U53" s="382"/>
      <c r="V53" s="382"/>
      <c r="W53" s="382"/>
      <c r="X53" s="382"/>
      <c r="Y53" s="382">
        <f>O53+T53</f>
        <v>43731215</v>
      </c>
      <c r="Z53" s="382"/>
      <c r="AA53" s="382"/>
      <c r="AB53" s="382"/>
      <c r="AC53" s="382"/>
      <c r="AF53" s="5"/>
    </row>
    <row r="54" spans="2:34" ht="16.5" customHeight="1">
      <c r="B54" s="384" t="str">
        <f>'물류비 내역서'!B37</f>
        <v>저온_택배비_소</v>
      </c>
      <c r="C54" s="384"/>
      <c r="D54" s="384"/>
      <c r="E54" s="384"/>
      <c r="F54" s="384"/>
      <c r="G54" s="384"/>
      <c r="H54" s="385">
        <f>'물류비 내역서'!C37+'물류비 내역서'!J21</f>
        <v>12562</v>
      </c>
      <c r="I54" s="385"/>
      <c r="J54" s="385"/>
      <c r="K54" s="382">
        <f>'물류비 내역서'!D37</f>
        <v>2550</v>
      </c>
      <c r="L54" s="382"/>
      <c r="M54" s="382"/>
      <c r="N54" s="382"/>
      <c r="O54" s="382">
        <f t="shared" ref="O54:O62" si="15">H54*K54</f>
        <v>32033100</v>
      </c>
      <c r="P54" s="382"/>
      <c r="Q54" s="382"/>
      <c r="R54" s="382"/>
      <c r="S54" s="382"/>
      <c r="T54" s="382">
        <f>+O54*0.1</f>
        <v>3203310</v>
      </c>
      <c r="U54" s="382"/>
      <c r="V54" s="382"/>
      <c r="W54" s="382"/>
      <c r="X54" s="382"/>
      <c r="Y54" s="382">
        <f t="shared" ref="Y54:Y61" si="16">O54+T54</f>
        <v>35236410</v>
      </c>
      <c r="Z54" s="382"/>
      <c r="AA54" s="382"/>
      <c r="AB54" s="382"/>
      <c r="AC54" s="382"/>
      <c r="AF54" s="5"/>
      <c r="AG54" s="4"/>
      <c r="AH54" s="5"/>
    </row>
    <row r="55" spans="2:34" ht="16.5" customHeight="1">
      <c r="B55" s="384" t="str">
        <f>'물류비 내역서'!B38</f>
        <v>저온_택배비_중</v>
      </c>
      <c r="C55" s="384"/>
      <c r="D55" s="384"/>
      <c r="E55" s="384"/>
      <c r="F55" s="384"/>
      <c r="G55" s="384"/>
      <c r="H55" s="385">
        <f>'물류비 내역서'!C38</f>
        <v>1213</v>
      </c>
      <c r="I55" s="385"/>
      <c r="J55" s="385"/>
      <c r="K55" s="382">
        <f>'물류비 내역서'!D38</f>
        <v>3200</v>
      </c>
      <c r="L55" s="382"/>
      <c r="M55" s="382"/>
      <c r="N55" s="382"/>
      <c r="O55" s="382">
        <f t="shared" si="15"/>
        <v>3881600</v>
      </c>
      <c r="P55" s="382"/>
      <c r="Q55" s="382"/>
      <c r="R55" s="382"/>
      <c r="S55" s="382"/>
      <c r="T55" s="382">
        <f>+O55*0.1</f>
        <v>388160</v>
      </c>
      <c r="U55" s="382"/>
      <c r="V55" s="382"/>
      <c r="W55" s="382"/>
      <c r="X55" s="382"/>
      <c r="Y55" s="382">
        <f t="shared" si="16"/>
        <v>4269760</v>
      </c>
      <c r="Z55" s="382"/>
      <c r="AA55" s="382"/>
      <c r="AB55" s="382"/>
      <c r="AC55" s="382"/>
      <c r="AF55" s="5"/>
    </row>
    <row r="56" spans="2:34" ht="16.5" customHeight="1">
      <c r="B56" s="384" t="str">
        <f>'물류비 내역서'!B39</f>
        <v>저온_택배비_대</v>
      </c>
      <c r="C56" s="384"/>
      <c r="D56" s="384"/>
      <c r="E56" s="384"/>
      <c r="F56" s="384"/>
      <c r="G56" s="384"/>
      <c r="H56" s="385">
        <f>'물류비 내역서'!C39</f>
        <v>183</v>
      </c>
      <c r="I56" s="385"/>
      <c r="J56" s="385"/>
      <c r="K56" s="382">
        <f>'물류비 내역서'!D39</f>
        <v>4750</v>
      </c>
      <c r="L56" s="382"/>
      <c r="M56" s="382"/>
      <c r="N56" s="382"/>
      <c r="O56" s="382">
        <f t="shared" si="15"/>
        <v>869250</v>
      </c>
      <c r="P56" s="382"/>
      <c r="Q56" s="382"/>
      <c r="R56" s="382"/>
      <c r="S56" s="382"/>
      <c r="T56" s="382">
        <f t="shared" ref="T56:T62" si="17">+O56*0.1</f>
        <v>86925</v>
      </c>
      <c r="U56" s="382"/>
      <c r="V56" s="382"/>
      <c r="W56" s="382"/>
      <c r="X56" s="382"/>
      <c r="Y56" s="382">
        <f t="shared" si="16"/>
        <v>956175</v>
      </c>
      <c r="Z56" s="382"/>
      <c r="AA56" s="382"/>
      <c r="AB56" s="382"/>
      <c r="AC56" s="382"/>
      <c r="AF56" s="5"/>
    </row>
    <row r="57" spans="2:34" ht="16.5" customHeight="1">
      <c r="B57" s="384" t="str">
        <f>'물류비 내역서'!B40</f>
        <v>저온_택배비_대2</v>
      </c>
      <c r="C57" s="384"/>
      <c r="D57" s="384"/>
      <c r="E57" s="384"/>
      <c r="F57" s="384"/>
      <c r="G57" s="384"/>
      <c r="H57" s="385">
        <f>'물류비 내역서'!C40</f>
        <v>0</v>
      </c>
      <c r="I57" s="385"/>
      <c r="J57" s="385"/>
      <c r="K57" s="382">
        <f>'물류비 내역서'!D40</f>
        <v>4860</v>
      </c>
      <c r="L57" s="382"/>
      <c r="M57" s="382"/>
      <c r="N57" s="382"/>
      <c r="O57" s="382">
        <f>H57*K57</f>
        <v>0</v>
      </c>
      <c r="P57" s="382"/>
      <c r="Q57" s="382"/>
      <c r="R57" s="382"/>
      <c r="S57" s="382"/>
      <c r="T57" s="382">
        <f>+O57*0.1</f>
        <v>0</v>
      </c>
      <c r="U57" s="382"/>
      <c r="V57" s="382"/>
      <c r="W57" s="382"/>
      <c r="X57" s="382"/>
      <c r="Y57" s="382">
        <f>O57+T57</f>
        <v>0</v>
      </c>
      <c r="Z57" s="382"/>
      <c r="AA57" s="382"/>
      <c r="AB57" s="382"/>
      <c r="AC57" s="382"/>
    </row>
    <row r="58" spans="2:34" ht="16.5" customHeight="1">
      <c r="B58" s="384" t="str">
        <f>'물류비 내역서'!B41</f>
        <v>저온_택배비_이형1</v>
      </c>
      <c r="C58" s="384"/>
      <c r="D58" s="384"/>
      <c r="E58" s="384"/>
      <c r="F58" s="384"/>
      <c r="G58" s="384"/>
      <c r="H58" s="385">
        <f>'물류비 내역서'!C41</f>
        <v>0</v>
      </c>
      <c r="I58" s="385"/>
      <c r="J58" s="385"/>
      <c r="K58" s="382">
        <f>'물류비 내역서'!D41</f>
        <v>12320</v>
      </c>
      <c r="L58" s="382"/>
      <c r="M58" s="382"/>
      <c r="N58" s="382"/>
      <c r="O58" s="382">
        <f>H58*K58</f>
        <v>0</v>
      </c>
      <c r="P58" s="382"/>
      <c r="Q58" s="382"/>
      <c r="R58" s="382"/>
      <c r="S58" s="382"/>
      <c r="T58" s="382">
        <f>+O58*0.1</f>
        <v>0</v>
      </c>
      <c r="U58" s="382"/>
      <c r="V58" s="382"/>
      <c r="W58" s="382"/>
      <c r="X58" s="382"/>
      <c r="Y58" s="382">
        <f>O58+T58</f>
        <v>0</v>
      </c>
      <c r="Z58" s="382"/>
      <c r="AA58" s="382"/>
      <c r="AB58" s="382"/>
      <c r="AC58" s="382"/>
    </row>
    <row r="59" spans="2:34" ht="16.5" customHeight="1">
      <c r="B59" s="384" t="str">
        <f>'물류비 내역서'!B42</f>
        <v>상온_택배비_극소</v>
      </c>
      <c r="C59" s="384"/>
      <c r="D59" s="384"/>
      <c r="E59" s="384"/>
      <c r="F59" s="384"/>
      <c r="G59" s="384"/>
      <c r="H59" s="385">
        <f>'물류비 내역서'!C42+'물류비 내역서'!J22+'물류비 내역서'!J32</f>
        <v>4452</v>
      </c>
      <c r="I59" s="385"/>
      <c r="J59" s="385"/>
      <c r="K59" s="382">
        <f>'물류비 내역서'!D42</f>
        <v>1800</v>
      </c>
      <c r="L59" s="382"/>
      <c r="M59" s="382"/>
      <c r="N59" s="382"/>
      <c r="O59" s="382">
        <f t="shared" si="15"/>
        <v>8013600</v>
      </c>
      <c r="P59" s="382"/>
      <c r="Q59" s="382"/>
      <c r="R59" s="382"/>
      <c r="S59" s="382"/>
      <c r="T59" s="382">
        <f t="shared" si="17"/>
        <v>801360</v>
      </c>
      <c r="U59" s="382"/>
      <c r="V59" s="382"/>
      <c r="W59" s="382"/>
      <c r="X59" s="382"/>
      <c r="Y59" s="382">
        <f t="shared" si="16"/>
        <v>8814960</v>
      </c>
      <c r="Z59" s="382"/>
      <c r="AA59" s="382"/>
      <c r="AB59" s="382"/>
      <c r="AC59" s="382"/>
    </row>
    <row r="60" spans="2:34" ht="16.5" customHeight="1">
      <c r="B60" s="384" t="str">
        <f>'물류비 내역서'!B43</f>
        <v>상온_택배비_소</v>
      </c>
      <c r="C60" s="384"/>
      <c r="D60" s="384"/>
      <c r="E60" s="384"/>
      <c r="F60" s="384"/>
      <c r="G60" s="384"/>
      <c r="H60" s="385">
        <f>'물류비 내역서'!C43+'물류비 내역서'!J33</f>
        <v>189</v>
      </c>
      <c r="I60" s="385"/>
      <c r="J60" s="385"/>
      <c r="K60" s="382">
        <f>'물류비 내역서'!D43</f>
        <v>2200</v>
      </c>
      <c r="L60" s="382"/>
      <c r="M60" s="382"/>
      <c r="N60" s="382"/>
      <c r="O60" s="382">
        <f t="shared" si="15"/>
        <v>415800</v>
      </c>
      <c r="P60" s="382"/>
      <c r="Q60" s="382"/>
      <c r="R60" s="382"/>
      <c r="S60" s="382"/>
      <c r="T60" s="382">
        <f t="shared" si="17"/>
        <v>41580</v>
      </c>
      <c r="U60" s="382"/>
      <c r="V60" s="382"/>
      <c r="W60" s="382"/>
      <c r="X60" s="382"/>
      <c r="Y60" s="382">
        <f t="shared" si="16"/>
        <v>457380</v>
      </c>
      <c r="Z60" s="382"/>
      <c r="AA60" s="382"/>
      <c r="AB60" s="382"/>
      <c r="AC60" s="382"/>
    </row>
    <row r="61" spans="2:34" ht="16.5" customHeight="1">
      <c r="B61" s="384" t="str">
        <f>'물류비 내역서'!B44</f>
        <v>상온_택배비_중</v>
      </c>
      <c r="C61" s="384"/>
      <c r="D61" s="384"/>
      <c r="E61" s="384"/>
      <c r="F61" s="384"/>
      <c r="G61" s="384"/>
      <c r="H61" s="385">
        <f>'물류비 내역서'!C44+'물류비 내역서'!J34</f>
        <v>1597</v>
      </c>
      <c r="I61" s="385"/>
      <c r="J61" s="385"/>
      <c r="K61" s="382">
        <f>'물류비 내역서'!D44</f>
        <v>2700</v>
      </c>
      <c r="L61" s="382"/>
      <c r="M61" s="382"/>
      <c r="N61" s="382"/>
      <c r="O61" s="382">
        <f t="shared" si="15"/>
        <v>4311900</v>
      </c>
      <c r="P61" s="382"/>
      <c r="Q61" s="382"/>
      <c r="R61" s="382"/>
      <c r="S61" s="382"/>
      <c r="T61" s="382">
        <f t="shared" si="17"/>
        <v>431190</v>
      </c>
      <c r="U61" s="382"/>
      <c r="V61" s="382"/>
      <c r="W61" s="382"/>
      <c r="X61" s="382"/>
      <c r="Y61" s="382">
        <f t="shared" si="16"/>
        <v>4743090</v>
      </c>
      <c r="Z61" s="382"/>
      <c r="AA61" s="382"/>
      <c r="AB61" s="382"/>
      <c r="AC61" s="382"/>
    </row>
    <row r="62" spans="2:34" ht="16.5" customHeight="1">
      <c r="B62" s="384" t="str">
        <f>'물류비 내역서'!B45</f>
        <v>상온_택배비_대</v>
      </c>
      <c r="C62" s="384"/>
      <c r="D62" s="384"/>
      <c r="E62" s="384"/>
      <c r="F62" s="384"/>
      <c r="G62" s="384"/>
      <c r="H62" s="385">
        <f>'물류비 내역서'!C45</f>
        <v>0</v>
      </c>
      <c r="I62" s="385"/>
      <c r="J62" s="385"/>
      <c r="K62" s="382">
        <f>'물류비 내역서'!D45</f>
        <v>4300</v>
      </c>
      <c r="L62" s="382"/>
      <c r="M62" s="382"/>
      <c r="N62" s="382"/>
      <c r="O62" s="382">
        <f t="shared" si="15"/>
        <v>0</v>
      </c>
      <c r="P62" s="382"/>
      <c r="Q62" s="382"/>
      <c r="R62" s="382"/>
      <c r="S62" s="382"/>
      <c r="T62" s="382">
        <f t="shared" si="17"/>
        <v>0</v>
      </c>
      <c r="U62" s="382"/>
      <c r="V62" s="382"/>
      <c r="W62" s="382"/>
      <c r="X62" s="382"/>
      <c r="Y62" s="382">
        <f>O62+T62</f>
        <v>0</v>
      </c>
      <c r="Z62" s="382"/>
      <c r="AA62" s="382"/>
      <c r="AB62" s="382"/>
      <c r="AC62" s="382"/>
    </row>
    <row r="63" spans="2:34" ht="16.5" customHeight="1">
      <c r="B63" s="383" t="str">
        <f>'물류비 내역서'!P32</f>
        <v>도착_저온_택배비_극소</v>
      </c>
      <c r="C63" s="384"/>
      <c r="D63" s="384"/>
      <c r="E63" s="384"/>
      <c r="F63" s="384"/>
      <c r="G63" s="384"/>
      <c r="H63" s="385">
        <f>'물류비 내역서'!Q32</f>
        <v>13582</v>
      </c>
      <c r="I63" s="385"/>
      <c r="J63" s="385"/>
      <c r="K63" s="382">
        <f>'물류비 내역서'!R32</f>
        <v>2205</v>
      </c>
      <c r="L63" s="382"/>
      <c r="M63" s="382"/>
      <c r="N63" s="382"/>
      <c r="O63" s="382">
        <f t="shared" ref="O63:O70" si="18">H63*K63</f>
        <v>29948310</v>
      </c>
      <c r="P63" s="382"/>
      <c r="Q63" s="382"/>
      <c r="R63" s="382"/>
      <c r="S63" s="382"/>
      <c r="T63" s="382">
        <f t="shared" ref="T63:T70" si="19">+O63*0.1</f>
        <v>2994831</v>
      </c>
      <c r="U63" s="382"/>
      <c r="V63" s="382"/>
      <c r="W63" s="382"/>
      <c r="X63" s="382"/>
      <c r="Y63" s="382">
        <f t="shared" ref="Y63:Y70" si="20">O63+T63</f>
        <v>32943141</v>
      </c>
      <c r="Z63" s="382"/>
      <c r="AA63" s="382"/>
      <c r="AB63" s="382"/>
      <c r="AC63" s="382"/>
    </row>
    <row r="64" spans="2:34" ht="16.5" customHeight="1">
      <c r="B64" s="383" t="str">
        <f>'물류비 내역서'!P33</f>
        <v>도착_저온_택배비_소</v>
      </c>
      <c r="C64" s="384"/>
      <c r="D64" s="384"/>
      <c r="E64" s="384"/>
      <c r="F64" s="384"/>
      <c r="G64" s="384"/>
      <c r="H64" s="385">
        <f>'물류비 내역서'!Q33</f>
        <v>3902</v>
      </c>
      <c r="I64" s="385"/>
      <c r="J64" s="385"/>
      <c r="K64" s="382">
        <f>'물류비 내역서'!R33</f>
        <v>2705</v>
      </c>
      <c r="L64" s="382"/>
      <c r="M64" s="382"/>
      <c r="N64" s="382"/>
      <c r="O64" s="382">
        <f t="shared" si="18"/>
        <v>10554910</v>
      </c>
      <c r="P64" s="382"/>
      <c r="Q64" s="382"/>
      <c r="R64" s="382"/>
      <c r="S64" s="382"/>
      <c r="T64" s="382">
        <f t="shared" si="19"/>
        <v>1055491</v>
      </c>
      <c r="U64" s="382"/>
      <c r="V64" s="382"/>
      <c r="W64" s="382"/>
      <c r="X64" s="382"/>
      <c r="Y64" s="382">
        <f t="shared" si="20"/>
        <v>11610401</v>
      </c>
      <c r="Z64" s="382"/>
      <c r="AA64" s="382"/>
      <c r="AB64" s="382"/>
      <c r="AC64" s="382"/>
    </row>
    <row r="65" spans="2:29" ht="16.5" customHeight="1">
      <c r="B65" s="383" t="str">
        <f>'물류비 내역서'!P34</f>
        <v>도착_저온_택배비_중</v>
      </c>
      <c r="C65" s="384"/>
      <c r="D65" s="384"/>
      <c r="E65" s="384"/>
      <c r="F65" s="384"/>
      <c r="G65" s="384"/>
      <c r="H65" s="385">
        <f>'물류비 내역서'!Q34</f>
        <v>714</v>
      </c>
      <c r="I65" s="385"/>
      <c r="J65" s="385"/>
      <c r="K65" s="382">
        <f>'물류비 내역서'!R34</f>
        <v>3355</v>
      </c>
      <c r="L65" s="382"/>
      <c r="M65" s="382"/>
      <c r="N65" s="382"/>
      <c r="O65" s="382">
        <f t="shared" si="18"/>
        <v>2395470</v>
      </c>
      <c r="P65" s="382"/>
      <c r="Q65" s="382"/>
      <c r="R65" s="382"/>
      <c r="S65" s="382"/>
      <c r="T65" s="382">
        <f t="shared" si="19"/>
        <v>239547</v>
      </c>
      <c r="U65" s="382"/>
      <c r="V65" s="382"/>
      <c r="W65" s="382"/>
      <c r="X65" s="382"/>
      <c r="Y65" s="382">
        <f t="shared" si="20"/>
        <v>2635017</v>
      </c>
      <c r="Z65" s="382"/>
      <c r="AA65" s="382"/>
      <c r="AB65" s="382"/>
      <c r="AC65" s="382"/>
    </row>
    <row r="66" spans="2:29" ht="16.5" customHeight="1">
      <c r="B66" s="383" t="str">
        <f>'물류비 내역서'!P35</f>
        <v>도착_저온_택배비_대</v>
      </c>
      <c r="C66" s="384"/>
      <c r="D66" s="384"/>
      <c r="E66" s="384"/>
      <c r="F66" s="384"/>
      <c r="G66" s="384"/>
      <c r="H66" s="385">
        <f>'물류비 내역서'!Q35</f>
        <v>55</v>
      </c>
      <c r="I66" s="385"/>
      <c r="J66" s="385"/>
      <c r="K66" s="382">
        <f>'물류비 내역서'!R35</f>
        <v>4905</v>
      </c>
      <c r="L66" s="382"/>
      <c r="M66" s="382"/>
      <c r="N66" s="382"/>
      <c r="O66" s="382">
        <f t="shared" si="18"/>
        <v>269775</v>
      </c>
      <c r="P66" s="382"/>
      <c r="Q66" s="382"/>
      <c r="R66" s="382"/>
      <c r="S66" s="382"/>
      <c r="T66" s="382">
        <f t="shared" si="19"/>
        <v>26977.5</v>
      </c>
      <c r="U66" s="382"/>
      <c r="V66" s="382"/>
      <c r="W66" s="382"/>
      <c r="X66" s="382"/>
      <c r="Y66" s="382">
        <f t="shared" si="20"/>
        <v>296752.5</v>
      </c>
      <c r="Z66" s="382"/>
      <c r="AA66" s="382"/>
      <c r="AB66" s="382"/>
      <c r="AC66" s="382"/>
    </row>
    <row r="67" spans="2:29" ht="16.5" customHeight="1">
      <c r="B67" s="383" t="str">
        <f>'물류비 내역서'!P36</f>
        <v>도착_상온_택배비_극소</v>
      </c>
      <c r="C67" s="384"/>
      <c r="D67" s="384"/>
      <c r="E67" s="384"/>
      <c r="F67" s="384"/>
      <c r="G67" s="384"/>
      <c r="H67" s="385">
        <f>'물류비 내역서'!Q36</f>
        <v>2575</v>
      </c>
      <c r="I67" s="385"/>
      <c r="J67" s="385"/>
      <c r="K67" s="382">
        <f>'물류비 내역서'!R36</f>
        <v>1955</v>
      </c>
      <c r="L67" s="382"/>
      <c r="M67" s="382"/>
      <c r="N67" s="382"/>
      <c r="O67" s="382">
        <f t="shared" si="18"/>
        <v>5034125</v>
      </c>
      <c r="P67" s="382"/>
      <c r="Q67" s="382"/>
      <c r="R67" s="382"/>
      <c r="S67" s="382"/>
      <c r="T67" s="382">
        <f t="shared" si="19"/>
        <v>503412.5</v>
      </c>
      <c r="U67" s="382"/>
      <c r="V67" s="382"/>
      <c r="W67" s="382"/>
      <c r="X67" s="382"/>
      <c r="Y67" s="382">
        <f t="shared" si="20"/>
        <v>5537537.5</v>
      </c>
      <c r="Z67" s="382"/>
      <c r="AA67" s="382"/>
      <c r="AB67" s="382"/>
      <c r="AC67" s="382"/>
    </row>
    <row r="68" spans="2:29" ht="16.5" customHeight="1">
      <c r="B68" s="383" t="str">
        <f>'물류비 내역서'!P37</f>
        <v>도착_상온_택배비_소</v>
      </c>
      <c r="C68" s="384"/>
      <c r="D68" s="384"/>
      <c r="E68" s="384"/>
      <c r="F68" s="384"/>
      <c r="G68" s="384"/>
      <c r="H68" s="385">
        <f>'물류비 내역서'!Q37</f>
        <v>48</v>
      </c>
      <c r="I68" s="385"/>
      <c r="J68" s="385"/>
      <c r="K68" s="382">
        <f>'물류비 내역서'!R37</f>
        <v>2355</v>
      </c>
      <c r="L68" s="382"/>
      <c r="M68" s="382"/>
      <c r="N68" s="382"/>
      <c r="O68" s="382">
        <f t="shared" si="18"/>
        <v>113040</v>
      </c>
      <c r="P68" s="382"/>
      <c r="Q68" s="382"/>
      <c r="R68" s="382"/>
      <c r="S68" s="382"/>
      <c r="T68" s="382">
        <f t="shared" si="19"/>
        <v>11304</v>
      </c>
      <c r="U68" s="382"/>
      <c r="V68" s="382"/>
      <c r="W68" s="382"/>
      <c r="X68" s="382"/>
      <c r="Y68" s="382">
        <f t="shared" si="20"/>
        <v>124344</v>
      </c>
      <c r="Z68" s="382"/>
      <c r="AA68" s="382"/>
      <c r="AB68" s="382"/>
      <c r="AC68" s="382"/>
    </row>
    <row r="69" spans="2:29" ht="16.5" customHeight="1">
      <c r="B69" s="383" t="str">
        <f>'물류비 내역서'!P38</f>
        <v>도착_상온_택배비_중</v>
      </c>
      <c r="C69" s="384"/>
      <c r="D69" s="384"/>
      <c r="E69" s="384"/>
      <c r="F69" s="384"/>
      <c r="G69" s="384"/>
      <c r="H69" s="385">
        <f>'물류비 내역서'!Q38</f>
        <v>358</v>
      </c>
      <c r="I69" s="385"/>
      <c r="J69" s="385"/>
      <c r="K69" s="382">
        <f>'물류비 내역서'!R38</f>
        <v>2855</v>
      </c>
      <c r="L69" s="382"/>
      <c r="M69" s="382"/>
      <c r="N69" s="382"/>
      <c r="O69" s="382">
        <f t="shared" si="18"/>
        <v>1022090</v>
      </c>
      <c r="P69" s="382"/>
      <c r="Q69" s="382"/>
      <c r="R69" s="382"/>
      <c r="S69" s="382"/>
      <c r="T69" s="382">
        <f t="shared" si="19"/>
        <v>102209</v>
      </c>
      <c r="U69" s="382"/>
      <c r="V69" s="382"/>
      <c r="W69" s="382"/>
      <c r="X69" s="382"/>
      <c r="Y69" s="382">
        <f t="shared" si="20"/>
        <v>1124299</v>
      </c>
      <c r="Z69" s="382"/>
      <c r="AA69" s="382"/>
      <c r="AB69" s="382"/>
      <c r="AC69" s="382"/>
    </row>
    <row r="70" spans="2:29" ht="16.5" customHeight="1">
      <c r="B70" s="383" t="str">
        <f>'물류비 내역서'!P39</f>
        <v>도착_상온_택배비_대</v>
      </c>
      <c r="C70" s="384"/>
      <c r="D70" s="384"/>
      <c r="E70" s="384"/>
      <c r="F70" s="384"/>
      <c r="G70" s="384"/>
      <c r="H70" s="385">
        <f>'물류비 내역서'!Q39</f>
        <v>0</v>
      </c>
      <c r="I70" s="385"/>
      <c r="J70" s="385"/>
      <c r="K70" s="382">
        <f>'물류비 내역서'!R39</f>
        <v>4455</v>
      </c>
      <c r="L70" s="382"/>
      <c r="M70" s="382"/>
      <c r="N70" s="382"/>
      <c r="O70" s="382">
        <f t="shared" si="18"/>
        <v>0</v>
      </c>
      <c r="P70" s="382"/>
      <c r="Q70" s="382"/>
      <c r="R70" s="382"/>
      <c r="S70" s="382"/>
      <c r="T70" s="382">
        <f t="shared" si="19"/>
        <v>0</v>
      </c>
      <c r="U70" s="382"/>
      <c r="V70" s="382"/>
      <c r="W70" s="382"/>
      <c r="X70" s="382"/>
      <c r="Y70" s="382">
        <f t="shared" si="20"/>
        <v>0</v>
      </c>
      <c r="Z70" s="382"/>
      <c r="AA70" s="382"/>
      <c r="AB70" s="382"/>
      <c r="AC70" s="382"/>
    </row>
    <row r="71" spans="2:29" ht="16.5" customHeight="1">
      <c r="B71" s="384" t="str">
        <f>'물류비 내역서'!B50</f>
        <v>반품비</v>
      </c>
      <c r="C71" s="384"/>
      <c r="D71" s="384"/>
      <c r="E71" s="384"/>
      <c r="F71" s="384"/>
      <c r="G71" s="384"/>
      <c r="H71" s="382">
        <f>'물류비 내역서'!C50</f>
        <v>1</v>
      </c>
      <c r="I71" s="382"/>
      <c r="J71" s="382"/>
      <c r="K71" s="382">
        <f>'물류비 내역서'!D50</f>
        <v>24118.181818181816</v>
      </c>
      <c r="L71" s="382"/>
      <c r="M71" s="382"/>
      <c r="N71" s="382"/>
      <c r="O71" s="382">
        <f>H71*K71</f>
        <v>24118.181818181816</v>
      </c>
      <c r="P71" s="382"/>
      <c r="Q71" s="382"/>
      <c r="R71" s="382"/>
      <c r="S71" s="382"/>
      <c r="T71" s="382">
        <f>+O71*0.1</f>
        <v>2411.8181818181815</v>
      </c>
      <c r="U71" s="382"/>
      <c r="V71" s="382"/>
      <c r="W71" s="382"/>
      <c r="X71" s="382"/>
      <c r="Y71" s="385">
        <f>O71+T71</f>
        <v>26529.999999999996</v>
      </c>
      <c r="Z71" s="385"/>
      <c r="AA71" s="385"/>
      <c r="AB71" s="385"/>
      <c r="AC71" s="385"/>
    </row>
    <row r="72" spans="2:29">
      <c r="B72" s="394" t="s">
        <v>57</v>
      </c>
      <c r="C72" s="394"/>
      <c r="D72" s="394"/>
      <c r="E72" s="394"/>
      <c r="F72" s="394"/>
      <c r="G72" s="394"/>
      <c r="H72" s="394"/>
      <c r="I72" s="394"/>
      <c r="J72" s="394"/>
      <c r="K72" s="394"/>
      <c r="L72" s="394"/>
      <c r="M72" s="394"/>
      <c r="N72" s="394"/>
      <c r="O72" s="395">
        <f>SUM(O53:S71)</f>
        <v>138642738.18181819</v>
      </c>
      <c r="P72" s="394"/>
      <c r="Q72" s="394"/>
      <c r="R72" s="394"/>
      <c r="S72" s="394"/>
      <c r="T72" s="395">
        <f>SUM(T53:X71)</f>
        <v>13864273.818181818</v>
      </c>
      <c r="U72" s="394"/>
      <c r="V72" s="394"/>
      <c r="W72" s="394"/>
      <c r="X72" s="394"/>
      <c r="Y72" s="395">
        <f>SUM(Y53:AC71)</f>
        <v>152507012</v>
      </c>
      <c r="Z72" s="394"/>
      <c r="AA72" s="394"/>
      <c r="AB72" s="394"/>
      <c r="AC72" s="394"/>
    </row>
    <row r="73" spans="2:29" ht="16.5" customHeight="1">
      <c r="B73" s="435" t="s">
        <v>58</v>
      </c>
      <c r="C73" s="436"/>
      <c r="D73" s="436"/>
      <c r="E73" s="436"/>
      <c r="F73" s="436"/>
      <c r="G73" s="437"/>
      <c r="H73" s="388">
        <f>'물류비 내역서'!C51</f>
        <v>1</v>
      </c>
      <c r="I73" s="389"/>
      <c r="J73" s="390"/>
      <c r="K73" s="388">
        <f>'물류비 내역서'!D51</f>
        <v>604840</v>
      </c>
      <c r="L73" s="389"/>
      <c r="M73" s="389"/>
      <c r="N73" s="390"/>
      <c r="O73" s="382">
        <f>H73*K73</f>
        <v>604840</v>
      </c>
      <c r="P73" s="382"/>
      <c r="Q73" s="382"/>
      <c r="R73" s="382"/>
      <c r="S73" s="382"/>
      <c r="T73" s="382">
        <f>+O73*0.1</f>
        <v>60484</v>
      </c>
      <c r="U73" s="382"/>
      <c r="V73" s="382"/>
      <c r="W73" s="382"/>
      <c r="X73" s="382"/>
      <c r="Y73" s="385">
        <f>O73+T73</f>
        <v>665324</v>
      </c>
      <c r="Z73" s="385"/>
      <c r="AA73" s="385"/>
      <c r="AB73" s="385"/>
      <c r="AC73" s="385"/>
    </row>
    <row r="74" spans="2:29" ht="16.5" customHeight="1">
      <c r="B74" s="394" t="s">
        <v>59</v>
      </c>
      <c r="C74" s="394"/>
      <c r="D74" s="394"/>
      <c r="E74" s="394"/>
      <c r="F74" s="394"/>
      <c r="G74" s="394"/>
      <c r="H74" s="394"/>
      <c r="I74" s="394"/>
      <c r="J74" s="394"/>
      <c r="K74" s="394"/>
      <c r="L74" s="394"/>
      <c r="M74" s="394"/>
      <c r="N74" s="394"/>
      <c r="O74" s="395">
        <f>SUM(O73)</f>
        <v>604840</v>
      </c>
      <c r="P74" s="394"/>
      <c r="Q74" s="394"/>
      <c r="R74" s="394"/>
      <c r="S74" s="394"/>
      <c r="T74" s="395">
        <f>SUM(T73)</f>
        <v>60484</v>
      </c>
      <c r="U74" s="394"/>
      <c r="V74" s="394"/>
      <c r="W74" s="394"/>
      <c r="X74" s="394"/>
      <c r="Y74" s="395">
        <f>SUM(Y73)</f>
        <v>665324</v>
      </c>
      <c r="Z74" s="394"/>
      <c r="AA74" s="394"/>
      <c r="AB74" s="394"/>
      <c r="AC74" s="394"/>
    </row>
    <row r="75" spans="2:29" ht="16.5" customHeight="1">
      <c r="B75" s="428" t="s">
        <v>60</v>
      </c>
      <c r="C75" s="429"/>
      <c r="D75" s="429"/>
      <c r="E75" s="429"/>
      <c r="F75" s="429"/>
      <c r="G75" s="430"/>
      <c r="H75" s="431">
        <f>'물류비 내역서'!C54</f>
        <v>1</v>
      </c>
      <c r="I75" s="432"/>
      <c r="J75" s="433"/>
      <c r="K75" s="431">
        <f>'물류비 내역서'!D54</f>
        <v>-5811218</v>
      </c>
      <c r="L75" s="432"/>
      <c r="M75" s="432"/>
      <c r="N75" s="433"/>
      <c r="O75" s="434">
        <f>H75*K75</f>
        <v>-5811218</v>
      </c>
      <c r="P75" s="434"/>
      <c r="Q75" s="434"/>
      <c r="R75" s="434"/>
      <c r="S75" s="434"/>
      <c r="T75" s="434">
        <f>+O75*0.1</f>
        <v>-581121.80000000005</v>
      </c>
      <c r="U75" s="434"/>
      <c r="V75" s="434"/>
      <c r="W75" s="434"/>
      <c r="X75" s="434"/>
      <c r="Y75" s="434">
        <f>O75+T75</f>
        <v>-6392339.7999999998</v>
      </c>
      <c r="Z75" s="434"/>
      <c r="AA75" s="434"/>
      <c r="AB75" s="434"/>
      <c r="AC75" s="434"/>
    </row>
    <row r="76" spans="2:29" ht="16.5" customHeight="1">
      <c r="B76" s="394" t="s">
        <v>61</v>
      </c>
      <c r="C76" s="394"/>
      <c r="D76" s="394"/>
      <c r="E76" s="394"/>
      <c r="F76" s="394"/>
      <c r="G76" s="394"/>
      <c r="H76" s="394"/>
      <c r="I76" s="394"/>
      <c r="J76" s="394"/>
      <c r="K76" s="394"/>
      <c r="L76" s="394"/>
      <c r="M76" s="394"/>
      <c r="N76" s="394"/>
      <c r="O76" s="395">
        <f>SUM(O75)</f>
        <v>-5811218</v>
      </c>
      <c r="P76" s="394"/>
      <c r="Q76" s="394"/>
      <c r="R76" s="394"/>
      <c r="S76" s="394"/>
      <c r="T76" s="395">
        <f>SUM(T75)</f>
        <v>-581121.80000000005</v>
      </c>
      <c r="U76" s="394"/>
      <c r="V76" s="394"/>
      <c r="W76" s="394"/>
      <c r="X76" s="394"/>
      <c r="Y76" s="395">
        <f>SUM(Y75)</f>
        <v>-6392339.7999999998</v>
      </c>
      <c r="Z76" s="394"/>
      <c r="AA76" s="394"/>
      <c r="AB76" s="394"/>
      <c r="AC76" s="394"/>
    </row>
    <row r="77" spans="2:29" ht="16.5" customHeight="1">
      <c r="B77" s="435" t="str">
        <f>'물류비 내역서'!B48</f>
        <v>제주추가운임비</v>
      </c>
      <c r="C77" s="436"/>
      <c r="D77" s="436"/>
      <c r="E77" s="436"/>
      <c r="F77" s="436"/>
      <c r="G77" s="437"/>
      <c r="H77" s="388">
        <f>'물류비 내역서'!C48</f>
        <v>1</v>
      </c>
      <c r="I77" s="389"/>
      <c r="J77" s="390"/>
      <c r="K77" s="388">
        <f>'물류비 내역서'!D48</f>
        <v>548181.81818181812</v>
      </c>
      <c r="L77" s="389"/>
      <c r="M77" s="389"/>
      <c r="N77" s="390"/>
      <c r="O77" s="388">
        <f>H77*K77</f>
        <v>548181.81818181812</v>
      </c>
      <c r="P77" s="389"/>
      <c r="Q77" s="389"/>
      <c r="R77" s="389"/>
      <c r="S77" s="390"/>
      <c r="T77" s="388">
        <f>+O77*0.1</f>
        <v>54818.181818181816</v>
      </c>
      <c r="U77" s="389"/>
      <c r="V77" s="389"/>
      <c r="W77" s="389"/>
      <c r="X77" s="390"/>
      <c r="Y77" s="391">
        <f>O77+T77</f>
        <v>602999.99999999988</v>
      </c>
      <c r="Z77" s="392"/>
      <c r="AA77" s="392"/>
      <c r="AB77" s="392"/>
      <c r="AC77" s="393"/>
    </row>
    <row r="78" spans="2:29" ht="16.5" customHeight="1">
      <c r="B78" s="435" t="str">
        <f>'물류비 내역서'!B49</f>
        <v>도서산간추가운임비</v>
      </c>
      <c r="C78" s="436"/>
      <c r="D78" s="436"/>
      <c r="E78" s="436"/>
      <c r="F78" s="436"/>
      <c r="G78" s="437"/>
      <c r="H78" s="388">
        <f>'물류비 내역서'!C49</f>
        <v>1</v>
      </c>
      <c r="I78" s="389"/>
      <c r="J78" s="390"/>
      <c r="K78" s="388">
        <f>'물류비 내역서'!D49</f>
        <v>82727.272727272721</v>
      </c>
      <c r="L78" s="389"/>
      <c r="M78" s="389"/>
      <c r="N78" s="390"/>
      <c r="O78" s="388">
        <f>H78*K78</f>
        <v>82727.272727272721</v>
      </c>
      <c r="P78" s="389"/>
      <c r="Q78" s="389"/>
      <c r="R78" s="389"/>
      <c r="S78" s="390"/>
      <c r="T78" s="388">
        <f>+O78*0.1</f>
        <v>8272.7272727272721</v>
      </c>
      <c r="U78" s="389"/>
      <c r="V78" s="389"/>
      <c r="W78" s="389"/>
      <c r="X78" s="390"/>
      <c r="Y78" s="391">
        <f>O78+T78</f>
        <v>91000</v>
      </c>
      <c r="Z78" s="392"/>
      <c r="AA78" s="392"/>
      <c r="AB78" s="392"/>
      <c r="AC78" s="393"/>
    </row>
    <row r="79" spans="2:29">
      <c r="B79" s="435" t="s">
        <v>62</v>
      </c>
      <c r="C79" s="436"/>
      <c r="D79" s="436"/>
      <c r="E79" s="436"/>
      <c r="F79" s="436"/>
      <c r="G79" s="437"/>
      <c r="H79" s="388">
        <v>1</v>
      </c>
      <c r="I79" s="389"/>
      <c r="J79" s="390"/>
      <c r="K79" s="388">
        <f>'물류비 내역서'!D52</f>
        <v>6293892</v>
      </c>
      <c r="L79" s="389"/>
      <c r="M79" s="389"/>
      <c r="N79" s="390"/>
      <c r="O79" s="388">
        <f>H79*K79</f>
        <v>6293892</v>
      </c>
      <c r="P79" s="389"/>
      <c r="Q79" s="389"/>
      <c r="R79" s="389"/>
      <c r="S79" s="390"/>
      <c r="T79" s="388">
        <f>+O79*0.1</f>
        <v>629389.20000000007</v>
      </c>
      <c r="U79" s="389"/>
      <c r="V79" s="389"/>
      <c r="W79" s="389"/>
      <c r="X79" s="390"/>
      <c r="Y79" s="391">
        <f>O79+T79</f>
        <v>6923281.2000000002</v>
      </c>
      <c r="Z79" s="392"/>
      <c r="AA79" s="392"/>
      <c r="AB79" s="392"/>
      <c r="AC79" s="393"/>
    </row>
    <row r="80" spans="2:29" ht="16.5" customHeight="1">
      <c r="B80" s="435" t="str">
        <f>'물류비 내역서'!B53</f>
        <v>폐기비</v>
      </c>
      <c r="C80" s="436"/>
      <c r="D80" s="436"/>
      <c r="E80" s="436"/>
      <c r="F80" s="436"/>
      <c r="G80" s="437"/>
      <c r="H80" s="388">
        <f>'물류비 내역서'!C50</f>
        <v>1</v>
      </c>
      <c r="I80" s="389"/>
      <c r="J80" s="390"/>
      <c r="K80" s="388">
        <f>'물류비 내역서'!D53</f>
        <v>7636.363636363636</v>
      </c>
      <c r="L80" s="389"/>
      <c r="M80" s="389"/>
      <c r="N80" s="390"/>
      <c r="O80" s="388">
        <f>H80*K80</f>
        <v>7636.363636363636</v>
      </c>
      <c r="P80" s="389"/>
      <c r="Q80" s="389"/>
      <c r="R80" s="389"/>
      <c r="S80" s="390"/>
      <c r="T80" s="388">
        <f>+O80*0.1</f>
        <v>763.63636363636363</v>
      </c>
      <c r="U80" s="389"/>
      <c r="V80" s="389"/>
      <c r="W80" s="389"/>
      <c r="X80" s="390"/>
      <c r="Y80" s="391">
        <f>O80+T80</f>
        <v>8400</v>
      </c>
      <c r="Z80" s="392"/>
      <c r="AA80" s="392"/>
      <c r="AB80" s="392"/>
      <c r="AC80" s="393"/>
    </row>
    <row r="81" spans="2:29" ht="16.5" customHeight="1">
      <c r="B81" s="394" t="s">
        <v>63</v>
      </c>
      <c r="C81" s="394"/>
      <c r="D81" s="394"/>
      <c r="E81" s="394"/>
      <c r="F81" s="394"/>
      <c r="G81" s="394"/>
      <c r="H81" s="394"/>
      <c r="I81" s="394"/>
      <c r="J81" s="394"/>
      <c r="K81" s="394"/>
      <c r="L81" s="394"/>
      <c r="M81" s="394"/>
      <c r="N81" s="394"/>
      <c r="O81" s="424">
        <f>SUM(O77:S80)</f>
        <v>6932437.4545454541</v>
      </c>
      <c r="P81" s="425"/>
      <c r="Q81" s="425"/>
      <c r="R81" s="425"/>
      <c r="S81" s="426"/>
      <c r="T81" s="424">
        <f>SUM(T77:X80)</f>
        <v>693243.74545454548</v>
      </c>
      <c r="U81" s="425"/>
      <c r="V81" s="425"/>
      <c r="W81" s="425"/>
      <c r="X81" s="426"/>
      <c r="Y81" s="424">
        <f>SUM(Y77:AC80)</f>
        <v>7625681.2000000002</v>
      </c>
      <c r="Z81" s="425"/>
      <c r="AA81" s="425"/>
      <c r="AB81" s="425"/>
      <c r="AC81" s="426"/>
    </row>
    <row r="83" spans="2:29">
      <c r="B83" s="427" t="s">
        <v>64</v>
      </c>
      <c r="C83" s="427"/>
      <c r="D83" s="427"/>
      <c r="E83" s="427"/>
      <c r="F83" s="427"/>
      <c r="G83" s="427"/>
      <c r="H83" s="427"/>
      <c r="I83" s="427"/>
      <c r="J83" s="427"/>
      <c r="K83" s="427"/>
      <c r="L83" s="427"/>
      <c r="M83" s="427"/>
      <c r="N83" s="427"/>
      <c r="O83" s="427"/>
      <c r="P83" s="427"/>
      <c r="Q83" s="427"/>
      <c r="R83" s="427"/>
      <c r="S83" s="427"/>
      <c r="T83" s="427"/>
      <c r="U83" s="427"/>
      <c r="V83" s="427"/>
      <c r="W83" s="427"/>
      <c r="X83" s="427"/>
      <c r="Y83" s="427"/>
      <c r="Z83" s="427"/>
      <c r="AA83" s="427"/>
      <c r="AB83" s="427"/>
      <c r="AC83" s="427"/>
    </row>
    <row r="84" spans="2:29">
      <c r="B84" s="427" t="s">
        <v>65</v>
      </c>
      <c r="C84" s="427"/>
      <c r="D84" s="427"/>
      <c r="E84" s="427"/>
      <c r="F84" s="427"/>
      <c r="G84" s="427"/>
      <c r="H84" s="427"/>
      <c r="I84" s="427"/>
      <c r="J84" s="427"/>
      <c r="K84" s="427"/>
      <c r="L84" s="427"/>
      <c r="M84" s="427"/>
      <c r="N84" s="427"/>
      <c r="O84" s="427"/>
      <c r="P84" s="427"/>
      <c r="Q84" s="427"/>
      <c r="R84" s="427"/>
      <c r="S84" s="427"/>
      <c r="T84" s="427"/>
      <c r="U84" s="427"/>
      <c r="V84" s="427"/>
      <c r="W84" s="427"/>
      <c r="X84" s="427"/>
      <c r="Y84" s="427"/>
      <c r="Z84" s="427"/>
      <c r="AA84" s="427"/>
      <c r="AB84" s="427"/>
      <c r="AC84" s="427"/>
    </row>
    <row r="85" spans="2:29">
      <c r="B85" s="365"/>
      <c r="C85" s="365"/>
      <c r="D85" s="365"/>
      <c r="E85" s="365"/>
      <c r="F85" s="365"/>
      <c r="G85" s="365"/>
      <c r="H85" s="365"/>
      <c r="I85" s="365"/>
      <c r="J85" s="365"/>
      <c r="K85" s="365"/>
      <c r="L85" s="365"/>
      <c r="M85" s="365"/>
      <c r="N85" s="365"/>
      <c r="O85" s="365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  <c r="AA85" s="365"/>
      <c r="AB85" s="365"/>
      <c r="AC85" s="365"/>
    </row>
    <row r="86" spans="2:29">
      <c r="B86" s="423"/>
      <c r="C86" s="423"/>
      <c r="D86" s="423"/>
      <c r="E86" s="423"/>
      <c r="F86" s="423"/>
      <c r="G86" s="423"/>
      <c r="H86" s="423"/>
      <c r="I86" s="423"/>
      <c r="J86" s="423"/>
      <c r="K86" s="423"/>
      <c r="L86" s="423"/>
      <c r="M86" s="423"/>
      <c r="N86" s="423"/>
      <c r="O86" s="423"/>
      <c r="P86" s="423"/>
      <c r="Q86" s="423"/>
      <c r="R86" s="423"/>
      <c r="S86" s="423"/>
      <c r="T86" s="423"/>
      <c r="U86" s="423"/>
      <c r="V86" s="423"/>
      <c r="W86" s="423"/>
      <c r="X86" s="423"/>
      <c r="Y86" s="423"/>
      <c r="Z86" s="423"/>
      <c r="AA86" s="423"/>
      <c r="AB86" s="423"/>
      <c r="AC86" s="423"/>
    </row>
    <row r="87" spans="2:29">
      <c r="B87" s="365"/>
      <c r="C87" s="365"/>
      <c r="D87" s="365"/>
      <c r="E87" s="365"/>
      <c r="F87" s="365"/>
      <c r="G87" s="365"/>
      <c r="H87" s="365"/>
      <c r="I87" s="365"/>
      <c r="J87" s="365"/>
      <c r="K87" s="365"/>
      <c r="L87" s="365"/>
      <c r="M87" s="365"/>
      <c r="N87" s="365"/>
      <c r="O87" s="365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65"/>
      <c r="AC87" s="365"/>
    </row>
  </sheetData>
  <mergeCells count="415">
    <mergeCell ref="H79:J79"/>
    <mergeCell ref="H62:J62"/>
    <mergeCell ref="K53:N53"/>
    <mergeCell ref="K55:N55"/>
    <mergeCell ref="H55:J55"/>
    <mergeCell ref="B53:G53"/>
    <mergeCell ref="H53:J53"/>
    <mergeCell ref="H57:J57"/>
    <mergeCell ref="B60:G60"/>
    <mergeCell ref="H60:J60"/>
    <mergeCell ref="H54:J54"/>
    <mergeCell ref="H67:J67"/>
    <mergeCell ref="H63:J63"/>
    <mergeCell ref="K62:N62"/>
    <mergeCell ref="B68:G68"/>
    <mergeCell ref="H65:J65"/>
    <mergeCell ref="K65:N65"/>
    <mergeCell ref="K64:N64"/>
    <mergeCell ref="K70:N70"/>
    <mergeCell ref="K61:N61"/>
    <mergeCell ref="B67:G67"/>
    <mergeCell ref="K63:N63"/>
    <mergeCell ref="B64:G64"/>
    <mergeCell ref="B61:G61"/>
    <mergeCell ref="H80:J80"/>
    <mergeCell ref="O73:S73"/>
    <mergeCell ref="Y73:AC73"/>
    <mergeCell ref="B74:N74"/>
    <mergeCell ref="O74:S74"/>
    <mergeCell ref="T74:X74"/>
    <mergeCell ref="B73:G73"/>
    <mergeCell ref="T78:X78"/>
    <mergeCell ref="Y78:AC78"/>
    <mergeCell ref="B77:G77"/>
    <mergeCell ref="H77:J77"/>
    <mergeCell ref="K77:N77"/>
    <mergeCell ref="Y74:AC74"/>
    <mergeCell ref="T73:X73"/>
    <mergeCell ref="O77:S77"/>
    <mergeCell ref="T77:X77"/>
    <mergeCell ref="Y77:AC77"/>
    <mergeCell ref="B76:N76"/>
    <mergeCell ref="O76:S76"/>
    <mergeCell ref="B79:G79"/>
    <mergeCell ref="O79:S79"/>
    <mergeCell ref="T79:X79"/>
    <mergeCell ref="Y79:AC79"/>
    <mergeCell ref="K79:N79"/>
    <mergeCell ref="B62:G62"/>
    <mergeCell ref="K67:N67"/>
    <mergeCell ref="B65:G65"/>
    <mergeCell ref="B63:G63"/>
    <mergeCell ref="H64:J64"/>
    <mergeCell ref="H66:J66"/>
    <mergeCell ref="H69:J69"/>
    <mergeCell ref="K69:N69"/>
    <mergeCell ref="K66:N66"/>
    <mergeCell ref="B66:G66"/>
    <mergeCell ref="B69:G69"/>
    <mergeCell ref="T65:X65"/>
    <mergeCell ref="T58:X58"/>
    <mergeCell ref="Y65:AC65"/>
    <mergeCell ref="Y58:AC58"/>
    <mergeCell ref="Y57:AC57"/>
    <mergeCell ref="K54:N54"/>
    <mergeCell ref="B54:G54"/>
    <mergeCell ref="K59:N59"/>
    <mergeCell ref="K60:N60"/>
    <mergeCell ref="B56:G56"/>
    <mergeCell ref="B57:G57"/>
    <mergeCell ref="H56:J56"/>
    <mergeCell ref="T64:X64"/>
    <mergeCell ref="Y63:AC63"/>
    <mergeCell ref="Y55:AC55"/>
    <mergeCell ref="Y64:AC64"/>
    <mergeCell ref="Y59:AC59"/>
    <mergeCell ref="Y60:AC60"/>
    <mergeCell ref="Y62:AC62"/>
    <mergeCell ref="Y61:AC61"/>
    <mergeCell ref="O54:S54"/>
    <mergeCell ref="O56:S56"/>
    <mergeCell ref="O55:S55"/>
    <mergeCell ref="H61:J61"/>
    <mergeCell ref="Y68:AC68"/>
    <mergeCell ref="Y69:AC69"/>
    <mergeCell ref="K71:N71"/>
    <mergeCell ref="K68:N68"/>
    <mergeCell ref="H68:J68"/>
    <mergeCell ref="Y67:AC67"/>
    <mergeCell ref="Y66:AC66"/>
    <mergeCell ref="O61:S61"/>
    <mergeCell ref="O62:S62"/>
    <mergeCell ref="T70:X70"/>
    <mergeCell ref="O65:S65"/>
    <mergeCell ref="O67:S67"/>
    <mergeCell ref="O68:S68"/>
    <mergeCell ref="O69:S69"/>
    <mergeCell ref="T67:X67"/>
    <mergeCell ref="O64:S64"/>
    <mergeCell ref="T63:X63"/>
    <mergeCell ref="T66:X66"/>
    <mergeCell ref="O66:S66"/>
    <mergeCell ref="T68:X68"/>
    <mergeCell ref="T69:X69"/>
    <mergeCell ref="O70:S70"/>
    <mergeCell ref="O63:S63"/>
    <mergeCell ref="T61:X61"/>
    <mergeCell ref="O72:S72"/>
    <mergeCell ref="H73:J73"/>
    <mergeCell ref="K73:N73"/>
    <mergeCell ref="Y72:AC72"/>
    <mergeCell ref="B72:N72"/>
    <mergeCell ref="Y71:AC71"/>
    <mergeCell ref="T72:X72"/>
    <mergeCell ref="Y70:AC70"/>
    <mergeCell ref="O71:S71"/>
    <mergeCell ref="T71:X71"/>
    <mergeCell ref="B71:G71"/>
    <mergeCell ref="H71:J71"/>
    <mergeCell ref="B70:G70"/>
    <mergeCell ref="H70:J70"/>
    <mergeCell ref="B86:AC86"/>
    <mergeCell ref="B81:N81"/>
    <mergeCell ref="O81:S81"/>
    <mergeCell ref="T81:X81"/>
    <mergeCell ref="Y81:AC81"/>
    <mergeCell ref="B83:AC83"/>
    <mergeCell ref="B84:AC84"/>
    <mergeCell ref="B75:G75"/>
    <mergeCell ref="H75:J75"/>
    <mergeCell ref="K75:N75"/>
    <mergeCell ref="O75:S75"/>
    <mergeCell ref="T75:X75"/>
    <mergeCell ref="Y75:AC75"/>
    <mergeCell ref="T76:X76"/>
    <mergeCell ref="Y76:AC76"/>
    <mergeCell ref="B78:G78"/>
    <mergeCell ref="H78:J78"/>
    <mergeCell ref="K78:N78"/>
    <mergeCell ref="O78:S78"/>
    <mergeCell ref="K80:N80"/>
    <mergeCell ref="O80:S80"/>
    <mergeCell ref="T80:X80"/>
    <mergeCell ref="Y80:AC80"/>
    <mergeCell ref="B80:G80"/>
    <mergeCell ref="T48:X48"/>
    <mergeCell ref="T42:X42"/>
    <mergeCell ref="Y44:AC44"/>
    <mergeCell ref="Y39:AC39"/>
    <mergeCell ref="T39:X39"/>
    <mergeCell ref="Y43:AC43"/>
    <mergeCell ref="Y33:AC33"/>
    <mergeCell ref="T35:X35"/>
    <mergeCell ref="Y37:AC37"/>
    <mergeCell ref="T45:X45"/>
    <mergeCell ref="T38:X38"/>
    <mergeCell ref="Y38:AC38"/>
    <mergeCell ref="Y48:AC48"/>
    <mergeCell ref="T44:X44"/>
    <mergeCell ref="Y34:AC34"/>
    <mergeCell ref="T47:X47"/>
    <mergeCell ref="Y47:AC47"/>
    <mergeCell ref="T43:X43"/>
    <mergeCell ref="Y36:AC36"/>
    <mergeCell ref="T40:X40"/>
    <mergeCell ref="Y40:AC40"/>
    <mergeCell ref="Y52:AC52"/>
    <mergeCell ref="O52:S52"/>
    <mergeCell ref="T52:X52"/>
    <mergeCell ref="O59:S59"/>
    <mergeCell ref="Y56:AC56"/>
    <mergeCell ref="O57:S57"/>
    <mergeCell ref="O58:S58"/>
    <mergeCell ref="T57:X57"/>
    <mergeCell ref="T62:X62"/>
    <mergeCell ref="T59:X59"/>
    <mergeCell ref="T54:X54"/>
    <mergeCell ref="T55:X55"/>
    <mergeCell ref="O53:S53"/>
    <mergeCell ref="T51:X51"/>
    <mergeCell ref="T53:X53"/>
    <mergeCell ref="Y54:AC54"/>
    <mergeCell ref="T56:X56"/>
    <mergeCell ref="T60:X60"/>
    <mergeCell ref="Y26:AC26"/>
    <mergeCell ref="Y24:AC24"/>
    <mergeCell ref="B27:G27"/>
    <mergeCell ref="Y53:AC53"/>
    <mergeCell ref="Y29:AC29"/>
    <mergeCell ref="Y31:AC31"/>
    <mergeCell ref="Y46:AC46"/>
    <mergeCell ref="T34:X34"/>
    <mergeCell ref="O50:S50"/>
    <mergeCell ref="Y51:AC51"/>
    <mergeCell ref="Y45:AC45"/>
    <mergeCell ref="T50:X50"/>
    <mergeCell ref="Y49:AC49"/>
    <mergeCell ref="Y50:AC50"/>
    <mergeCell ref="Y42:AC42"/>
    <mergeCell ref="O49:S49"/>
    <mergeCell ref="O46:S46"/>
    <mergeCell ref="T46:X46"/>
    <mergeCell ref="T49:X49"/>
    <mergeCell ref="B1:AC3"/>
    <mergeCell ref="P5:S5"/>
    <mergeCell ref="T5:AC5"/>
    <mergeCell ref="B6:E7"/>
    <mergeCell ref="F6:N7"/>
    <mergeCell ref="P6:S6"/>
    <mergeCell ref="T6:AC6"/>
    <mergeCell ref="P7:S8"/>
    <mergeCell ref="T7:AC8"/>
    <mergeCell ref="T18:X18"/>
    <mergeCell ref="B20:G20"/>
    <mergeCell ref="H20:J20"/>
    <mergeCell ref="K20:N20"/>
    <mergeCell ref="O20:S20"/>
    <mergeCell ref="B21:G21"/>
    <mergeCell ref="B19:G19"/>
    <mergeCell ref="K27:N27"/>
    <mergeCell ref="B29:G29"/>
    <mergeCell ref="B23:G23"/>
    <mergeCell ref="H23:J23"/>
    <mergeCell ref="K23:N23"/>
    <mergeCell ref="O23:S23"/>
    <mergeCell ref="T23:X23"/>
    <mergeCell ref="B24:G24"/>
    <mergeCell ref="O24:S24"/>
    <mergeCell ref="T24:X24"/>
    <mergeCell ref="B25:G25"/>
    <mergeCell ref="H25:J25"/>
    <mergeCell ref="T27:X27"/>
    <mergeCell ref="K28:N28"/>
    <mergeCell ref="T29:X29"/>
    <mergeCell ref="H28:J28"/>
    <mergeCell ref="B28:G28"/>
    <mergeCell ref="T19:X19"/>
    <mergeCell ref="Y19:AC19"/>
    <mergeCell ref="T20:X20"/>
    <mergeCell ref="Y20:AC20"/>
    <mergeCell ref="O31:S31"/>
    <mergeCell ref="Y25:AC25"/>
    <mergeCell ref="Y23:AC23"/>
    <mergeCell ref="Y27:AC27"/>
    <mergeCell ref="T31:X31"/>
    <mergeCell ref="Y28:AC28"/>
    <mergeCell ref="T25:X25"/>
    <mergeCell ref="O22:S22"/>
    <mergeCell ref="O51:S51"/>
    <mergeCell ref="B18:N18"/>
    <mergeCell ref="O18:S18"/>
    <mergeCell ref="O32:S32"/>
    <mergeCell ref="T9:AC9"/>
    <mergeCell ref="P10:S10"/>
    <mergeCell ref="T10:AC10"/>
    <mergeCell ref="O12:Q12"/>
    <mergeCell ref="S12:AC12"/>
    <mergeCell ref="Y16:AC16"/>
    <mergeCell ref="K16:N16"/>
    <mergeCell ref="O16:S16"/>
    <mergeCell ref="B13:G13"/>
    <mergeCell ref="O13:Q14"/>
    <mergeCell ref="R13:S14"/>
    <mergeCell ref="T13:AB14"/>
    <mergeCell ref="AC13:AC14"/>
    <mergeCell ref="O15:S15"/>
    <mergeCell ref="T15:X15"/>
    <mergeCell ref="Y15:AC15"/>
    <mergeCell ref="H13:M13"/>
    <mergeCell ref="H14:M14"/>
    <mergeCell ref="B14:G14"/>
    <mergeCell ref="T16:X16"/>
    <mergeCell ref="B9:N11"/>
    <mergeCell ref="P9:S9"/>
    <mergeCell ref="B16:G16"/>
    <mergeCell ref="H16:J16"/>
    <mergeCell ref="O29:S29"/>
    <mergeCell ref="O28:S28"/>
    <mergeCell ref="O34:S34"/>
    <mergeCell ref="O37:S37"/>
    <mergeCell ref="O33:S33"/>
    <mergeCell ref="H19:J19"/>
    <mergeCell ref="K19:N19"/>
    <mergeCell ref="O19:S19"/>
    <mergeCell ref="H21:J21"/>
    <mergeCell ref="K21:N21"/>
    <mergeCell ref="O21:S21"/>
    <mergeCell ref="K15:N15"/>
    <mergeCell ref="B15:G15"/>
    <mergeCell ref="H15:J15"/>
    <mergeCell ref="H24:J24"/>
    <mergeCell ref="K31:N31"/>
    <mergeCell ref="H35:J35"/>
    <mergeCell ref="B17:G17"/>
    <mergeCell ref="H17:J17"/>
    <mergeCell ref="K17:N17"/>
    <mergeCell ref="H49:J49"/>
    <mergeCell ref="H44:J44"/>
    <mergeCell ref="B58:G58"/>
    <mergeCell ref="H58:J58"/>
    <mergeCell ref="B59:G59"/>
    <mergeCell ref="K44:N44"/>
    <mergeCell ref="H48:J48"/>
    <mergeCell ref="K48:N48"/>
    <mergeCell ref="H46:J46"/>
    <mergeCell ref="K46:N46"/>
    <mergeCell ref="B46:G46"/>
    <mergeCell ref="B45:G45"/>
    <mergeCell ref="H45:J45"/>
    <mergeCell ref="K45:N45"/>
    <mergeCell ref="B47:G47"/>
    <mergeCell ref="H47:J47"/>
    <mergeCell ref="K47:N47"/>
    <mergeCell ref="K50:N50"/>
    <mergeCell ref="B51:G51"/>
    <mergeCell ref="H51:J51"/>
    <mergeCell ref="H59:J59"/>
    <mergeCell ref="K56:N56"/>
    <mergeCell ref="K51:N51"/>
    <mergeCell ref="K58:N58"/>
    <mergeCell ref="B48:G48"/>
    <mergeCell ref="B36:G36"/>
    <mergeCell ref="K22:N22"/>
    <mergeCell ref="O26:S26"/>
    <mergeCell ref="O36:S36"/>
    <mergeCell ref="O27:S27"/>
    <mergeCell ref="H27:J27"/>
    <mergeCell ref="K35:N35"/>
    <mergeCell ref="K32:N32"/>
    <mergeCell ref="K29:N29"/>
    <mergeCell ref="O39:S39"/>
    <mergeCell ref="O48:S48"/>
    <mergeCell ref="H29:J29"/>
    <mergeCell ref="B44:G44"/>
    <mergeCell ref="B33:G33"/>
    <mergeCell ref="B35:G35"/>
    <mergeCell ref="B42:N42"/>
    <mergeCell ref="K43:N43"/>
    <mergeCell ref="H38:J38"/>
    <mergeCell ref="K38:N38"/>
    <mergeCell ref="O42:S42"/>
    <mergeCell ref="O43:S43"/>
    <mergeCell ref="O47:S47"/>
    <mergeCell ref="H33:J33"/>
    <mergeCell ref="B49:G49"/>
    <mergeCell ref="K49:N49"/>
    <mergeCell ref="B39:G39"/>
    <mergeCell ref="B52:N52"/>
    <mergeCell ref="Y21:AC21"/>
    <mergeCell ref="O60:S60"/>
    <mergeCell ref="K57:N57"/>
    <mergeCell ref="O30:S30"/>
    <mergeCell ref="T30:X30"/>
    <mergeCell ref="Y30:AC30"/>
    <mergeCell ref="H30:J30"/>
    <mergeCell ref="H22:J22"/>
    <mergeCell ref="B50:G50"/>
    <mergeCell ref="H50:J50"/>
    <mergeCell ref="T22:X22"/>
    <mergeCell ref="Y22:AC22"/>
    <mergeCell ref="T21:X21"/>
    <mergeCell ref="B30:G30"/>
    <mergeCell ref="K30:N30"/>
    <mergeCell ref="H39:J39"/>
    <mergeCell ref="B34:G34"/>
    <mergeCell ref="K34:N34"/>
    <mergeCell ref="O44:S44"/>
    <mergeCell ref="B55:G55"/>
    <mergeCell ref="O45:S45"/>
    <mergeCell ref="B32:G32"/>
    <mergeCell ref="H32:J32"/>
    <mergeCell ref="B37:G37"/>
    <mergeCell ref="H34:J34"/>
    <mergeCell ref="K36:N36"/>
    <mergeCell ref="H36:J36"/>
    <mergeCell ref="O38:S38"/>
    <mergeCell ref="T32:X32"/>
    <mergeCell ref="O35:S35"/>
    <mergeCell ref="K37:N37"/>
    <mergeCell ref="T36:X36"/>
    <mergeCell ref="K33:N33"/>
    <mergeCell ref="T33:X33"/>
    <mergeCell ref="T37:X37"/>
    <mergeCell ref="B38:G38"/>
    <mergeCell ref="B43:G43"/>
    <mergeCell ref="H43:J43"/>
    <mergeCell ref="K39:N39"/>
    <mergeCell ref="B40:G40"/>
    <mergeCell ref="K40:N40"/>
    <mergeCell ref="O40:S40"/>
    <mergeCell ref="H40:J40"/>
    <mergeCell ref="O17:S17"/>
    <mergeCell ref="T17:X17"/>
    <mergeCell ref="Y17:AC17"/>
    <mergeCell ref="B41:G41"/>
    <mergeCell ref="H41:J41"/>
    <mergeCell ref="K41:N41"/>
    <mergeCell ref="O41:S41"/>
    <mergeCell ref="T41:X41"/>
    <mergeCell ref="Y41:AC41"/>
    <mergeCell ref="T28:X28"/>
    <mergeCell ref="B22:G22"/>
    <mergeCell ref="O25:S25"/>
    <mergeCell ref="B26:G26"/>
    <mergeCell ref="H26:J26"/>
    <mergeCell ref="B31:G31"/>
    <mergeCell ref="H31:J31"/>
    <mergeCell ref="K26:N26"/>
    <mergeCell ref="K25:N25"/>
    <mergeCell ref="K24:N24"/>
    <mergeCell ref="Y18:AC18"/>
    <mergeCell ref="T26:X26"/>
    <mergeCell ref="Y32:AC32"/>
    <mergeCell ref="Y35:AC35"/>
    <mergeCell ref="H37:J37"/>
  </mergeCells>
  <phoneticPr fontId="2" type="noConversion"/>
  <pageMargins left="0.7" right="0.7" top="0.75" bottom="0.75" header="0.3" footer="0.3"/>
  <pageSetup paperSize="9" scale="70" orientation="portrait" r:id="rId1"/>
  <ignoredErrors>
    <ignoredError sqref="P72:S72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U2225"/>
  <sheetViews>
    <sheetView showGridLines="0" zoomScale="85" zoomScaleNormal="85" workbookViewId="0">
      <pane ySplit="4" topLeftCell="A41" activePane="bottomLeft" state="frozen"/>
      <selection pane="bottomLeft" activeCell="D65" sqref="D65"/>
      <selection activeCell="L25" sqref="L25"/>
    </sheetView>
  </sheetViews>
  <sheetFormatPr defaultRowHeight="16.5"/>
  <cols>
    <col min="1" max="1" width="1.625" customWidth="1"/>
    <col min="2" max="2" width="28.375" bestFit="1" customWidth="1"/>
    <col min="3" max="6" width="11.625" customWidth="1"/>
    <col min="7" max="7" width="14.875" bestFit="1" customWidth="1"/>
    <col min="8" max="8" width="2.25" customWidth="1"/>
    <col min="9" max="9" width="28.375" customWidth="1"/>
    <col min="10" max="13" width="11.625" customWidth="1"/>
    <col min="14" max="14" width="14.875" customWidth="1"/>
    <col min="15" max="15" width="2.25" customWidth="1"/>
    <col min="16" max="16" width="28.375" customWidth="1"/>
    <col min="17" max="20" width="11.625" customWidth="1"/>
    <col min="21" max="21" width="14.875" customWidth="1"/>
  </cols>
  <sheetData>
    <row r="2" spans="2:21">
      <c r="B2" s="441" t="s">
        <v>66</v>
      </c>
      <c r="C2" s="441"/>
      <c r="D2" s="441"/>
      <c r="E2" s="441"/>
      <c r="F2" s="441"/>
      <c r="G2" s="441"/>
      <c r="I2" s="441" t="s">
        <v>67</v>
      </c>
      <c r="J2" s="441"/>
      <c r="K2" s="441"/>
      <c r="L2" s="441"/>
      <c r="M2" s="441"/>
      <c r="N2" s="441"/>
      <c r="P2" s="441" t="s">
        <v>68</v>
      </c>
      <c r="Q2" s="441"/>
      <c r="R2" s="441"/>
      <c r="S2" s="441"/>
      <c r="T2" s="441"/>
      <c r="U2" s="441"/>
    </row>
    <row r="3" spans="2:21">
      <c r="G3" s="8" t="s">
        <v>69</v>
      </c>
      <c r="N3" s="8" t="s">
        <v>69</v>
      </c>
      <c r="U3" s="8" t="s">
        <v>69</v>
      </c>
    </row>
    <row r="4" spans="2:21">
      <c r="B4" s="6" t="s">
        <v>70</v>
      </c>
      <c r="C4" s="6" t="s">
        <v>71</v>
      </c>
      <c r="D4" s="6" t="s">
        <v>72</v>
      </c>
      <c r="E4" s="6" t="s">
        <v>73</v>
      </c>
      <c r="F4" s="6" t="s">
        <v>74</v>
      </c>
      <c r="G4" s="6" t="s">
        <v>75</v>
      </c>
      <c r="I4" s="147" t="s">
        <v>70</v>
      </c>
      <c r="J4" s="147" t="s">
        <v>71</v>
      </c>
      <c r="K4" s="147" t="s">
        <v>72</v>
      </c>
      <c r="L4" s="147" t="s">
        <v>73</v>
      </c>
      <c r="M4" s="147" t="s">
        <v>74</v>
      </c>
      <c r="N4" s="147" t="s">
        <v>75</v>
      </c>
      <c r="P4" s="147" t="s">
        <v>70</v>
      </c>
      <c r="Q4" s="147" t="s">
        <v>71</v>
      </c>
      <c r="R4" s="147" t="s">
        <v>72</v>
      </c>
      <c r="S4" s="147" t="s">
        <v>73</v>
      </c>
      <c r="T4" s="147" t="s">
        <v>74</v>
      </c>
      <c r="U4" s="147" t="s">
        <v>75</v>
      </c>
    </row>
    <row r="5" spans="2:21">
      <c r="B5" s="59" t="s">
        <v>27</v>
      </c>
      <c r="C5" s="60">
        <f>보관료_합계!C37</f>
        <v>124</v>
      </c>
      <c r="D5" s="60">
        <v>20000</v>
      </c>
      <c r="E5" s="60">
        <f t="shared" ref="E5" si="0">C5*D5</f>
        <v>2480000</v>
      </c>
      <c r="F5" s="60">
        <f t="shared" ref="F5" si="1">E5*0.1</f>
        <v>248000</v>
      </c>
      <c r="G5" s="60">
        <f t="shared" ref="G5" si="2">SUM(E5:F5)</f>
        <v>2728000</v>
      </c>
      <c r="H5" s="37"/>
      <c r="I5" s="67" t="s">
        <v>76</v>
      </c>
      <c r="J5" s="7">
        <f>홈쇼핑!AA35</f>
        <v>4</v>
      </c>
      <c r="K5" s="7">
        <v>420</v>
      </c>
      <c r="L5" s="7">
        <f>J5*K5</f>
        <v>1680</v>
      </c>
      <c r="M5" s="7">
        <f>L5*0.1</f>
        <v>168</v>
      </c>
      <c r="N5" s="64">
        <f>SUM(L5:M5)</f>
        <v>1848</v>
      </c>
      <c r="P5" s="111" t="str">
        <f>도착보장!B2</f>
        <v>도착_아이스박스_2K</v>
      </c>
      <c r="Q5" s="61">
        <f>도착보장!B36</f>
        <v>0</v>
      </c>
      <c r="R5" s="61">
        <v>420</v>
      </c>
      <c r="S5" s="61">
        <f>Q5*R5</f>
        <v>0</v>
      </c>
      <c r="T5" s="61">
        <f>S5*0.1</f>
        <v>0</v>
      </c>
      <c r="U5" s="235">
        <f>SUM(S5:T5)</f>
        <v>0</v>
      </c>
    </row>
    <row r="6" spans="2:21" ht="17.25" thickBot="1">
      <c r="B6" s="59" t="s">
        <v>28</v>
      </c>
      <c r="C6" s="60">
        <f>보관료_합계!D37+보관료_합계!E37</f>
        <v>248</v>
      </c>
      <c r="D6" s="60">
        <v>27000</v>
      </c>
      <c r="E6" s="60">
        <f t="shared" ref="E6:E15" si="3">C6*D6</f>
        <v>6696000</v>
      </c>
      <c r="F6" s="60">
        <f t="shared" ref="F6:F15" si="4">E6*0.1</f>
        <v>669600</v>
      </c>
      <c r="G6" s="60">
        <f t="shared" ref="G6:G15" si="5">SUM(E6:F6)</f>
        <v>7365600</v>
      </c>
      <c r="H6" s="37"/>
      <c r="I6" s="67" t="s">
        <v>77</v>
      </c>
      <c r="J6" s="7">
        <f>홈쇼핑!B35+홈쇼핑!C35+홈쇼핑!AB35+홈쇼핑!AC35</f>
        <v>6</v>
      </c>
      <c r="K6" s="7">
        <v>550</v>
      </c>
      <c r="L6" s="7">
        <f>J6*K6</f>
        <v>3300</v>
      </c>
      <c r="M6" s="7">
        <f t="shared" ref="M6:M22" si="6">L6*0.1</f>
        <v>330</v>
      </c>
      <c r="N6" s="64">
        <f>SUM(L6:M6)</f>
        <v>3630</v>
      </c>
      <c r="P6" s="111" t="str">
        <f>도착보장!C2</f>
        <v>도착_아이스박스_1호</v>
      </c>
      <c r="Q6" s="61">
        <f>도착보장!C36+도착보장!K36</f>
        <v>11598</v>
      </c>
      <c r="R6" s="61">
        <v>550</v>
      </c>
      <c r="S6" s="61">
        <f>Q6*R6</f>
        <v>6378900</v>
      </c>
      <c r="T6" s="61">
        <f>S6*0.1</f>
        <v>637890</v>
      </c>
      <c r="U6" s="235">
        <f>SUM(S6:T6)</f>
        <v>7016790</v>
      </c>
    </row>
    <row r="7" spans="2:21">
      <c r="B7" s="266" t="str">
        <f>일반!B2</f>
        <v>일반_아이스박스_2K</v>
      </c>
      <c r="C7" s="62">
        <f>일반!B36</f>
        <v>0</v>
      </c>
      <c r="D7" s="62">
        <v>420</v>
      </c>
      <c r="E7" s="62">
        <f t="shared" si="3"/>
        <v>0</v>
      </c>
      <c r="F7" s="62">
        <f t="shared" si="4"/>
        <v>0</v>
      </c>
      <c r="G7" s="63">
        <f t="shared" si="5"/>
        <v>0</v>
      </c>
      <c r="H7" s="37"/>
      <c r="I7" s="67" t="s">
        <v>78</v>
      </c>
      <c r="J7" s="7">
        <f>홈쇼핑!D35+홈쇼핑!E35+홈쇼핑!AD35+홈쇼핑!AE35</f>
        <v>19</v>
      </c>
      <c r="K7" s="7">
        <v>650</v>
      </c>
      <c r="L7" s="7">
        <f>J7*K7</f>
        <v>12350</v>
      </c>
      <c r="M7" s="7">
        <f>L7*0.1</f>
        <v>1235</v>
      </c>
      <c r="N7" s="64">
        <f>SUM(L7:M7)</f>
        <v>13585</v>
      </c>
      <c r="P7" s="67" t="str">
        <f>도착보장!D2</f>
        <v>도착_아이스박스_T135</v>
      </c>
      <c r="Q7" s="7">
        <f>도착보장!D36+도착보장!L36</f>
        <v>1984</v>
      </c>
      <c r="R7" s="7">
        <v>650</v>
      </c>
      <c r="S7" s="7">
        <f>Q7*R7</f>
        <v>1289600</v>
      </c>
      <c r="T7" s="7">
        <f>S7*0.1</f>
        <v>128960</v>
      </c>
      <c r="U7" s="64">
        <f>SUM(S7:T7)</f>
        <v>1418560</v>
      </c>
    </row>
    <row r="8" spans="2:21">
      <c r="B8" s="111" t="str">
        <f>일반!C2</f>
        <v>일반_아이스박스_1호</v>
      </c>
      <c r="C8" s="61">
        <f>일반!C36+일반!K36</f>
        <v>14569</v>
      </c>
      <c r="D8" s="61">
        <v>550</v>
      </c>
      <c r="E8" s="61">
        <f t="shared" si="3"/>
        <v>8012950</v>
      </c>
      <c r="F8" s="61">
        <f t="shared" si="4"/>
        <v>801295</v>
      </c>
      <c r="G8" s="235">
        <f t="shared" si="5"/>
        <v>8814245</v>
      </c>
      <c r="H8" s="37"/>
      <c r="I8" s="212" t="s">
        <v>79</v>
      </c>
      <c r="J8" s="210">
        <f>홈쇼핑!F35+홈쇼핑!G35+홈쇼핑!AF35+홈쇼핑!AG35</f>
        <v>0</v>
      </c>
      <c r="K8" s="210">
        <v>750</v>
      </c>
      <c r="L8" s="210">
        <f t="shared" ref="L8:L22" si="7">J8*K8</f>
        <v>0</v>
      </c>
      <c r="M8" s="210">
        <f t="shared" si="6"/>
        <v>0</v>
      </c>
      <c r="N8" s="228">
        <f t="shared" ref="N8:N22" si="8">SUM(L8:M8)</f>
        <v>0</v>
      </c>
      <c r="P8" s="67" t="str">
        <f>도착보장!E2</f>
        <v>도착_아이스박스_2호</v>
      </c>
      <c r="Q8" s="7">
        <f>도착보장!E36+도착보장!M36</f>
        <v>2017</v>
      </c>
      <c r="R8" s="7">
        <v>750</v>
      </c>
      <c r="S8" s="7">
        <f t="shared" ref="S8:S39" si="9">Q8*R8</f>
        <v>1512750</v>
      </c>
      <c r="T8" s="7">
        <f t="shared" ref="T8:T39" si="10">S8*0.1</f>
        <v>151275</v>
      </c>
      <c r="U8" s="64">
        <f t="shared" ref="U8:U39" si="11">SUM(S8:T8)</f>
        <v>1664025</v>
      </c>
    </row>
    <row r="9" spans="2:21">
      <c r="B9" s="111" t="str">
        <f>일반!D2</f>
        <v>일반_아이스박스_T135</v>
      </c>
      <c r="C9" s="68">
        <f>일반!D36+일반!L36</f>
        <v>4779</v>
      </c>
      <c r="D9" s="68">
        <v>650</v>
      </c>
      <c r="E9" s="61">
        <f t="shared" si="3"/>
        <v>3106350</v>
      </c>
      <c r="F9" s="7">
        <f t="shared" si="4"/>
        <v>310635</v>
      </c>
      <c r="G9" s="64">
        <f t="shared" si="5"/>
        <v>3416985</v>
      </c>
      <c r="H9" s="1"/>
      <c r="I9" s="262" t="s">
        <v>80</v>
      </c>
      <c r="J9" s="60">
        <f>홈쇼핑!H35+홈쇼핑!I35+홈쇼핑!AH35+홈쇼핑!AI35</f>
        <v>25</v>
      </c>
      <c r="K9" s="60">
        <v>1000</v>
      </c>
      <c r="L9" s="68">
        <f>J9*K9</f>
        <v>25000</v>
      </c>
      <c r="M9" s="60">
        <f>L9*0.1</f>
        <v>2500</v>
      </c>
      <c r="N9" s="64">
        <f>SUM(L9:M9)</f>
        <v>27500</v>
      </c>
      <c r="P9" s="67" t="str">
        <f>도착보장!F2</f>
        <v>도착_아이스박스_3호</v>
      </c>
      <c r="Q9" s="7">
        <f>도착보장!F36+도착보장!N36</f>
        <v>1885</v>
      </c>
      <c r="R9" s="7">
        <v>1000</v>
      </c>
      <c r="S9" s="7">
        <f t="shared" si="9"/>
        <v>1885000</v>
      </c>
      <c r="T9" s="7">
        <f t="shared" si="10"/>
        <v>188500</v>
      </c>
      <c r="U9" s="64">
        <f t="shared" si="11"/>
        <v>2073500</v>
      </c>
    </row>
    <row r="10" spans="2:21">
      <c r="B10" s="67" t="str">
        <f>일반!E2</f>
        <v>일반_아이스박스_2호</v>
      </c>
      <c r="C10" s="60">
        <f>일반!E36+일반!M36</f>
        <v>2466</v>
      </c>
      <c r="D10" s="60">
        <v>750</v>
      </c>
      <c r="E10" s="7">
        <f t="shared" si="3"/>
        <v>1849500</v>
      </c>
      <c r="F10" s="7">
        <f t="shared" si="4"/>
        <v>184950</v>
      </c>
      <c r="G10" s="64">
        <f t="shared" si="5"/>
        <v>2034450</v>
      </c>
      <c r="H10" s="1"/>
      <c r="I10" s="212" t="s">
        <v>81</v>
      </c>
      <c r="J10" s="210">
        <f>홈쇼핑!J35+홈쇼핑!K35+홈쇼핑!AJ35+홈쇼핑!AK35</f>
        <v>0</v>
      </c>
      <c r="K10" s="210">
        <v>1350</v>
      </c>
      <c r="L10" s="210">
        <f>J10*K10</f>
        <v>0</v>
      </c>
      <c r="M10" s="210">
        <f>L10*0.1</f>
        <v>0</v>
      </c>
      <c r="N10" s="228">
        <f>SUM(L10:M10)</f>
        <v>0</v>
      </c>
      <c r="P10" s="67" t="str">
        <f>도착보장!G2</f>
        <v>도착_아이스박스_4호</v>
      </c>
      <c r="Q10" s="7">
        <f>도착보장!G36+도착보장!O36</f>
        <v>474</v>
      </c>
      <c r="R10" s="7">
        <v>1350</v>
      </c>
      <c r="S10" s="7">
        <f t="shared" si="9"/>
        <v>639900</v>
      </c>
      <c r="T10" s="7">
        <f t="shared" si="10"/>
        <v>63990</v>
      </c>
      <c r="U10" s="64">
        <f t="shared" si="11"/>
        <v>703890</v>
      </c>
    </row>
    <row r="11" spans="2:21">
      <c r="B11" s="67" t="str">
        <f>일반!F2</f>
        <v>일반_아이스박스_3호</v>
      </c>
      <c r="C11" s="60">
        <f>일반!F36+일반!N36</f>
        <v>10059</v>
      </c>
      <c r="D11" s="60">
        <v>1000</v>
      </c>
      <c r="E11" s="7">
        <f t="shared" si="3"/>
        <v>10059000</v>
      </c>
      <c r="F11" s="7">
        <f t="shared" si="4"/>
        <v>1005900</v>
      </c>
      <c r="G11" s="64">
        <f t="shared" si="5"/>
        <v>11064900</v>
      </c>
      <c r="H11" s="1"/>
      <c r="I11" s="67" t="s">
        <v>82</v>
      </c>
      <c r="J11" s="60">
        <f>홈쇼핑!P35+홈쇼핑!AP35</f>
        <v>5</v>
      </c>
      <c r="K11" s="60">
        <v>210</v>
      </c>
      <c r="L11" s="61">
        <f t="shared" si="7"/>
        <v>1050</v>
      </c>
      <c r="M11" s="7">
        <f t="shared" si="6"/>
        <v>105</v>
      </c>
      <c r="N11" s="64">
        <f t="shared" si="8"/>
        <v>1155</v>
      </c>
      <c r="P11" s="67" t="str">
        <f>도착보장!H2</f>
        <v>도착_아이스박스_5호</v>
      </c>
      <c r="Q11" s="7">
        <f>도착보장!H36+도착보장!P36</f>
        <v>240</v>
      </c>
      <c r="R11" s="7">
        <v>1750</v>
      </c>
      <c r="S11" s="7">
        <f t="shared" si="9"/>
        <v>420000</v>
      </c>
      <c r="T11" s="7">
        <f t="shared" si="10"/>
        <v>42000</v>
      </c>
      <c r="U11" s="64">
        <f t="shared" si="11"/>
        <v>462000</v>
      </c>
    </row>
    <row r="12" spans="2:21">
      <c r="B12" s="67" t="str">
        <f>일반!G2</f>
        <v>일반_아이스박스_4호</v>
      </c>
      <c r="C12" s="60">
        <f>일반!G36+일반!O36</f>
        <v>873</v>
      </c>
      <c r="D12" s="60">
        <v>1350</v>
      </c>
      <c r="E12" s="7">
        <f t="shared" si="3"/>
        <v>1178550</v>
      </c>
      <c r="F12" s="7">
        <f t="shared" si="4"/>
        <v>117855</v>
      </c>
      <c r="G12" s="64">
        <f t="shared" si="5"/>
        <v>1296405</v>
      </c>
      <c r="H12" s="1"/>
      <c r="I12" s="212" t="s">
        <v>83</v>
      </c>
      <c r="J12" s="210">
        <f>홈쇼핑!Q35+홈쇼핑!AQ35</f>
        <v>0</v>
      </c>
      <c r="K12" s="210">
        <v>330</v>
      </c>
      <c r="L12" s="210">
        <f t="shared" si="7"/>
        <v>0</v>
      </c>
      <c r="M12" s="210">
        <f t="shared" si="6"/>
        <v>0</v>
      </c>
      <c r="N12" s="228">
        <f t="shared" si="8"/>
        <v>0</v>
      </c>
      <c r="P12" s="67" t="str">
        <f>도착보장!I2</f>
        <v>도착_아이스박스_6호</v>
      </c>
      <c r="Q12" s="7">
        <f>도착보장!I36+도착보장!Q36+도착보장!AC36</f>
        <v>42</v>
      </c>
      <c r="R12" s="7">
        <v>1950</v>
      </c>
      <c r="S12" s="7">
        <f t="shared" si="9"/>
        <v>81900</v>
      </c>
      <c r="T12" s="7">
        <f t="shared" si="10"/>
        <v>8190</v>
      </c>
      <c r="U12" s="64">
        <f t="shared" si="11"/>
        <v>90090</v>
      </c>
    </row>
    <row r="13" spans="2:21">
      <c r="B13" s="67" t="str">
        <f>일반!H2</f>
        <v>일반_아이스박스_5호</v>
      </c>
      <c r="C13" s="60">
        <f>일반!H36+일반!P36</f>
        <v>340</v>
      </c>
      <c r="D13" s="60">
        <v>1750</v>
      </c>
      <c r="E13" s="7">
        <f t="shared" si="3"/>
        <v>595000</v>
      </c>
      <c r="F13" s="7">
        <f t="shared" si="4"/>
        <v>59500</v>
      </c>
      <c r="G13" s="64">
        <f t="shared" si="5"/>
        <v>654500</v>
      </c>
      <c r="H13" s="1"/>
      <c r="I13" s="212" t="s">
        <v>84</v>
      </c>
      <c r="J13" s="210">
        <v>0</v>
      </c>
      <c r="K13" s="210">
        <v>370</v>
      </c>
      <c r="L13" s="210">
        <f>J13*K13</f>
        <v>0</v>
      </c>
      <c r="M13" s="210">
        <f>L13*0.1</f>
        <v>0</v>
      </c>
      <c r="N13" s="228">
        <f>SUM(L13:M13)</f>
        <v>0</v>
      </c>
      <c r="P13" s="67" t="str">
        <f>도착보장!J2</f>
        <v>도착_아이스박스_7호</v>
      </c>
      <c r="Q13" s="7">
        <f>도착보장!J36+도착보장!R36+도착보장!AD36</f>
        <v>13</v>
      </c>
      <c r="R13" s="7">
        <v>2500</v>
      </c>
      <c r="S13" s="7">
        <f t="shared" si="9"/>
        <v>32500</v>
      </c>
      <c r="T13" s="7">
        <f t="shared" si="10"/>
        <v>3250</v>
      </c>
      <c r="U13" s="64">
        <f t="shared" si="11"/>
        <v>35750</v>
      </c>
    </row>
    <row r="14" spans="2:21">
      <c r="B14" s="67" t="str">
        <f>일반!I2</f>
        <v>일반_아이스박스_6호</v>
      </c>
      <c r="C14" s="60">
        <f>일반!I36+일반!Q36+일반!AC36</f>
        <v>112</v>
      </c>
      <c r="D14" s="60">
        <v>1950</v>
      </c>
      <c r="E14" s="7">
        <f t="shared" si="3"/>
        <v>218400</v>
      </c>
      <c r="F14" s="7">
        <f t="shared" si="4"/>
        <v>21840</v>
      </c>
      <c r="G14" s="64">
        <f t="shared" si="5"/>
        <v>240240</v>
      </c>
      <c r="H14" s="1"/>
      <c r="I14" s="212" t="s">
        <v>85</v>
      </c>
      <c r="J14" s="213"/>
      <c r="K14" s="213">
        <v>540</v>
      </c>
      <c r="L14" s="214">
        <f t="shared" si="7"/>
        <v>0</v>
      </c>
      <c r="M14" s="210">
        <f t="shared" si="6"/>
        <v>0</v>
      </c>
      <c r="N14" s="211">
        <f t="shared" si="8"/>
        <v>0</v>
      </c>
      <c r="P14" s="67" t="str">
        <f>도착보장!T2</f>
        <v>도착_종이박스_1호</v>
      </c>
      <c r="Q14" s="7">
        <f>도착보장!T36</f>
        <v>2189</v>
      </c>
      <c r="R14" s="7">
        <v>210</v>
      </c>
      <c r="S14" s="7">
        <f t="shared" si="9"/>
        <v>459690</v>
      </c>
      <c r="T14" s="7">
        <f t="shared" si="10"/>
        <v>45969</v>
      </c>
      <c r="U14" s="64">
        <f t="shared" si="11"/>
        <v>505659</v>
      </c>
    </row>
    <row r="15" spans="2:21">
      <c r="B15" s="67" t="str">
        <f>일반!J2</f>
        <v>일반_아이스박스_7호</v>
      </c>
      <c r="C15" s="60">
        <f>일반!J36+일반!R36+일반!AD36</f>
        <v>71</v>
      </c>
      <c r="D15" s="60">
        <v>2500</v>
      </c>
      <c r="E15" s="7">
        <f t="shared" si="3"/>
        <v>177500</v>
      </c>
      <c r="F15" s="7">
        <f t="shared" si="4"/>
        <v>17750</v>
      </c>
      <c r="G15" s="64">
        <f t="shared" si="5"/>
        <v>195250</v>
      </c>
      <c r="H15" s="1"/>
      <c r="I15" s="309" t="str">
        <f>홈쇼핑!AT2</f>
        <v>아이스팩_500g</v>
      </c>
      <c r="J15" s="60">
        <f>홈쇼핑!AT35</f>
        <v>113</v>
      </c>
      <c r="K15" s="60">
        <v>150</v>
      </c>
      <c r="L15" s="61">
        <f t="shared" si="7"/>
        <v>16950</v>
      </c>
      <c r="M15" s="7">
        <f t="shared" si="6"/>
        <v>1695</v>
      </c>
      <c r="N15" s="64">
        <f t="shared" si="8"/>
        <v>18645</v>
      </c>
      <c r="P15" s="67" t="str">
        <f>도착보장!U2</f>
        <v>도착_종이박스_2호</v>
      </c>
      <c r="Q15" s="7">
        <f>도착보장!U36</f>
        <v>375</v>
      </c>
      <c r="R15" s="7">
        <v>330</v>
      </c>
      <c r="S15" s="7">
        <f t="shared" si="9"/>
        <v>123750</v>
      </c>
      <c r="T15" s="7">
        <f t="shared" si="10"/>
        <v>12375</v>
      </c>
      <c r="U15" s="64">
        <f t="shared" si="11"/>
        <v>136125</v>
      </c>
    </row>
    <row r="16" spans="2:21">
      <c r="B16" s="67" t="str">
        <f>일반!T2</f>
        <v>일반_종이박스_1호</v>
      </c>
      <c r="C16" s="60">
        <f>일반!T36</f>
        <v>4074</v>
      </c>
      <c r="D16" s="60">
        <v>210</v>
      </c>
      <c r="E16" s="7">
        <f t="shared" ref="E16:E21" si="12">C16*D16</f>
        <v>855540</v>
      </c>
      <c r="F16" s="7">
        <f t="shared" ref="F16:F21" si="13">E16*0.1</f>
        <v>85554</v>
      </c>
      <c r="G16" s="64">
        <f t="shared" ref="G16:G21" si="14">SUM(E16:F16)</f>
        <v>941094</v>
      </c>
      <c r="H16" s="1"/>
      <c r="I16" s="309" t="str">
        <f>홈쇼핑!AU2</f>
        <v>아이스팩_1000g</v>
      </c>
      <c r="J16" s="60">
        <f>홈쇼핑!AU35</f>
        <v>66</v>
      </c>
      <c r="K16" s="60">
        <v>250</v>
      </c>
      <c r="L16" s="61">
        <f t="shared" si="7"/>
        <v>16500</v>
      </c>
      <c r="M16" s="7">
        <f t="shared" si="6"/>
        <v>1650</v>
      </c>
      <c r="N16" s="64">
        <f t="shared" si="8"/>
        <v>18150</v>
      </c>
      <c r="P16" s="209" t="str">
        <f>도착보장!V2</f>
        <v>도착_종이박스_2호(강)</v>
      </c>
      <c r="Q16" s="210">
        <f>도착보장!V36</f>
        <v>0</v>
      </c>
      <c r="R16" s="210">
        <v>370</v>
      </c>
      <c r="S16" s="210">
        <f>Q16*R16</f>
        <v>0</v>
      </c>
      <c r="T16" s="210">
        <f>S16*0.1</f>
        <v>0</v>
      </c>
      <c r="U16" s="211">
        <f>SUM(S16:T16)</f>
        <v>0</v>
      </c>
    </row>
    <row r="17" spans="2:21">
      <c r="B17" s="67" t="str">
        <f>일반!U2</f>
        <v>일반_종이박스_2호</v>
      </c>
      <c r="C17" s="60">
        <f>일반!U36</f>
        <v>344</v>
      </c>
      <c r="D17" s="60">
        <v>330</v>
      </c>
      <c r="E17" s="7">
        <f t="shared" si="12"/>
        <v>113520</v>
      </c>
      <c r="F17" s="7">
        <f t="shared" si="13"/>
        <v>11352</v>
      </c>
      <c r="G17" s="64">
        <f t="shared" si="14"/>
        <v>124872</v>
      </c>
      <c r="H17" s="1"/>
      <c r="I17" s="309" t="str">
        <f>홈쇼핑!AV2</f>
        <v>PCM</v>
      </c>
      <c r="J17" s="60">
        <f>홈쇼핑!AV35</f>
        <v>109</v>
      </c>
      <c r="K17" s="60">
        <v>250</v>
      </c>
      <c r="L17" s="61">
        <f>J17*K17</f>
        <v>27250</v>
      </c>
      <c r="M17" s="7">
        <f>L17*0.1</f>
        <v>2725</v>
      </c>
      <c r="N17" s="64">
        <f>SUM(L17:M17)</f>
        <v>29975</v>
      </c>
      <c r="P17" s="67" t="str">
        <f>도착보장!W2</f>
        <v>도착_종이박스_3호</v>
      </c>
      <c r="Q17" s="7">
        <f>도착보장!W36</f>
        <v>48</v>
      </c>
      <c r="R17" s="7">
        <v>540</v>
      </c>
      <c r="S17" s="7">
        <f t="shared" si="9"/>
        <v>25920</v>
      </c>
      <c r="T17" s="7">
        <f t="shared" si="10"/>
        <v>2592</v>
      </c>
      <c r="U17" s="64">
        <f t="shared" si="11"/>
        <v>28512</v>
      </c>
    </row>
    <row r="18" spans="2:21">
      <c r="B18" s="212" t="str">
        <f>일반!V2</f>
        <v>일반_종이박스_2호 (강)</v>
      </c>
      <c r="C18" s="213">
        <f>일반!V36</f>
        <v>0</v>
      </c>
      <c r="D18" s="213">
        <v>370</v>
      </c>
      <c r="E18" s="210">
        <f>C18*D18</f>
        <v>0</v>
      </c>
      <c r="F18" s="210">
        <f>E18*0.1</f>
        <v>0</v>
      </c>
      <c r="G18" s="211">
        <f>SUM(E18:F18)</f>
        <v>0</v>
      </c>
      <c r="H18" s="1"/>
      <c r="I18" s="209" t="str">
        <f>홈쇼핑!AW2</f>
        <v>드라이아이스</v>
      </c>
      <c r="J18" s="213">
        <f>홈쇼핑!AW35</f>
        <v>0</v>
      </c>
      <c r="K18" s="213">
        <v>480</v>
      </c>
      <c r="L18" s="214">
        <f t="shared" si="7"/>
        <v>0</v>
      </c>
      <c r="M18" s="210">
        <f t="shared" si="6"/>
        <v>0</v>
      </c>
      <c r="N18" s="211">
        <f t="shared" si="8"/>
        <v>0</v>
      </c>
      <c r="P18" s="67" t="str">
        <f>도착보장!X2</f>
        <v>도착_종이박스_4호</v>
      </c>
      <c r="Q18" s="7">
        <f>도착보장!X36</f>
        <v>0</v>
      </c>
      <c r="R18" s="7">
        <v>700</v>
      </c>
      <c r="S18" s="7">
        <f t="shared" si="9"/>
        <v>0</v>
      </c>
      <c r="T18" s="7">
        <f t="shared" si="10"/>
        <v>0</v>
      </c>
      <c r="U18" s="64">
        <f t="shared" si="11"/>
        <v>0</v>
      </c>
    </row>
    <row r="19" spans="2:21">
      <c r="B19" s="67" t="str">
        <f>일반!W2</f>
        <v>일반_종이박스_3호</v>
      </c>
      <c r="C19" s="60">
        <f>일반!W36</f>
        <v>106</v>
      </c>
      <c r="D19" s="60">
        <v>540</v>
      </c>
      <c r="E19" s="7">
        <f t="shared" si="12"/>
        <v>57240</v>
      </c>
      <c r="F19" s="7">
        <f t="shared" si="13"/>
        <v>5724</v>
      </c>
      <c r="G19" s="64">
        <f t="shared" si="14"/>
        <v>62964</v>
      </c>
      <c r="H19" s="1"/>
      <c r="I19" s="74" t="str">
        <f>일반!AV$2</f>
        <v>작업료_세트/홈쇼핑</v>
      </c>
      <c r="J19" s="7">
        <f>홈쇼핑!AY35</f>
        <v>96</v>
      </c>
      <c r="K19" s="221">
        <v>450</v>
      </c>
      <c r="L19" s="61">
        <f t="shared" si="7"/>
        <v>43200</v>
      </c>
      <c r="M19" s="7">
        <f t="shared" si="6"/>
        <v>4320</v>
      </c>
      <c r="N19" s="64">
        <f t="shared" si="8"/>
        <v>47520</v>
      </c>
      <c r="P19" s="209" t="str">
        <f>도착보장!Y2</f>
        <v>도착_종이박스_5호</v>
      </c>
      <c r="Q19" s="210">
        <f>도착보장!Y36</f>
        <v>0</v>
      </c>
      <c r="R19" s="210">
        <v>1100</v>
      </c>
      <c r="S19" s="210">
        <f t="shared" si="9"/>
        <v>0</v>
      </c>
      <c r="T19" s="210">
        <f t="shared" si="10"/>
        <v>0</v>
      </c>
      <c r="U19" s="211">
        <f t="shared" si="11"/>
        <v>0</v>
      </c>
    </row>
    <row r="20" spans="2:21">
      <c r="B20" s="67" t="str">
        <f>일반!X2</f>
        <v>일반_종이박스_4호</v>
      </c>
      <c r="C20" s="60">
        <f>일반!X36</f>
        <v>3</v>
      </c>
      <c r="D20" s="60">
        <v>700</v>
      </c>
      <c r="E20" s="7">
        <f t="shared" si="12"/>
        <v>2100</v>
      </c>
      <c r="F20" s="7">
        <f t="shared" si="13"/>
        <v>210</v>
      </c>
      <c r="G20" s="64">
        <f t="shared" si="14"/>
        <v>2310</v>
      </c>
      <c r="H20" s="1"/>
      <c r="I20" s="148" t="str">
        <f>홈쇼핑!BA2</f>
        <v>저온_택배비_극소</v>
      </c>
      <c r="J20" s="7">
        <f>홈쇼핑!BA35</f>
        <v>15</v>
      </c>
      <c r="K20" s="7">
        <v>2050</v>
      </c>
      <c r="L20" s="7">
        <f t="shared" si="7"/>
        <v>30750</v>
      </c>
      <c r="M20" s="7">
        <f t="shared" si="6"/>
        <v>3075</v>
      </c>
      <c r="N20" s="64">
        <f t="shared" si="8"/>
        <v>33825</v>
      </c>
      <c r="P20" s="145" t="str">
        <f>도착보장!AL2</f>
        <v>도착_아이스팩_500g</v>
      </c>
      <c r="Q20" s="7">
        <f>도착보장!AL36</f>
        <v>10946</v>
      </c>
      <c r="R20" s="7">
        <v>150</v>
      </c>
      <c r="S20" s="7">
        <f t="shared" si="9"/>
        <v>1641900</v>
      </c>
      <c r="T20" s="7">
        <f t="shared" si="10"/>
        <v>164190</v>
      </c>
      <c r="U20" s="64">
        <f t="shared" si="11"/>
        <v>1806090</v>
      </c>
    </row>
    <row r="21" spans="2:21">
      <c r="B21" s="212" t="str">
        <f>일반!Y2</f>
        <v>일반_종이박스_5호</v>
      </c>
      <c r="C21" s="213">
        <f>일반!Y36</f>
        <v>0</v>
      </c>
      <c r="D21" s="213">
        <v>1100</v>
      </c>
      <c r="E21" s="210">
        <f t="shared" si="12"/>
        <v>0</v>
      </c>
      <c r="F21" s="210">
        <f t="shared" si="13"/>
        <v>0</v>
      </c>
      <c r="G21" s="211">
        <f t="shared" si="14"/>
        <v>0</v>
      </c>
      <c r="H21" s="1"/>
      <c r="I21" s="148" t="str">
        <f>홈쇼핑!BB2</f>
        <v>저온_택배비_소</v>
      </c>
      <c r="J21" s="7">
        <f>홈쇼핑!BB35</f>
        <v>25</v>
      </c>
      <c r="K21" s="7">
        <v>2550</v>
      </c>
      <c r="L21" s="7">
        <f t="shared" si="7"/>
        <v>63750</v>
      </c>
      <c r="M21" s="7">
        <f t="shared" si="6"/>
        <v>6375</v>
      </c>
      <c r="N21" s="64">
        <f t="shared" si="8"/>
        <v>70125</v>
      </c>
      <c r="P21" s="145" t="str">
        <f>도착보장!AM2</f>
        <v>도착_아이스팩_1000g</v>
      </c>
      <c r="Q21" s="7">
        <f>도착보장!AM36</f>
        <v>3012</v>
      </c>
      <c r="R21" s="7">
        <v>250</v>
      </c>
      <c r="S21" s="7">
        <f t="shared" si="9"/>
        <v>753000</v>
      </c>
      <c r="T21" s="7">
        <f t="shared" si="10"/>
        <v>75300</v>
      </c>
      <c r="U21" s="64">
        <f t="shared" si="11"/>
        <v>828300</v>
      </c>
    </row>
    <row r="22" spans="2:21" ht="17.25" thickBot="1">
      <c r="B22" s="145" t="str">
        <f>일반!AL$2</f>
        <v>아이스팩_500g</v>
      </c>
      <c r="C22" s="60">
        <f>일반!AL36</f>
        <v>26971</v>
      </c>
      <c r="D22" s="7">
        <v>150</v>
      </c>
      <c r="E22" s="7">
        <f t="shared" ref="E22:E28" si="15">C22*D22</f>
        <v>4045650</v>
      </c>
      <c r="F22" s="7">
        <f t="shared" ref="F22:F28" si="16">E22*0.1</f>
        <v>404565</v>
      </c>
      <c r="G22" s="64">
        <f t="shared" ref="G22:G28" si="17">SUM(E22:F22)</f>
        <v>4450215</v>
      </c>
      <c r="H22" s="1"/>
      <c r="I22" s="222" t="str">
        <f>홈쇼핑!BC2</f>
        <v>상온_택배비_극소</v>
      </c>
      <c r="J22" s="65">
        <f>홈쇼핑!BC35</f>
        <v>5</v>
      </c>
      <c r="K22" s="65">
        <v>1800</v>
      </c>
      <c r="L22" s="65">
        <f t="shared" si="7"/>
        <v>9000</v>
      </c>
      <c r="M22" s="65">
        <f t="shared" si="6"/>
        <v>900</v>
      </c>
      <c r="N22" s="66">
        <f t="shared" si="8"/>
        <v>9900</v>
      </c>
      <c r="P22" s="145" t="str">
        <f>도착보장!AO2</f>
        <v>도착_드라이아이스</v>
      </c>
      <c r="Q22" s="7">
        <f>도착보장!AO36</f>
        <v>0</v>
      </c>
      <c r="R22" s="7">
        <v>480</v>
      </c>
      <c r="S22" s="7">
        <f>Q22*R22</f>
        <v>0</v>
      </c>
      <c r="T22" s="7">
        <f>S22*0.1</f>
        <v>0</v>
      </c>
      <c r="U22" s="64">
        <f>SUM(S22:T22)</f>
        <v>0</v>
      </c>
    </row>
    <row r="23" spans="2:21" ht="17.25" thickBot="1">
      <c r="B23" s="145" t="str">
        <f>일반!AM$2</f>
        <v>아이스팩_1000g</v>
      </c>
      <c r="C23" s="60">
        <f>일반!AM36</f>
        <v>27917</v>
      </c>
      <c r="D23" s="7">
        <v>250</v>
      </c>
      <c r="E23" s="7">
        <f t="shared" si="15"/>
        <v>6979250</v>
      </c>
      <c r="F23" s="7">
        <f t="shared" si="16"/>
        <v>697925</v>
      </c>
      <c r="G23" s="64">
        <f t="shared" si="17"/>
        <v>7677175</v>
      </c>
      <c r="H23" s="1"/>
      <c r="I23" s="442" t="s">
        <v>86</v>
      </c>
      <c r="J23" s="443"/>
      <c r="K23" s="443"/>
      <c r="L23" s="443"/>
      <c r="M23" s="444"/>
      <c r="N23" s="244">
        <f>SUM(N5:N22)</f>
        <v>275858</v>
      </c>
      <c r="P23" s="145" t="str">
        <f>도착보장!AN2</f>
        <v>도착_PCM</v>
      </c>
      <c r="Q23" s="7">
        <f>도착보장!AN36</f>
        <v>44051</v>
      </c>
      <c r="R23" s="7">
        <v>250</v>
      </c>
      <c r="S23" s="7">
        <f t="shared" si="9"/>
        <v>11012750</v>
      </c>
      <c r="T23" s="7">
        <f t="shared" si="10"/>
        <v>1101275</v>
      </c>
      <c r="U23" s="64">
        <f t="shared" si="11"/>
        <v>12114025</v>
      </c>
    </row>
    <row r="24" spans="2:21">
      <c r="B24" s="145" t="str">
        <f>일반!AN2</f>
        <v>PCM</v>
      </c>
      <c r="C24" s="60">
        <f>일반!AN36</f>
        <v>81352</v>
      </c>
      <c r="D24" s="7">
        <v>250</v>
      </c>
      <c r="E24" s="7">
        <f t="shared" si="15"/>
        <v>20338000</v>
      </c>
      <c r="F24" s="7">
        <f t="shared" si="16"/>
        <v>2033800</v>
      </c>
      <c r="G24" s="64">
        <f t="shared" si="17"/>
        <v>22371800</v>
      </c>
      <c r="H24" s="1"/>
      <c r="P24" s="145" t="str">
        <f>도착보장!AP2</f>
        <v>도착_에어캡</v>
      </c>
      <c r="Q24" s="7">
        <f>도착보장!AP36</f>
        <v>865</v>
      </c>
      <c r="R24" s="7">
        <v>60</v>
      </c>
      <c r="S24" s="7">
        <f t="shared" si="9"/>
        <v>51900</v>
      </c>
      <c r="T24" s="7">
        <f t="shared" si="10"/>
        <v>5190</v>
      </c>
      <c r="U24" s="64">
        <f t="shared" si="11"/>
        <v>57090</v>
      </c>
    </row>
    <row r="25" spans="2:21">
      <c r="B25" s="212" t="str">
        <f>일반!AO2</f>
        <v>드라이아이스</v>
      </c>
      <c r="C25" s="213">
        <f>일반!AO36</f>
        <v>0</v>
      </c>
      <c r="D25" s="213">
        <v>480</v>
      </c>
      <c r="E25" s="210">
        <f t="shared" si="15"/>
        <v>0</v>
      </c>
      <c r="F25" s="210">
        <f t="shared" si="16"/>
        <v>0</v>
      </c>
      <c r="G25" s="211">
        <f t="shared" si="17"/>
        <v>0</v>
      </c>
      <c r="H25" s="1"/>
      <c r="P25" s="145" t="str">
        <f>도착보장!AQ2</f>
        <v>도착_인쇄물 작업</v>
      </c>
      <c r="Q25" s="7">
        <f>도착보장!AQ36</f>
        <v>0</v>
      </c>
      <c r="R25" s="7">
        <v>100</v>
      </c>
      <c r="S25" s="7">
        <f t="shared" si="9"/>
        <v>0</v>
      </c>
      <c r="T25" s="7">
        <f t="shared" si="10"/>
        <v>0</v>
      </c>
      <c r="U25" s="64">
        <f t="shared" si="11"/>
        <v>0</v>
      </c>
    </row>
    <row r="26" spans="2:21">
      <c r="B26" s="145" t="s">
        <v>50</v>
      </c>
      <c r="C26" s="60">
        <f>일반!AR36</f>
        <v>0</v>
      </c>
      <c r="D26" s="7">
        <v>100</v>
      </c>
      <c r="E26" s="7">
        <f t="shared" ref="E26" si="18">C26*D26</f>
        <v>0</v>
      </c>
      <c r="F26" s="7">
        <f t="shared" ref="F26" si="19">E26*0.1</f>
        <v>0</v>
      </c>
      <c r="G26" s="64">
        <f t="shared" ref="G26" si="20">SUM(E26:F26)</f>
        <v>0</v>
      </c>
      <c r="H26" s="1"/>
      <c r="P26" s="145" t="s">
        <v>87</v>
      </c>
      <c r="Q26" s="7"/>
      <c r="R26" s="7">
        <v>100</v>
      </c>
      <c r="S26" s="7">
        <f t="shared" si="9"/>
        <v>0</v>
      </c>
      <c r="T26" s="7">
        <f t="shared" si="10"/>
        <v>0</v>
      </c>
      <c r="U26" s="64">
        <f t="shared" si="11"/>
        <v>0</v>
      </c>
    </row>
    <row r="27" spans="2:21" ht="16.5" customHeight="1">
      <c r="B27" s="145" t="str">
        <f>일반!AP2</f>
        <v>에어캡</v>
      </c>
      <c r="C27" s="60">
        <f>일반!AP36</f>
        <v>1104</v>
      </c>
      <c r="D27" s="7">
        <v>60</v>
      </c>
      <c r="E27" s="7">
        <f t="shared" si="15"/>
        <v>66240</v>
      </c>
      <c r="F27" s="7">
        <f t="shared" si="16"/>
        <v>6624</v>
      </c>
      <c r="G27" s="64">
        <f t="shared" si="17"/>
        <v>72864</v>
      </c>
      <c r="H27" s="1"/>
      <c r="I27" s="441" t="s">
        <v>88</v>
      </c>
      <c r="J27" s="441"/>
      <c r="K27" s="441"/>
      <c r="L27" s="441"/>
      <c r="M27" s="441"/>
      <c r="N27" s="441"/>
      <c r="P27" s="145" t="str">
        <f>도착보장!AR2</f>
        <v>도착_신선테이핑 작업</v>
      </c>
      <c r="Q27" s="7">
        <f>도착보장!AR36</f>
        <v>0</v>
      </c>
      <c r="R27" s="7">
        <v>150</v>
      </c>
      <c r="S27" s="7">
        <f>Q27*R27</f>
        <v>0</v>
      </c>
      <c r="T27" s="7">
        <f>S27*0.1</f>
        <v>0</v>
      </c>
      <c r="U27" s="64">
        <f>SUM(S27:T27)</f>
        <v>0</v>
      </c>
    </row>
    <row r="28" spans="2:21">
      <c r="B28" s="145" t="str">
        <f>일반!AQ2</f>
        <v>인쇄물 작업</v>
      </c>
      <c r="C28" s="60">
        <f>일반!AQ36</f>
        <v>27</v>
      </c>
      <c r="D28" s="7">
        <v>100</v>
      </c>
      <c r="E28" s="7">
        <f t="shared" si="15"/>
        <v>2700</v>
      </c>
      <c r="F28" s="7">
        <f t="shared" si="16"/>
        <v>270</v>
      </c>
      <c r="G28" s="64">
        <f t="shared" si="17"/>
        <v>2970</v>
      </c>
      <c r="H28" s="1"/>
      <c r="N28" s="8" t="s">
        <v>69</v>
      </c>
      <c r="P28" s="74" t="str">
        <f>도착보장!AT2</f>
        <v>도착_작업료_골라담기</v>
      </c>
      <c r="Q28" s="7">
        <f>도착보장!AT36</f>
        <v>8294</v>
      </c>
      <c r="R28" s="7">
        <v>900</v>
      </c>
      <c r="S28" s="7">
        <f t="shared" si="9"/>
        <v>7464600</v>
      </c>
      <c r="T28" s="7">
        <f t="shared" si="10"/>
        <v>746460</v>
      </c>
      <c r="U28" s="64">
        <f t="shared" si="11"/>
        <v>8211060</v>
      </c>
    </row>
    <row r="29" spans="2:21" ht="16.5" customHeight="1" thickBot="1">
      <c r="B29" s="145" t="str">
        <f>일반!AS2</f>
        <v>신선테이핑 작업</v>
      </c>
      <c r="C29" s="60">
        <f>일반!AS36</f>
        <v>42</v>
      </c>
      <c r="D29" s="7">
        <v>150</v>
      </c>
      <c r="E29" s="7">
        <f t="shared" ref="E29:E36" si="21">C29*D29</f>
        <v>6300</v>
      </c>
      <c r="F29" s="7">
        <f t="shared" ref="F29:F36" si="22">E29*0.1</f>
        <v>630</v>
      </c>
      <c r="G29" s="64">
        <f t="shared" ref="G29:G36" si="23">SUM(E29:F29)</f>
        <v>6930</v>
      </c>
      <c r="H29" s="1"/>
      <c r="I29" s="147" t="s">
        <v>70</v>
      </c>
      <c r="J29" s="147" t="s">
        <v>71</v>
      </c>
      <c r="K29" s="147" t="s">
        <v>72</v>
      </c>
      <c r="L29" s="147" t="s">
        <v>73</v>
      </c>
      <c r="M29" s="147" t="s">
        <v>74</v>
      </c>
      <c r="N29" s="147" t="s">
        <v>75</v>
      </c>
      <c r="P29" s="74" t="str">
        <f>도착보장!AU2</f>
        <v>도착_작업료_세트/홈쇼핑</v>
      </c>
      <c r="Q29" s="7">
        <f>도착보장!AU36</f>
        <v>12582</v>
      </c>
      <c r="R29" s="7">
        <v>450</v>
      </c>
      <c r="S29" s="7">
        <f t="shared" si="9"/>
        <v>5661900</v>
      </c>
      <c r="T29" s="7">
        <f t="shared" si="10"/>
        <v>566190</v>
      </c>
      <c r="U29" s="64">
        <f t="shared" si="11"/>
        <v>6228090</v>
      </c>
    </row>
    <row r="30" spans="2:21" ht="16.5" customHeight="1">
      <c r="B30" s="74" t="str">
        <f>일반!AU$2</f>
        <v>작업료_골라담기</v>
      </c>
      <c r="C30" s="60">
        <f>일반!AU36</f>
        <v>12473</v>
      </c>
      <c r="D30" s="60">
        <v>900</v>
      </c>
      <c r="E30" s="7">
        <f t="shared" si="21"/>
        <v>11225700</v>
      </c>
      <c r="F30" s="7">
        <f t="shared" si="22"/>
        <v>1122570</v>
      </c>
      <c r="G30" s="64">
        <f t="shared" si="23"/>
        <v>12348270</v>
      </c>
      <c r="H30" s="1"/>
      <c r="I30" s="69" t="str">
        <f>쿠팡택배!N2</f>
        <v>작업료_송장부착</v>
      </c>
      <c r="J30" s="62">
        <f>쿠팡택배!N35</f>
        <v>523</v>
      </c>
      <c r="K30" s="62">
        <v>600</v>
      </c>
      <c r="L30" s="62">
        <f>J30*K30</f>
        <v>313800</v>
      </c>
      <c r="M30" s="62">
        <f>L30*0.1</f>
        <v>31380</v>
      </c>
      <c r="N30" s="63">
        <f>SUM(L30:M30)</f>
        <v>345180</v>
      </c>
      <c r="P30" s="74" t="str">
        <f>도착보장!AV2</f>
        <v>도착_부직포세트</v>
      </c>
      <c r="Q30" s="7">
        <f>도착보장!AV36</f>
        <v>0</v>
      </c>
      <c r="R30" s="7">
        <v>700</v>
      </c>
      <c r="S30" s="7">
        <f>Q30*R30</f>
        <v>0</v>
      </c>
      <c r="T30" s="7">
        <f>S30*0.1</f>
        <v>0</v>
      </c>
      <c r="U30" s="64">
        <f>SUM(S30:T30)</f>
        <v>0</v>
      </c>
    </row>
    <row r="31" spans="2:21" ht="16.5" customHeight="1">
      <c r="B31" s="74" t="str">
        <f>일반!AV$2</f>
        <v>작업료_세트/홈쇼핑</v>
      </c>
      <c r="C31" s="60">
        <f>일반!AV36</f>
        <v>25382</v>
      </c>
      <c r="D31" s="60">
        <v>450</v>
      </c>
      <c r="E31" s="7">
        <f t="shared" si="21"/>
        <v>11421900</v>
      </c>
      <c r="F31" s="7">
        <f t="shared" si="22"/>
        <v>1142190</v>
      </c>
      <c r="G31" s="64">
        <f t="shared" si="23"/>
        <v>12564090</v>
      </c>
      <c r="H31" s="1"/>
      <c r="I31" s="70" t="str">
        <f>쿠팡택배!O2</f>
        <v>작업료_스티커 부착</v>
      </c>
      <c r="J31" s="60">
        <f>쿠팡택배!O35</f>
        <v>2091</v>
      </c>
      <c r="K31" s="60">
        <v>100</v>
      </c>
      <c r="L31" s="61">
        <f>J31*K31</f>
        <v>209100</v>
      </c>
      <c r="M31" s="7">
        <f>L31*0.1</f>
        <v>20910</v>
      </c>
      <c r="N31" s="64">
        <f>SUM(L31:M31)</f>
        <v>230010</v>
      </c>
      <c r="P31" s="74" t="str">
        <f>도착보장!AW2</f>
        <v>도착_작업료_송장부착</v>
      </c>
      <c r="Q31" s="7">
        <f>도착보장!AW36</f>
        <v>358</v>
      </c>
      <c r="R31" s="7">
        <v>600</v>
      </c>
      <c r="S31" s="7">
        <f t="shared" si="9"/>
        <v>214800</v>
      </c>
      <c r="T31" s="7">
        <f t="shared" si="10"/>
        <v>21480</v>
      </c>
      <c r="U31" s="64">
        <f t="shared" si="11"/>
        <v>236280</v>
      </c>
    </row>
    <row r="32" spans="2:21">
      <c r="B32" s="74" t="str">
        <f>일반!AW2</f>
        <v>작업료_부직포세트</v>
      </c>
      <c r="C32" s="60">
        <f>일반!AW36</f>
        <v>12</v>
      </c>
      <c r="D32" s="60">
        <v>700</v>
      </c>
      <c r="E32" s="7">
        <f t="shared" si="21"/>
        <v>8400</v>
      </c>
      <c r="F32" s="7">
        <f t="shared" si="22"/>
        <v>840</v>
      </c>
      <c r="G32" s="64">
        <f t="shared" si="23"/>
        <v>9240</v>
      </c>
      <c r="H32" s="1"/>
      <c r="I32" s="146" t="str">
        <f>쿠팡택배!Q2</f>
        <v>상온_택배비_극소</v>
      </c>
      <c r="J32" s="60">
        <f>쿠팡택배!Q35</f>
        <v>0</v>
      </c>
      <c r="K32" s="60">
        <v>1800</v>
      </c>
      <c r="L32" s="61">
        <f>J32*K32</f>
        <v>0</v>
      </c>
      <c r="M32" s="7">
        <f>L32*0.1</f>
        <v>0</v>
      </c>
      <c r="N32" s="64">
        <f>SUM(L32:M32)</f>
        <v>0</v>
      </c>
      <c r="P32" s="148" t="str">
        <f>도착보장!BA2</f>
        <v>도착_저온_택배비_극소</v>
      </c>
      <c r="Q32" s="7">
        <f>도착보장!BA36</f>
        <v>13582</v>
      </c>
      <c r="R32" s="7">
        <f>D36+155</f>
        <v>2205</v>
      </c>
      <c r="S32" s="7">
        <f t="shared" si="9"/>
        <v>29948310</v>
      </c>
      <c r="T32" s="7">
        <f t="shared" si="10"/>
        <v>2994831</v>
      </c>
      <c r="U32" s="64">
        <f t="shared" si="11"/>
        <v>32943141</v>
      </c>
    </row>
    <row r="33" spans="2:21">
      <c r="B33" s="74" t="str">
        <f>일반!AX2</f>
        <v>작업료_송장부착</v>
      </c>
      <c r="C33" s="60">
        <f>일반!AX36</f>
        <v>1154</v>
      </c>
      <c r="D33" s="60">
        <v>600</v>
      </c>
      <c r="E33" s="7">
        <f t="shared" si="21"/>
        <v>692400</v>
      </c>
      <c r="F33" s="7">
        <f t="shared" si="22"/>
        <v>69240</v>
      </c>
      <c r="G33" s="64">
        <f t="shared" si="23"/>
        <v>761640</v>
      </c>
      <c r="H33" s="1"/>
      <c r="I33" s="146" t="str">
        <f>쿠팡택배!R2</f>
        <v>상온_택배비_소</v>
      </c>
      <c r="J33" s="60">
        <f>쿠팡택배!R35</f>
        <v>83</v>
      </c>
      <c r="K33" s="60">
        <v>2200</v>
      </c>
      <c r="L33" s="61">
        <f>J33*K33</f>
        <v>182600</v>
      </c>
      <c r="M33" s="7">
        <f>L33*0.1</f>
        <v>18260</v>
      </c>
      <c r="N33" s="64">
        <f>SUM(L33:M33)</f>
        <v>200860</v>
      </c>
      <c r="P33" s="148" t="str">
        <f>도착보장!BB2</f>
        <v>도착_저온_택배비_소</v>
      </c>
      <c r="Q33" s="7">
        <f>도착보장!BB36</f>
        <v>3902</v>
      </c>
      <c r="R33" s="7">
        <f>D37+155</f>
        <v>2705</v>
      </c>
      <c r="S33" s="7">
        <f t="shared" si="9"/>
        <v>10554910</v>
      </c>
      <c r="T33" s="7">
        <f t="shared" si="10"/>
        <v>1055491</v>
      </c>
      <c r="U33" s="64">
        <f t="shared" si="11"/>
        <v>11610401</v>
      </c>
    </row>
    <row r="34" spans="2:21">
      <c r="B34" s="212" t="str">
        <f>일반!AY2</f>
        <v>작업료_조립폴리</v>
      </c>
      <c r="C34" s="213">
        <f>일반!AY36</f>
        <v>0</v>
      </c>
      <c r="D34" s="213">
        <v>950</v>
      </c>
      <c r="E34" s="210">
        <f t="shared" si="21"/>
        <v>0</v>
      </c>
      <c r="F34" s="210">
        <f t="shared" si="22"/>
        <v>0</v>
      </c>
      <c r="G34" s="211">
        <f t="shared" si="23"/>
        <v>0</v>
      </c>
      <c r="H34" s="1"/>
      <c r="I34" s="146" t="str">
        <f>쿠팡택배!S2</f>
        <v>상온_택배비_중</v>
      </c>
      <c r="J34" s="60">
        <f>쿠팡택배!S35</f>
        <v>440</v>
      </c>
      <c r="K34" s="60">
        <v>2700</v>
      </c>
      <c r="L34" s="61">
        <f>J34*K34</f>
        <v>1188000</v>
      </c>
      <c r="M34" s="7">
        <f>L34*0.1</f>
        <v>118800</v>
      </c>
      <c r="N34" s="64">
        <f>SUM(L34:M34)</f>
        <v>1306800</v>
      </c>
      <c r="P34" s="148" t="str">
        <f>도착보장!BC2</f>
        <v>도착_저온_택배비_중</v>
      </c>
      <c r="Q34" s="7">
        <f>도착보장!BC36</f>
        <v>714</v>
      </c>
      <c r="R34" s="7">
        <f>D38+155</f>
        <v>3355</v>
      </c>
      <c r="S34" s="7">
        <f t="shared" si="9"/>
        <v>2395470</v>
      </c>
      <c r="T34" s="7">
        <f t="shared" si="10"/>
        <v>239547</v>
      </c>
      <c r="U34" s="64">
        <f t="shared" si="11"/>
        <v>2635017</v>
      </c>
    </row>
    <row r="35" spans="2:21">
      <c r="B35" s="212" t="s">
        <v>89</v>
      </c>
      <c r="C35" s="213">
        <f>일반!AZ36</f>
        <v>0</v>
      </c>
      <c r="D35" s="213">
        <v>550</v>
      </c>
      <c r="E35" s="210">
        <f t="shared" si="21"/>
        <v>0</v>
      </c>
      <c r="F35" s="210">
        <f t="shared" si="22"/>
        <v>0</v>
      </c>
      <c r="G35" s="211">
        <f t="shared" si="23"/>
        <v>0</v>
      </c>
      <c r="H35" s="1"/>
      <c r="I35" s="438" t="s">
        <v>86</v>
      </c>
      <c r="J35" s="439"/>
      <c r="K35" s="439"/>
      <c r="L35" s="439"/>
      <c r="M35" s="440"/>
      <c r="N35" s="94">
        <f>SUM(N30:N34)</f>
        <v>2082850</v>
      </c>
      <c r="P35" s="148" t="str">
        <f>도착보장!BD2</f>
        <v>도착_저온_택배비_대</v>
      </c>
      <c r="Q35" s="7">
        <f>도착보장!BD36</f>
        <v>55</v>
      </c>
      <c r="R35" s="7">
        <f>D39+155</f>
        <v>4905</v>
      </c>
      <c r="S35" s="7">
        <f t="shared" si="9"/>
        <v>269775</v>
      </c>
      <c r="T35" s="7">
        <f t="shared" si="10"/>
        <v>26977.5</v>
      </c>
      <c r="U35" s="64">
        <f t="shared" si="11"/>
        <v>296752.5</v>
      </c>
    </row>
    <row r="36" spans="2:21">
      <c r="B36" s="148" t="str">
        <f>일반!BB$2</f>
        <v>저온_택배비_극소</v>
      </c>
      <c r="C36" s="60">
        <f>일반!BB36</f>
        <v>19378</v>
      </c>
      <c r="D36" s="60">
        <v>2050</v>
      </c>
      <c r="E36" s="7">
        <f t="shared" si="21"/>
        <v>39724900</v>
      </c>
      <c r="F36" s="7">
        <f t="shared" si="22"/>
        <v>3972490</v>
      </c>
      <c r="G36" s="64">
        <f t="shared" si="23"/>
        <v>43697390</v>
      </c>
      <c r="H36" s="1"/>
      <c r="P36" s="148" t="str">
        <f>도착보장!BG2</f>
        <v>도착_상온_택배비_극소</v>
      </c>
      <c r="Q36" s="7">
        <f>도착보장!BG36</f>
        <v>2575</v>
      </c>
      <c r="R36" s="7">
        <f>D42+155</f>
        <v>1955</v>
      </c>
      <c r="S36" s="7">
        <f t="shared" si="9"/>
        <v>5034125</v>
      </c>
      <c r="T36" s="7">
        <f t="shared" si="10"/>
        <v>503412.5</v>
      </c>
      <c r="U36" s="64">
        <f t="shared" si="11"/>
        <v>5537537.5</v>
      </c>
    </row>
    <row r="37" spans="2:21">
      <c r="B37" s="148" t="str">
        <f>일반!BC$2</f>
        <v>저온_택배비_소</v>
      </c>
      <c r="C37" s="60">
        <f>일반!BC36</f>
        <v>12537</v>
      </c>
      <c r="D37" s="60">
        <v>2550</v>
      </c>
      <c r="E37" s="7">
        <f t="shared" ref="E37:E42" si="24">C37*D37</f>
        <v>31969350</v>
      </c>
      <c r="F37" s="7">
        <f t="shared" ref="F37:F42" si="25">E37*0.1</f>
        <v>3196935</v>
      </c>
      <c r="G37" s="64">
        <f t="shared" ref="G37:G42" si="26">SUM(E37:F37)</f>
        <v>35166285</v>
      </c>
      <c r="H37" s="1"/>
      <c r="P37" s="148" t="str">
        <f>도착보장!BH2</f>
        <v>도착_상온_택배비_소</v>
      </c>
      <c r="Q37" s="7">
        <f>도착보장!BH36</f>
        <v>48</v>
      </c>
      <c r="R37" s="7">
        <f>D43+155</f>
        <v>2355</v>
      </c>
      <c r="S37" s="7">
        <f t="shared" si="9"/>
        <v>113040</v>
      </c>
      <c r="T37" s="7">
        <f t="shared" si="10"/>
        <v>11304</v>
      </c>
      <c r="U37" s="64">
        <f t="shared" si="11"/>
        <v>124344</v>
      </c>
    </row>
    <row r="38" spans="2:21">
      <c r="B38" s="148" t="str">
        <f>일반!BD$2</f>
        <v>저온_택배비_중</v>
      </c>
      <c r="C38" s="60">
        <f>일반!BD36</f>
        <v>1213</v>
      </c>
      <c r="D38" s="60">
        <v>3200</v>
      </c>
      <c r="E38" s="7">
        <f t="shared" si="24"/>
        <v>3881600</v>
      </c>
      <c r="F38" s="7">
        <f t="shared" si="25"/>
        <v>388160</v>
      </c>
      <c r="G38" s="64">
        <f t="shared" si="26"/>
        <v>4269760</v>
      </c>
      <c r="H38" s="1"/>
      <c r="P38" s="148" t="str">
        <f>도착보장!BI2</f>
        <v>도착_상온_택배비_중</v>
      </c>
      <c r="Q38" s="7">
        <f>도착보장!BI36</f>
        <v>358</v>
      </c>
      <c r="R38" s="7">
        <f>D44+155</f>
        <v>2855</v>
      </c>
      <c r="S38" s="7">
        <f t="shared" si="9"/>
        <v>1022090</v>
      </c>
      <c r="T38" s="7">
        <f t="shared" si="10"/>
        <v>102209</v>
      </c>
      <c r="U38" s="64">
        <f t="shared" si="11"/>
        <v>1124299</v>
      </c>
    </row>
    <row r="39" spans="2:21">
      <c r="B39" s="148" t="str">
        <f>일반!BE$2</f>
        <v>저온_택배비_대</v>
      </c>
      <c r="C39" s="60">
        <f>일반!BE36</f>
        <v>183</v>
      </c>
      <c r="D39" s="60">
        <v>4750</v>
      </c>
      <c r="E39" s="7">
        <f t="shared" si="24"/>
        <v>869250</v>
      </c>
      <c r="F39" s="7">
        <f t="shared" si="25"/>
        <v>86925</v>
      </c>
      <c r="G39" s="64">
        <f t="shared" si="26"/>
        <v>956175</v>
      </c>
      <c r="H39" s="1"/>
      <c r="P39" s="212" t="str">
        <f>도착보장!BJ2</f>
        <v>도착_상온_택배비_대</v>
      </c>
      <c r="Q39" s="210">
        <f>도착보장!BJ36</f>
        <v>0</v>
      </c>
      <c r="R39" s="210">
        <f>D45+155</f>
        <v>4455</v>
      </c>
      <c r="S39" s="210">
        <f t="shared" si="9"/>
        <v>0</v>
      </c>
      <c r="T39" s="210">
        <f t="shared" si="10"/>
        <v>0</v>
      </c>
      <c r="U39" s="211">
        <f t="shared" si="11"/>
        <v>0</v>
      </c>
    </row>
    <row r="40" spans="2:21">
      <c r="B40" s="209" t="str">
        <f>일반!BF$2</f>
        <v>저온_택배비_대2</v>
      </c>
      <c r="C40" s="213">
        <f>일반!BF36</f>
        <v>0</v>
      </c>
      <c r="D40" s="213">
        <v>4860</v>
      </c>
      <c r="E40" s="210">
        <f>C40*D40</f>
        <v>0</v>
      </c>
      <c r="F40" s="210">
        <f>E40*0.1</f>
        <v>0</v>
      </c>
      <c r="G40" s="211">
        <f>SUM(E40:F40)</f>
        <v>0</v>
      </c>
      <c r="H40" s="1"/>
      <c r="P40" s="438" t="s">
        <v>86</v>
      </c>
      <c r="Q40" s="439"/>
      <c r="R40" s="439"/>
      <c r="S40" s="439"/>
      <c r="T40" s="440"/>
      <c r="U40" s="94">
        <f>SUM(U5:U39)</f>
        <v>97887328</v>
      </c>
    </row>
    <row r="41" spans="2:21">
      <c r="B41" s="209" t="str">
        <f>일반!BG$2</f>
        <v>저온_택배비_이형1</v>
      </c>
      <c r="C41" s="213">
        <f>일반!BG36</f>
        <v>0</v>
      </c>
      <c r="D41" s="213">
        <v>12320</v>
      </c>
      <c r="E41" s="210">
        <f>C41*D41</f>
        <v>0</v>
      </c>
      <c r="F41" s="210">
        <f>E41*0.1</f>
        <v>0</v>
      </c>
      <c r="G41" s="211">
        <f>SUM(E41:F41)</f>
        <v>0</v>
      </c>
      <c r="H41" s="1"/>
    </row>
    <row r="42" spans="2:21">
      <c r="B42" s="148" t="str">
        <f>일반!BH$2</f>
        <v>상온_택배비_극소</v>
      </c>
      <c r="C42" s="60">
        <f>일반!BH36</f>
        <v>4447</v>
      </c>
      <c r="D42" s="60">
        <v>1800</v>
      </c>
      <c r="E42" s="7">
        <f t="shared" si="24"/>
        <v>8004600</v>
      </c>
      <c r="F42" s="7">
        <f t="shared" si="25"/>
        <v>800460</v>
      </c>
      <c r="G42" s="64">
        <f t="shared" si="26"/>
        <v>8805060</v>
      </c>
      <c r="H42" s="1"/>
    </row>
    <row r="43" spans="2:21">
      <c r="B43" s="148" t="str">
        <f>일반!BI$2</f>
        <v>상온_택배비_소</v>
      </c>
      <c r="C43" s="60">
        <f>일반!BI36</f>
        <v>106</v>
      </c>
      <c r="D43" s="60">
        <v>2200</v>
      </c>
      <c r="E43" s="7">
        <f t="shared" ref="E43:E54" si="27">C43*D43</f>
        <v>233200</v>
      </c>
      <c r="F43" s="7">
        <f t="shared" ref="F43:F54" si="28">E43*0.1</f>
        <v>23320</v>
      </c>
      <c r="G43" s="64">
        <f t="shared" ref="G43:G54" si="29">SUM(E43:F43)</f>
        <v>256520</v>
      </c>
      <c r="H43" s="1"/>
    </row>
    <row r="44" spans="2:21">
      <c r="B44" s="148" t="str">
        <f>일반!BJ$2</f>
        <v>상온_택배비_중</v>
      </c>
      <c r="C44" s="60">
        <f>일반!BJ36</f>
        <v>1157</v>
      </c>
      <c r="D44" s="60">
        <v>2700</v>
      </c>
      <c r="E44" s="7">
        <f t="shared" si="27"/>
        <v>3123900</v>
      </c>
      <c r="F44" s="7">
        <f t="shared" si="28"/>
        <v>312390</v>
      </c>
      <c r="G44" s="64">
        <f t="shared" si="29"/>
        <v>3436290</v>
      </c>
      <c r="H44" s="1"/>
    </row>
    <row r="45" spans="2:21" ht="17.25" thickBot="1">
      <c r="B45" s="209" t="str">
        <f>일반!BK$2</f>
        <v>상온_택배비_대</v>
      </c>
      <c r="C45" s="213">
        <f>일반!BK36</f>
        <v>0</v>
      </c>
      <c r="D45" s="213">
        <v>4300</v>
      </c>
      <c r="E45" s="210">
        <f t="shared" si="27"/>
        <v>0</v>
      </c>
      <c r="F45" s="210">
        <f t="shared" si="28"/>
        <v>0</v>
      </c>
      <c r="G45" s="211">
        <f t="shared" si="29"/>
        <v>0</v>
      </c>
      <c r="H45" s="1"/>
    </row>
    <row r="46" spans="2:21">
      <c r="B46" s="69" t="str">
        <f>일반!BM$2</f>
        <v>입고비_Pallet</v>
      </c>
      <c r="C46" s="62">
        <f>일반!BM36</f>
        <v>422</v>
      </c>
      <c r="D46" s="62">
        <v>2500</v>
      </c>
      <c r="E46" s="62">
        <f t="shared" si="27"/>
        <v>1055000</v>
      </c>
      <c r="F46" s="62">
        <f t="shared" si="28"/>
        <v>105500</v>
      </c>
      <c r="G46" s="63">
        <f t="shared" si="29"/>
        <v>1160500</v>
      </c>
      <c r="H46" s="1"/>
    </row>
    <row r="47" spans="2:21" ht="17.25" thickBot="1">
      <c r="B47" s="149" t="str">
        <f>일반!BN$2</f>
        <v>입고비_BOX</v>
      </c>
      <c r="C47" s="65">
        <f>일반!BN36</f>
        <v>27</v>
      </c>
      <c r="D47" s="65">
        <v>150</v>
      </c>
      <c r="E47" s="65">
        <f t="shared" si="27"/>
        <v>4050</v>
      </c>
      <c r="F47" s="65">
        <f t="shared" si="28"/>
        <v>405</v>
      </c>
      <c r="G47" s="66">
        <f t="shared" si="29"/>
        <v>4455</v>
      </c>
      <c r="H47" s="1"/>
    </row>
    <row r="48" spans="2:21">
      <c r="B48" s="174" t="s">
        <v>90</v>
      </c>
      <c r="C48" s="62">
        <v>1</v>
      </c>
      <c r="D48" s="175">
        <f>제주도서!H247/1.1</f>
        <v>548181.81818181812</v>
      </c>
      <c r="E48" s="62">
        <f t="shared" si="27"/>
        <v>548181.81818181812</v>
      </c>
      <c r="F48" s="62">
        <f t="shared" si="28"/>
        <v>54818.181818181816</v>
      </c>
      <c r="G48" s="63">
        <f t="shared" si="29"/>
        <v>602999.99999999988</v>
      </c>
      <c r="H48" s="1"/>
    </row>
    <row r="49" spans="2:8">
      <c r="B49" s="95" t="s">
        <v>91</v>
      </c>
      <c r="C49" s="7">
        <v>1</v>
      </c>
      <c r="D49" s="60">
        <f>제주도서!H248/1.1</f>
        <v>82727.272727272721</v>
      </c>
      <c r="E49" s="7">
        <f t="shared" si="27"/>
        <v>82727.272727272721</v>
      </c>
      <c r="F49" s="7">
        <f t="shared" si="28"/>
        <v>8272.7272727272721</v>
      </c>
      <c r="G49" s="64">
        <f t="shared" si="29"/>
        <v>91000</v>
      </c>
      <c r="H49" s="1"/>
    </row>
    <row r="50" spans="2:8">
      <c r="B50" s="95" t="s">
        <v>92</v>
      </c>
      <c r="C50" s="7">
        <v>1</v>
      </c>
      <c r="D50" s="60">
        <f>반품!G24/1.1</f>
        <v>24118.181818181816</v>
      </c>
      <c r="E50" s="7">
        <f t="shared" si="27"/>
        <v>24118.181818181816</v>
      </c>
      <c r="F50" s="7">
        <f t="shared" si="28"/>
        <v>2411.8181818181815</v>
      </c>
      <c r="G50" s="64">
        <f t="shared" si="29"/>
        <v>26529.999999999996</v>
      </c>
      <c r="H50" s="37"/>
    </row>
    <row r="51" spans="2:8">
      <c r="B51" s="95" t="s">
        <v>58</v>
      </c>
      <c r="C51" s="7">
        <v>1</v>
      </c>
      <c r="D51" s="60">
        <f>차량출고!AC25/1.1</f>
        <v>604840</v>
      </c>
      <c r="E51" s="7">
        <f t="shared" si="27"/>
        <v>604840</v>
      </c>
      <c r="F51" s="7">
        <f t="shared" si="28"/>
        <v>60484</v>
      </c>
      <c r="G51" s="64">
        <f t="shared" si="29"/>
        <v>665324</v>
      </c>
      <c r="H51" s="37"/>
    </row>
    <row r="52" spans="2:8">
      <c r="B52" s="95" t="s">
        <v>62</v>
      </c>
      <c r="C52" s="7">
        <v>1</v>
      </c>
      <c r="D52" s="7">
        <v>6293892</v>
      </c>
      <c r="E52" s="7">
        <f t="shared" si="27"/>
        <v>6293892</v>
      </c>
      <c r="F52" s="7">
        <f t="shared" si="28"/>
        <v>629389.20000000007</v>
      </c>
      <c r="G52" s="64">
        <f t="shared" si="29"/>
        <v>6923281.2000000002</v>
      </c>
      <c r="H52" s="37"/>
    </row>
    <row r="53" spans="2:8">
      <c r="B53" s="95" t="s">
        <v>93</v>
      </c>
      <c r="C53" s="7">
        <v>1</v>
      </c>
      <c r="D53" s="60">
        <f>폐기!K53/1.1</f>
        <v>7636.363636363636</v>
      </c>
      <c r="E53" s="7">
        <f t="shared" si="27"/>
        <v>7636.363636363636</v>
      </c>
      <c r="F53" s="7">
        <f t="shared" si="28"/>
        <v>763.63636363636363</v>
      </c>
      <c r="G53" s="64">
        <f t="shared" si="29"/>
        <v>8400</v>
      </c>
      <c r="H53" s="37"/>
    </row>
    <row r="54" spans="2:8">
      <c r="B54" s="110" t="s">
        <v>60</v>
      </c>
      <c r="C54" s="109">
        <v>1</v>
      </c>
      <c r="D54" s="109">
        <f>ROUNDUP(-클레임!S365/1.1,0)</f>
        <v>-5811218</v>
      </c>
      <c r="E54" s="7">
        <f t="shared" si="27"/>
        <v>-5811218</v>
      </c>
      <c r="F54" s="7">
        <f t="shared" si="28"/>
        <v>-581121.80000000005</v>
      </c>
      <c r="G54" s="64">
        <f t="shared" si="29"/>
        <v>-6392339.7999999998</v>
      </c>
      <c r="H54" s="1"/>
    </row>
    <row r="55" spans="2:8">
      <c r="B55" s="438" t="s">
        <v>86</v>
      </c>
      <c r="C55" s="439"/>
      <c r="D55" s="439"/>
      <c r="E55" s="439"/>
      <c r="F55" s="440"/>
      <c r="G55" s="94">
        <f>SUM(G5:G54)</f>
        <v>198884639.39999998</v>
      </c>
      <c r="H55" s="1"/>
    </row>
    <row r="56" spans="2:8">
      <c r="H56" s="1"/>
    </row>
    <row r="57" spans="2:8">
      <c r="H57" s="1"/>
    </row>
    <row r="58" spans="2:8">
      <c r="H58" s="1"/>
    </row>
    <row r="59" spans="2:8">
      <c r="H59" s="1"/>
    </row>
    <row r="60" spans="2:8">
      <c r="H60" s="1"/>
    </row>
    <row r="61" spans="2:8">
      <c r="H61" s="1"/>
    </row>
    <row r="62" spans="2:8">
      <c r="H62" s="1"/>
    </row>
    <row r="63" spans="2:8">
      <c r="H63" s="1"/>
    </row>
    <row r="64" spans="2:8">
      <c r="H64" s="1"/>
    </row>
    <row r="65" spans="8:8">
      <c r="H65" s="1"/>
    </row>
    <row r="66" spans="8:8">
      <c r="H66" s="1"/>
    </row>
    <row r="67" spans="8:8">
      <c r="H67" s="1"/>
    </row>
    <row r="68" spans="8:8">
      <c r="H68" s="1"/>
    </row>
    <row r="69" spans="8:8">
      <c r="H69" s="1"/>
    </row>
    <row r="70" spans="8:8">
      <c r="H70" s="1"/>
    </row>
    <row r="71" spans="8:8">
      <c r="H71" s="1"/>
    </row>
    <row r="72" spans="8:8">
      <c r="H72" s="1"/>
    </row>
    <row r="73" spans="8:8">
      <c r="H73" s="1"/>
    </row>
    <row r="74" spans="8:8">
      <c r="H74" s="1"/>
    </row>
    <row r="75" spans="8:8">
      <c r="H75" s="1"/>
    </row>
    <row r="76" spans="8:8">
      <c r="H76" s="1"/>
    </row>
    <row r="77" spans="8:8">
      <c r="H77" s="1"/>
    </row>
    <row r="78" spans="8:8">
      <c r="H78" s="1"/>
    </row>
    <row r="79" spans="8:8">
      <c r="H79" s="1"/>
    </row>
    <row r="80" spans="8:8">
      <c r="H80" s="1"/>
    </row>
    <row r="81" spans="8:8">
      <c r="H81" s="1"/>
    </row>
    <row r="82" spans="8:8">
      <c r="H82" s="1"/>
    </row>
    <row r="83" spans="8:8" ht="16.5" hidden="1" customHeight="1">
      <c r="H83" s="1"/>
    </row>
    <row r="84" spans="8:8" ht="17.25" hidden="1" customHeight="1" thickBot="1">
      <c r="H84" s="1"/>
    </row>
    <row r="85" spans="8:8">
      <c r="H85" s="1"/>
    </row>
    <row r="86" spans="8:8" ht="17.25" hidden="1" customHeight="1">
      <c r="H86" s="1"/>
    </row>
    <row r="87" spans="8:8">
      <c r="H87" s="1"/>
    </row>
    <row r="88" spans="8:8">
      <c r="H88" s="1"/>
    </row>
    <row r="89" spans="8:8">
      <c r="H89" s="1"/>
    </row>
    <row r="90" spans="8:8">
      <c r="H90" s="1"/>
    </row>
    <row r="2225" spans="1:1">
      <c r="A2225" s="275" t="s">
        <v>94</v>
      </c>
    </row>
  </sheetData>
  <mergeCells count="8">
    <mergeCell ref="B55:F55"/>
    <mergeCell ref="P2:U2"/>
    <mergeCell ref="P40:T40"/>
    <mergeCell ref="B2:G2"/>
    <mergeCell ref="I2:N2"/>
    <mergeCell ref="I23:M23"/>
    <mergeCell ref="I27:N27"/>
    <mergeCell ref="I35:M35"/>
  </mergeCells>
  <phoneticPr fontId="2" type="noConversion"/>
  <pageMargins left="0.7" right="0.7" top="0.75" bottom="0.75" header="0.3" footer="0.3"/>
  <pageSetup paperSize="9" orientation="portrait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P1001"/>
  <sheetViews>
    <sheetView showGridLines="0" zoomScale="70" zoomScaleNormal="70" workbookViewId="0">
      <pane xSplit="1" ySplit="3" topLeftCell="B4" activePane="bottomRight" state="frozen"/>
      <selection pane="bottomRight" activeCell="E41" sqref="E41"/>
      <selection pane="bottomLeft" activeCell="L28" sqref="L28"/>
      <selection pane="topRight" activeCell="L28" sqref="L28"/>
    </sheetView>
  </sheetViews>
  <sheetFormatPr defaultColWidth="12.625" defaultRowHeight="16.5"/>
  <cols>
    <col min="1" max="1" width="12.625" style="35"/>
    <col min="2" max="32" width="8.625" style="36" customWidth="1"/>
    <col min="33" max="33" width="8.625" style="36" hidden="1" customWidth="1"/>
    <col min="34" max="36" width="8.625" style="36" customWidth="1"/>
    <col min="37" max="37" width="1" style="29" customWidth="1"/>
    <col min="38" max="45" width="8.625" style="29" customWidth="1"/>
    <col min="46" max="46" width="0.875" style="29" customWidth="1"/>
    <col min="47" max="50" width="8.625" style="29" customWidth="1"/>
    <col min="51" max="51" width="8.625" style="29" hidden="1" customWidth="1"/>
    <col min="52" max="52" width="8.625" style="29" customWidth="1"/>
    <col min="53" max="53" width="0.875" style="29" customWidth="1"/>
    <col min="54" max="57" width="8.625" style="29" customWidth="1"/>
    <col min="58" max="59" width="8.625" style="29" hidden="1" customWidth="1"/>
    <col min="60" max="63" width="8.625" style="29" customWidth="1"/>
    <col min="64" max="64" width="0.875" style="29" customWidth="1"/>
    <col min="65" max="66" width="9" style="29" customWidth="1"/>
    <col min="67" max="67" width="28.75" style="29" customWidth="1"/>
    <col min="68" max="270" width="8" style="29" customWidth="1"/>
    <col min="271" max="16384" width="12.625" style="29"/>
  </cols>
  <sheetData>
    <row r="1" spans="1:68">
      <c r="A1" s="55"/>
      <c r="B1" s="454" t="s">
        <v>95</v>
      </c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  <c r="U1" s="455"/>
      <c r="V1" s="455"/>
      <c r="W1" s="455"/>
      <c r="X1" s="455"/>
      <c r="Y1" s="455"/>
      <c r="Z1" s="455"/>
      <c r="AA1" s="455"/>
      <c r="AB1" s="455"/>
      <c r="AC1" s="455"/>
      <c r="AD1" s="455"/>
      <c r="AE1" s="455"/>
      <c r="AF1" s="455"/>
      <c r="AG1" s="455"/>
      <c r="AH1" s="455"/>
      <c r="AI1" s="455"/>
      <c r="AJ1" s="456"/>
    </row>
    <row r="2" spans="1:68" s="25" customFormat="1" ht="45.6" customHeight="1">
      <c r="A2" s="129" t="s">
        <v>96</v>
      </c>
      <c r="B2" s="233" t="s">
        <v>97</v>
      </c>
      <c r="C2" s="132" t="s">
        <v>98</v>
      </c>
      <c r="D2" s="132" t="s">
        <v>99</v>
      </c>
      <c r="E2" s="132" t="s">
        <v>100</v>
      </c>
      <c r="F2" s="132" t="s">
        <v>101</v>
      </c>
      <c r="G2" s="132" t="s">
        <v>102</v>
      </c>
      <c r="H2" s="132" t="s">
        <v>103</v>
      </c>
      <c r="I2" s="132" t="s">
        <v>104</v>
      </c>
      <c r="J2" s="132" t="s">
        <v>105</v>
      </c>
      <c r="K2" s="114" t="s">
        <v>106</v>
      </c>
      <c r="L2" s="115" t="s">
        <v>107</v>
      </c>
      <c r="M2" s="115" t="s">
        <v>108</v>
      </c>
      <c r="N2" s="115" t="s">
        <v>109</v>
      </c>
      <c r="O2" s="115" t="s">
        <v>110</v>
      </c>
      <c r="P2" s="115" t="s">
        <v>111</v>
      </c>
      <c r="Q2" s="115" t="s">
        <v>112</v>
      </c>
      <c r="R2" s="158" t="s">
        <v>113</v>
      </c>
      <c r="S2" s="116" t="s">
        <v>114</v>
      </c>
      <c r="T2" s="124" t="s">
        <v>115</v>
      </c>
      <c r="U2" s="125" t="s">
        <v>116</v>
      </c>
      <c r="V2" s="125" t="s">
        <v>117</v>
      </c>
      <c r="W2" s="125" t="s">
        <v>118</v>
      </c>
      <c r="X2" s="125" t="s">
        <v>119</v>
      </c>
      <c r="Y2" s="125" t="s">
        <v>120</v>
      </c>
      <c r="Z2" s="126" t="s">
        <v>121</v>
      </c>
      <c r="AA2" s="160" t="s">
        <v>122</v>
      </c>
      <c r="AB2" s="160" t="s">
        <v>123</v>
      </c>
      <c r="AC2" s="160" t="s">
        <v>124</v>
      </c>
      <c r="AD2" s="160" t="s">
        <v>125</v>
      </c>
      <c r="AE2" s="151" t="s">
        <v>126</v>
      </c>
      <c r="AF2" s="151" t="s">
        <v>127</v>
      </c>
      <c r="AG2" s="162" t="s">
        <v>128</v>
      </c>
      <c r="AH2" s="162" t="s">
        <v>129</v>
      </c>
      <c r="AI2" s="152" t="s">
        <v>130</v>
      </c>
      <c r="AJ2" s="122" t="s">
        <v>131</v>
      </c>
      <c r="AK2" s="23"/>
      <c r="AL2" s="24" t="s">
        <v>45</v>
      </c>
      <c r="AM2" s="24" t="s">
        <v>46</v>
      </c>
      <c r="AN2" s="24" t="s">
        <v>132</v>
      </c>
      <c r="AO2" s="24" t="s">
        <v>133</v>
      </c>
      <c r="AP2" s="24" t="s">
        <v>134</v>
      </c>
      <c r="AQ2" s="24" t="s">
        <v>135</v>
      </c>
      <c r="AR2" s="24" t="s">
        <v>136</v>
      </c>
      <c r="AS2" s="24" t="s">
        <v>137</v>
      </c>
      <c r="AU2" s="82" t="s">
        <v>138</v>
      </c>
      <c r="AV2" s="82" t="s">
        <v>139</v>
      </c>
      <c r="AW2" s="82" t="s">
        <v>140</v>
      </c>
      <c r="AX2" s="82" t="s">
        <v>141</v>
      </c>
      <c r="AY2" s="82" t="s">
        <v>142</v>
      </c>
      <c r="AZ2" s="82" t="s">
        <v>143</v>
      </c>
      <c r="BA2"/>
      <c r="BB2" s="79" t="s">
        <v>144</v>
      </c>
      <c r="BC2" s="79" t="s">
        <v>145</v>
      </c>
      <c r="BD2" s="79" t="s">
        <v>146</v>
      </c>
      <c r="BE2" s="79" t="s">
        <v>147</v>
      </c>
      <c r="BF2" s="79" t="s">
        <v>148</v>
      </c>
      <c r="BG2" s="79" t="s">
        <v>149</v>
      </c>
      <c r="BH2" s="73" t="s">
        <v>150</v>
      </c>
      <c r="BI2" s="73" t="s">
        <v>151</v>
      </c>
      <c r="BJ2" s="73" t="s">
        <v>152</v>
      </c>
      <c r="BK2" s="73" t="s">
        <v>153</v>
      </c>
      <c r="BL2"/>
      <c r="BM2" s="26" t="s">
        <v>154</v>
      </c>
      <c r="BN2" s="26" t="s">
        <v>155</v>
      </c>
      <c r="BO2" s="26" t="s">
        <v>156</v>
      </c>
    </row>
    <row r="3" spans="1:68" s="25" customFormat="1" ht="16.5" customHeight="1">
      <c r="A3" s="130" t="s">
        <v>157</v>
      </c>
      <c r="B3" s="368" t="s">
        <v>158</v>
      </c>
      <c r="C3" s="77" t="s">
        <v>158</v>
      </c>
      <c r="D3" s="77" t="s">
        <v>158</v>
      </c>
      <c r="E3" s="77" t="s">
        <v>159</v>
      </c>
      <c r="F3" s="77" t="s">
        <v>159</v>
      </c>
      <c r="G3" s="77" t="s">
        <v>160</v>
      </c>
      <c r="H3" s="77" t="s">
        <v>160</v>
      </c>
      <c r="I3" s="77" t="s">
        <v>161</v>
      </c>
      <c r="J3" s="77" t="s">
        <v>161</v>
      </c>
      <c r="K3" s="117" t="s">
        <v>162</v>
      </c>
      <c r="L3" s="112" t="s">
        <v>162</v>
      </c>
      <c r="M3" s="112" t="s">
        <v>163</v>
      </c>
      <c r="N3" s="112" t="s">
        <v>163</v>
      </c>
      <c r="O3" s="112" t="s">
        <v>164</v>
      </c>
      <c r="P3" s="112" t="s">
        <v>164</v>
      </c>
      <c r="Q3" s="112" t="s">
        <v>165</v>
      </c>
      <c r="R3" s="159" t="s">
        <v>165</v>
      </c>
      <c r="S3" s="118" t="s">
        <v>159</v>
      </c>
      <c r="T3" s="127" t="s">
        <v>158</v>
      </c>
      <c r="U3" s="58" t="s">
        <v>158</v>
      </c>
      <c r="V3" s="58" t="s">
        <v>162</v>
      </c>
      <c r="W3" s="58" t="s">
        <v>159</v>
      </c>
      <c r="X3" s="58" t="s">
        <v>160</v>
      </c>
      <c r="Y3" s="58" t="s">
        <v>161</v>
      </c>
      <c r="Z3" s="128" t="s">
        <v>160</v>
      </c>
      <c r="AA3" s="161" t="s">
        <v>166</v>
      </c>
      <c r="AB3" s="161" t="s">
        <v>166</v>
      </c>
      <c r="AC3" s="161" t="s">
        <v>161</v>
      </c>
      <c r="AD3" s="161" t="s">
        <v>161</v>
      </c>
      <c r="AE3" s="150" t="s">
        <v>167</v>
      </c>
      <c r="AF3" s="150" t="s">
        <v>167</v>
      </c>
      <c r="AG3" s="157" t="s">
        <v>167</v>
      </c>
      <c r="AH3" s="157" t="s">
        <v>168</v>
      </c>
      <c r="AI3" s="153" t="s">
        <v>160</v>
      </c>
      <c r="AJ3" s="123"/>
      <c r="AK3" s="23"/>
      <c r="AL3" s="24"/>
      <c r="AM3" s="24"/>
      <c r="AN3" s="24"/>
      <c r="AO3" s="24"/>
      <c r="AP3" s="24"/>
      <c r="AQ3" s="24"/>
      <c r="AR3" s="24"/>
      <c r="AS3" s="24"/>
      <c r="AU3" s="83"/>
      <c r="AV3" s="83"/>
      <c r="AW3" s="83"/>
      <c r="AX3" s="83"/>
      <c r="AY3" s="83"/>
      <c r="AZ3" s="83"/>
      <c r="BA3"/>
      <c r="BB3" s="77" t="s">
        <v>158</v>
      </c>
      <c r="BC3" s="77" t="s">
        <v>159</v>
      </c>
      <c r="BD3" s="77" t="s">
        <v>160</v>
      </c>
      <c r="BE3" s="77" t="s">
        <v>161</v>
      </c>
      <c r="BF3" s="77" t="s">
        <v>169</v>
      </c>
      <c r="BG3" s="77" t="s">
        <v>170</v>
      </c>
      <c r="BH3" s="58" t="s">
        <v>158</v>
      </c>
      <c r="BI3" s="58" t="s">
        <v>159</v>
      </c>
      <c r="BJ3" s="58" t="s">
        <v>160</v>
      </c>
      <c r="BK3" s="58" t="s">
        <v>161</v>
      </c>
      <c r="BL3"/>
      <c r="BM3" s="28"/>
      <c r="BN3" s="28"/>
      <c r="BO3" s="28"/>
    </row>
    <row r="4" spans="1:68" s="25" customFormat="1" ht="16.5" customHeight="1">
      <c r="A4" s="130" t="s">
        <v>171</v>
      </c>
      <c r="B4" s="451" t="s">
        <v>172</v>
      </c>
      <c r="C4" s="452"/>
      <c r="D4" s="452"/>
      <c r="E4" s="452"/>
      <c r="F4" s="452"/>
      <c r="G4" s="452"/>
      <c r="H4" s="452"/>
      <c r="I4" s="452"/>
      <c r="J4" s="453"/>
      <c r="K4" s="457" t="s">
        <v>173</v>
      </c>
      <c r="L4" s="458"/>
      <c r="M4" s="458"/>
      <c r="N4" s="458"/>
      <c r="O4" s="458"/>
      <c r="P4" s="458"/>
      <c r="Q4" s="458"/>
      <c r="R4" s="458"/>
      <c r="S4" s="459"/>
      <c r="T4" s="445" t="s">
        <v>174</v>
      </c>
      <c r="U4" s="446"/>
      <c r="V4" s="446"/>
      <c r="W4" s="446"/>
      <c r="X4" s="446"/>
      <c r="Y4" s="446"/>
      <c r="Z4" s="447"/>
      <c r="AA4" s="448" t="s">
        <v>175</v>
      </c>
      <c r="AB4" s="449"/>
      <c r="AC4" s="449"/>
      <c r="AD4" s="449"/>
      <c r="AE4" s="449"/>
      <c r="AF4" s="449"/>
      <c r="AG4" s="449"/>
      <c r="AH4" s="449"/>
      <c r="AI4" s="450"/>
      <c r="AJ4" s="123"/>
      <c r="AK4" s="23"/>
      <c r="AL4" s="24"/>
      <c r="AM4" s="24"/>
      <c r="AN4" s="24"/>
      <c r="AO4" s="24"/>
      <c r="AP4" s="24"/>
      <c r="AQ4" s="24"/>
      <c r="AR4" s="24"/>
      <c r="AS4" s="24"/>
      <c r="AU4" s="83"/>
      <c r="AV4" s="83"/>
      <c r="AW4" s="83"/>
      <c r="AX4" s="83"/>
      <c r="AY4" s="83"/>
      <c r="AZ4" s="83"/>
      <c r="BA4"/>
      <c r="BB4" s="77"/>
      <c r="BC4" s="77"/>
      <c r="BD4" s="77"/>
      <c r="BE4" s="77"/>
      <c r="BF4" s="77"/>
      <c r="BG4" s="77"/>
      <c r="BH4" s="58"/>
      <c r="BI4" s="58"/>
      <c r="BJ4" s="58"/>
      <c r="BK4" s="58"/>
      <c r="BL4"/>
      <c r="BM4" s="28"/>
      <c r="BN4" s="28"/>
      <c r="BO4" s="28"/>
    </row>
    <row r="5" spans="1:68" ht="25.5" customHeight="1">
      <c r="A5" s="245">
        <v>46235</v>
      </c>
      <c r="B5" s="246"/>
      <c r="C5" s="247"/>
      <c r="D5" s="247"/>
      <c r="E5" s="247"/>
      <c r="F5" s="247"/>
      <c r="G5" s="247"/>
      <c r="H5" s="247"/>
      <c r="I5" s="247"/>
      <c r="J5" s="247"/>
      <c r="K5" s="248"/>
      <c r="L5" s="247"/>
      <c r="M5" s="247"/>
      <c r="N5" s="247"/>
      <c r="O5" s="247"/>
      <c r="P5" s="247"/>
      <c r="Q5" s="247"/>
      <c r="R5" s="249"/>
      <c r="S5" s="250"/>
      <c r="T5" s="248"/>
      <c r="U5" s="247"/>
      <c r="V5" s="247"/>
      <c r="W5" s="247"/>
      <c r="X5" s="247"/>
      <c r="Y5" s="247"/>
      <c r="Z5" s="250"/>
      <c r="AA5" s="251"/>
      <c r="AB5" s="251"/>
      <c r="AC5" s="251"/>
      <c r="AD5" s="251"/>
      <c r="AE5" s="247"/>
      <c r="AF5" s="249"/>
      <c r="AG5" s="249"/>
      <c r="AH5" s="249"/>
      <c r="AI5" s="250"/>
      <c r="AJ5" s="251">
        <f>SUM(B5:AI5)</f>
        <v>0</v>
      </c>
      <c r="AL5" s="252">
        <f>B5+SUM(C5:D5)*2+SUM(I5:J5)+SUM(K5:L5)*2+SUM(M5:N5)*3+AH5+SUM(AA5:AD5)</f>
        <v>0</v>
      </c>
      <c r="AM5" s="252">
        <f>SUM(E5:J5)+SUM(O5:R5)*3</f>
        <v>0</v>
      </c>
      <c r="AN5" s="252">
        <f>B5+SUM(C5:D5)*2+SUM(K5:N5)*2+SUM(O5:R5)</f>
        <v>0</v>
      </c>
      <c r="AO5" s="252">
        <v>0</v>
      </c>
      <c r="AP5" s="252" t="s">
        <v>176</v>
      </c>
      <c r="AQ5" s="252">
        <v>0</v>
      </c>
      <c r="AR5" s="252"/>
      <c r="AS5" s="252">
        <f t="shared" ref="AS5:AS35" si="0">SUM(AA5:AB5)+AH5+S5</f>
        <v>0</v>
      </c>
      <c r="AU5" s="252">
        <f t="shared" ref="AU5:AU30" si="1">AJ5-AV5-AW5-AX5</f>
        <v>0</v>
      </c>
      <c r="AV5" s="252">
        <v>0</v>
      </c>
      <c r="AW5" s="252">
        <f t="shared" ref="AW5:AW35" si="2">AH5</f>
        <v>0</v>
      </c>
      <c r="AX5" s="252">
        <f t="shared" ref="AX5:AX35" si="3">Z5+S5+AI5</f>
        <v>0</v>
      </c>
      <c r="AY5" s="252">
        <f t="shared" ref="AY5:AY30" si="4">AG5</f>
        <v>0</v>
      </c>
      <c r="AZ5" s="252">
        <v>0</v>
      </c>
      <c r="BB5" s="252">
        <f t="shared" ref="BB5:BB34" si="5">SUM(B5:D5)+K5+L5+AA5</f>
        <v>0</v>
      </c>
      <c r="BC5" s="252">
        <f t="shared" ref="BC5:BC30" si="6">SUM(E5:F5)+SUM(M5:N5)+AB5+AH5+S5</f>
        <v>0</v>
      </c>
      <c r="BD5" s="252">
        <f t="shared" ref="BD5:BD30" si="7">SUM(G5:H5)+O5+P5</f>
        <v>0</v>
      </c>
      <c r="BE5" s="252">
        <f t="shared" ref="BE5:BE30" si="8">SUM(I5:J5)+Q5+R5+AC5+AD5</f>
        <v>0</v>
      </c>
      <c r="BF5" s="252"/>
      <c r="BG5" s="252"/>
      <c r="BH5" s="252">
        <f t="shared" ref="BH5:BH30" si="9">SUM(T5:V5)+AE5+AG5</f>
        <v>0</v>
      </c>
      <c r="BI5" s="252">
        <f t="shared" ref="BI5:BI30" si="10">W5+AF5</f>
        <v>0</v>
      </c>
      <c r="BJ5" s="252">
        <f t="shared" ref="BJ5:BJ30" si="11">X5+Z5+AI5</f>
        <v>0</v>
      </c>
      <c r="BK5" s="252">
        <f t="shared" ref="BK5:BK30" si="12">Y5</f>
        <v>0</v>
      </c>
      <c r="BM5" s="15"/>
      <c r="BN5" s="15"/>
      <c r="BO5" s="253"/>
      <c r="BP5" s="31"/>
    </row>
    <row r="6" spans="1:68" ht="25.5" customHeight="1">
      <c r="A6" s="245">
        <f t="shared" ref="A6:A35" si="13">A5+1</f>
        <v>46236</v>
      </c>
      <c r="B6" s="246"/>
      <c r="C6" s="247"/>
      <c r="D6" s="247"/>
      <c r="E6" s="247"/>
      <c r="F6" s="247"/>
      <c r="G6" s="247"/>
      <c r="H6" s="247"/>
      <c r="I6" s="247"/>
      <c r="J6" s="247"/>
      <c r="K6" s="248"/>
      <c r="L6" s="247"/>
      <c r="M6" s="247"/>
      <c r="N6" s="247"/>
      <c r="O6" s="247"/>
      <c r="P6" s="247"/>
      <c r="Q6" s="247"/>
      <c r="R6" s="249"/>
      <c r="S6" s="250"/>
      <c r="T6" s="248"/>
      <c r="U6" s="247"/>
      <c r="V6" s="247"/>
      <c r="W6" s="247"/>
      <c r="X6" s="247"/>
      <c r="Y6" s="247"/>
      <c r="Z6" s="250"/>
      <c r="AA6" s="251"/>
      <c r="AB6" s="251"/>
      <c r="AC6" s="251"/>
      <c r="AD6" s="251"/>
      <c r="AE6" s="247"/>
      <c r="AF6" s="249"/>
      <c r="AG6" s="249"/>
      <c r="AH6" s="249"/>
      <c r="AI6" s="250"/>
      <c r="AJ6" s="251">
        <f t="shared" ref="AJ6:AJ35" si="14">SUM(B6:AI6)</f>
        <v>0</v>
      </c>
      <c r="AL6" s="252">
        <f t="shared" ref="AL6:AL13" si="15">B6+SUM(C6:D6)*2+SUM(I6:J6)+SUM(K6:L6)*2+SUM(M6:N6)*3+AH6+SUM(AA6:AD6)</f>
        <v>0</v>
      </c>
      <c r="AM6" s="252">
        <f t="shared" ref="AM6:AM35" si="16">SUM(E6:J6)+SUM(O6:R6)*3</f>
        <v>0</v>
      </c>
      <c r="AN6" s="252">
        <f t="shared" ref="AN6:AN13" si="17">B6+SUM(C6:D6)*2+SUM(K6:N6)*2+SUM(O6:R6)</f>
        <v>0</v>
      </c>
      <c r="AO6" s="252">
        <v>0</v>
      </c>
      <c r="AP6" s="252" t="s">
        <v>176</v>
      </c>
      <c r="AQ6" s="252">
        <v>0</v>
      </c>
      <c r="AR6" s="252"/>
      <c r="AS6" s="252">
        <f t="shared" si="0"/>
        <v>0</v>
      </c>
      <c r="AU6" s="252">
        <f t="shared" si="1"/>
        <v>0</v>
      </c>
      <c r="AV6" s="252">
        <v>0</v>
      </c>
      <c r="AW6" s="252">
        <f t="shared" si="2"/>
        <v>0</v>
      </c>
      <c r="AX6" s="252">
        <f t="shared" si="3"/>
        <v>0</v>
      </c>
      <c r="AY6" s="252">
        <f t="shared" si="4"/>
        <v>0</v>
      </c>
      <c r="AZ6" s="252">
        <v>0</v>
      </c>
      <c r="BB6" s="252">
        <f t="shared" si="5"/>
        <v>0</v>
      </c>
      <c r="BC6" s="252">
        <f t="shared" si="6"/>
        <v>0</v>
      </c>
      <c r="BD6" s="252">
        <f t="shared" si="7"/>
        <v>0</v>
      </c>
      <c r="BE6" s="252">
        <f t="shared" si="8"/>
        <v>0</v>
      </c>
      <c r="BF6" s="252"/>
      <c r="BG6" s="252"/>
      <c r="BH6" s="252">
        <f t="shared" si="9"/>
        <v>0</v>
      </c>
      <c r="BI6" s="252">
        <f t="shared" si="10"/>
        <v>0</v>
      </c>
      <c r="BJ6" s="252">
        <f t="shared" si="11"/>
        <v>0</v>
      </c>
      <c r="BK6" s="252">
        <f t="shared" si="12"/>
        <v>0</v>
      </c>
      <c r="BM6" s="15"/>
      <c r="BN6" s="15"/>
      <c r="BO6" s="15"/>
    </row>
    <row r="7" spans="1:68" ht="25.5" customHeight="1">
      <c r="A7" s="245">
        <f t="shared" si="13"/>
        <v>46237</v>
      </c>
      <c r="B7" s="246">
        <v>0</v>
      </c>
      <c r="C7" s="247">
        <v>875</v>
      </c>
      <c r="D7" s="247">
        <v>203</v>
      </c>
      <c r="E7" s="247">
        <v>21</v>
      </c>
      <c r="F7" s="247">
        <v>20</v>
      </c>
      <c r="G7" s="247">
        <v>12</v>
      </c>
      <c r="H7" s="247">
        <v>2</v>
      </c>
      <c r="I7" s="247">
        <v>0</v>
      </c>
      <c r="J7" s="247">
        <v>0</v>
      </c>
      <c r="K7" s="248">
        <v>17</v>
      </c>
      <c r="L7" s="247">
        <v>22</v>
      </c>
      <c r="M7" s="247">
        <v>97</v>
      </c>
      <c r="N7" s="247">
        <v>80</v>
      </c>
      <c r="O7" s="247">
        <v>17</v>
      </c>
      <c r="P7" s="247">
        <v>23</v>
      </c>
      <c r="Q7" s="247">
        <v>5</v>
      </c>
      <c r="R7" s="249">
        <v>1</v>
      </c>
      <c r="S7" s="250"/>
      <c r="T7" s="248">
        <v>38</v>
      </c>
      <c r="U7" s="247">
        <v>28</v>
      </c>
      <c r="V7" s="247">
        <v>0</v>
      </c>
      <c r="W7" s="247">
        <v>7</v>
      </c>
      <c r="X7" s="247">
        <v>1</v>
      </c>
      <c r="Y7" s="247">
        <v>0</v>
      </c>
      <c r="Z7" s="250">
        <v>26</v>
      </c>
      <c r="AA7" s="251">
        <v>0</v>
      </c>
      <c r="AB7" s="251">
        <v>0</v>
      </c>
      <c r="AC7" s="251">
        <v>0</v>
      </c>
      <c r="AD7" s="251">
        <v>0</v>
      </c>
      <c r="AE7" s="247">
        <v>1</v>
      </c>
      <c r="AF7" s="249">
        <v>0</v>
      </c>
      <c r="AG7" s="249">
        <v>0</v>
      </c>
      <c r="AH7" s="249">
        <v>2</v>
      </c>
      <c r="AI7" s="250">
        <v>0</v>
      </c>
      <c r="AJ7" s="251">
        <f t="shared" si="14"/>
        <v>1498</v>
      </c>
      <c r="AL7" s="252">
        <f t="shared" si="15"/>
        <v>2767</v>
      </c>
      <c r="AM7" s="252">
        <f t="shared" si="16"/>
        <v>193</v>
      </c>
      <c r="AN7" s="252">
        <f t="shared" si="17"/>
        <v>2634</v>
      </c>
      <c r="AO7" s="252">
        <v>0</v>
      </c>
      <c r="AP7" s="252">
        <v>79</v>
      </c>
      <c r="AQ7" s="252">
        <v>0</v>
      </c>
      <c r="AR7" s="252"/>
      <c r="AS7" s="252">
        <f t="shared" si="0"/>
        <v>2</v>
      </c>
      <c r="AU7" s="252">
        <f t="shared" si="1"/>
        <v>684</v>
      </c>
      <c r="AV7" s="252">
        <v>786</v>
      </c>
      <c r="AW7" s="252">
        <f t="shared" si="2"/>
        <v>2</v>
      </c>
      <c r="AX7" s="252">
        <f t="shared" si="3"/>
        <v>26</v>
      </c>
      <c r="AY7" s="252">
        <f t="shared" si="4"/>
        <v>0</v>
      </c>
      <c r="AZ7" s="252">
        <v>0</v>
      </c>
      <c r="BB7" s="252">
        <f t="shared" si="5"/>
        <v>1117</v>
      </c>
      <c r="BC7" s="252">
        <f t="shared" si="6"/>
        <v>220</v>
      </c>
      <c r="BD7" s="252">
        <f t="shared" si="7"/>
        <v>54</v>
      </c>
      <c r="BE7" s="252">
        <f t="shared" si="8"/>
        <v>6</v>
      </c>
      <c r="BF7" s="252"/>
      <c r="BG7" s="252"/>
      <c r="BH7" s="252">
        <f t="shared" si="9"/>
        <v>67</v>
      </c>
      <c r="BI7" s="252">
        <f t="shared" si="10"/>
        <v>7</v>
      </c>
      <c r="BJ7" s="252">
        <f t="shared" si="11"/>
        <v>27</v>
      </c>
      <c r="BK7" s="252">
        <f t="shared" si="12"/>
        <v>0</v>
      </c>
      <c r="BM7" s="15">
        <v>28</v>
      </c>
      <c r="BN7" s="15"/>
      <c r="BO7" s="15"/>
    </row>
    <row r="8" spans="1:68" ht="25.5" customHeight="1">
      <c r="A8" s="245">
        <f t="shared" si="13"/>
        <v>46238</v>
      </c>
      <c r="B8" s="246">
        <v>0</v>
      </c>
      <c r="C8" s="247">
        <v>230</v>
      </c>
      <c r="D8" s="247">
        <v>106</v>
      </c>
      <c r="E8" s="247">
        <v>19</v>
      </c>
      <c r="F8" s="247">
        <v>25</v>
      </c>
      <c r="G8" s="247">
        <v>15</v>
      </c>
      <c r="H8" s="247">
        <v>0</v>
      </c>
      <c r="I8" s="247">
        <v>0</v>
      </c>
      <c r="J8" s="247">
        <v>0</v>
      </c>
      <c r="K8" s="248">
        <v>5</v>
      </c>
      <c r="L8" s="247">
        <v>8</v>
      </c>
      <c r="M8" s="247">
        <v>43</v>
      </c>
      <c r="N8" s="247">
        <v>38</v>
      </c>
      <c r="O8" s="247">
        <v>10</v>
      </c>
      <c r="P8" s="247">
        <v>9</v>
      </c>
      <c r="Q8" s="247">
        <v>3</v>
      </c>
      <c r="R8" s="249">
        <v>8</v>
      </c>
      <c r="S8" s="250"/>
      <c r="T8" s="248">
        <v>9</v>
      </c>
      <c r="U8" s="247">
        <v>7</v>
      </c>
      <c r="V8" s="247">
        <v>0</v>
      </c>
      <c r="W8" s="247">
        <v>4</v>
      </c>
      <c r="X8" s="247">
        <v>0</v>
      </c>
      <c r="Y8" s="247">
        <v>0</v>
      </c>
      <c r="Z8" s="250">
        <v>4</v>
      </c>
      <c r="AA8" s="251">
        <v>0</v>
      </c>
      <c r="AB8" s="251">
        <v>0</v>
      </c>
      <c r="AC8" s="251">
        <v>0</v>
      </c>
      <c r="AD8" s="251">
        <v>0</v>
      </c>
      <c r="AE8" s="247">
        <v>0</v>
      </c>
      <c r="AF8" s="249">
        <v>0</v>
      </c>
      <c r="AG8" s="249">
        <v>0</v>
      </c>
      <c r="AH8" s="249">
        <v>0</v>
      </c>
      <c r="AI8" s="250">
        <v>0</v>
      </c>
      <c r="AJ8" s="251">
        <f t="shared" si="14"/>
        <v>543</v>
      </c>
      <c r="AL8" s="252">
        <f t="shared" si="15"/>
        <v>941</v>
      </c>
      <c r="AM8" s="252">
        <f t="shared" si="16"/>
        <v>149</v>
      </c>
      <c r="AN8" s="252">
        <f t="shared" si="17"/>
        <v>890</v>
      </c>
      <c r="AO8" s="252">
        <v>0</v>
      </c>
      <c r="AP8" s="252">
        <v>34</v>
      </c>
      <c r="AQ8" s="252">
        <v>0</v>
      </c>
      <c r="AR8" s="252"/>
      <c r="AS8" s="252">
        <f t="shared" si="0"/>
        <v>0</v>
      </c>
      <c r="AU8" s="301">
        <f>AJ8-AV8-AW8-AX8</f>
        <v>492</v>
      </c>
      <c r="AV8" s="252">
        <v>47</v>
      </c>
      <c r="AW8" s="252">
        <f t="shared" si="2"/>
        <v>0</v>
      </c>
      <c r="AX8" s="252">
        <f t="shared" si="3"/>
        <v>4</v>
      </c>
      <c r="AY8" s="252">
        <f t="shared" si="4"/>
        <v>0</v>
      </c>
      <c r="AZ8" s="252">
        <v>0</v>
      </c>
      <c r="BB8" s="252">
        <f t="shared" si="5"/>
        <v>349</v>
      </c>
      <c r="BC8" s="252">
        <f t="shared" si="6"/>
        <v>125</v>
      </c>
      <c r="BD8" s="252">
        <f t="shared" si="7"/>
        <v>34</v>
      </c>
      <c r="BE8" s="252">
        <f t="shared" si="8"/>
        <v>11</v>
      </c>
      <c r="BF8" s="252"/>
      <c r="BG8" s="252"/>
      <c r="BH8" s="252">
        <f>SUM(T8:V8)+AE8+AG8</f>
        <v>16</v>
      </c>
      <c r="BI8" s="252">
        <f t="shared" si="10"/>
        <v>4</v>
      </c>
      <c r="BJ8" s="252">
        <f t="shared" si="11"/>
        <v>4</v>
      </c>
      <c r="BK8" s="252">
        <f t="shared" si="12"/>
        <v>0</v>
      </c>
      <c r="BM8" s="15">
        <v>22</v>
      </c>
      <c r="BN8" s="15"/>
      <c r="BO8" s="15"/>
    </row>
    <row r="9" spans="1:68" ht="25.5" customHeight="1">
      <c r="A9" s="245">
        <f t="shared" si="13"/>
        <v>46239</v>
      </c>
      <c r="B9" s="246">
        <v>0</v>
      </c>
      <c r="C9" s="247">
        <v>271</v>
      </c>
      <c r="D9" s="247">
        <v>100</v>
      </c>
      <c r="E9" s="247">
        <v>26</v>
      </c>
      <c r="F9" s="247">
        <v>21</v>
      </c>
      <c r="G9" s="247">
        <v>4</v>
      </c>
      <c r="H9" s="247">
        <v>2</v>
      </c>
      <c r="I9" s="247">
        <v>0</v>
      </c>
      <c r="J9" s="247">
        <v>0</v>
      </c>
      <c r="K9" s="248">
        <v>0</v>
      </c>
      <c r="L9" s="247">
        <v>36</v>
      </c>
      <c r="M9" s="247">
        <v>58</v>
      </c>
      <c r="N9" s="247">
        <v>50</v>
      </c>
      <c r="O9" s="247">
        <v>14</v>
      </c>
      <c r="P9" s="247">
        <v>18</v>
      </c>
      <c r="Q9" s="247">
        <v>2</v>
      </c>
      <c r="R9" s="249">
        <v>4</v>
      </c>
      <c r="S9" s="250"/>
      <c r="T9" s="248">
        <v>9</v>
      </c>
      <c r="U9" s="247">
        <v>9</v>
      </c>
      <c r="V9" s="247">
        <v>0</v>
      </c>
      <c r="W9" s="247">
        <v>2</v>
      </c>
      <c r="X9" s="247">
        <v>0</v>
      </c>
      <c r="Y9" s="247">
        <v>0</v>
      </c>
      <c r="Z9" s="250">
        <v>6</v>
      </c>
      <c r="AA9" s="251">
        <v>0</v>
      </c>
      <c r="AB9" s="251">
        <v>0</v>
      </c>
      <c r="AC9" s="251">
        <v>0</v>
      </c>
      <c r="AD9" s="251">
        <v>0</v>
      </c>
      <c r="AE9" s="247">
        <v>2</v>
      </c>
      <c r="AF9" s="249">
        <v>0</v>
      </c>
      <c r="AG9" s="249">
        <v>0</v>
      </c>
      <c r="AH9" s="249">
        <v>1</v>
      </c>
      <c r="AI9" s="250">
        <v>0</v>
      </c>
      <c r="AJ9" s="251">
        <f t="shared" si="14"/>
        <v>635</v>
      </c>
      <c r="AL9" s="252">
        <f t="shared" si="15"/>
        <v>1139</v>
      </c>
      <c r="AM9" s="252">
        <f t="shared" si="16"/>
        <v>167</v>
      </c>
      <c r="AN9" s="252">
        <f t="shared" si="17"/>
        <v>1068</v>
      </c>
      <c r="AO9" s="252">
        <v>0</v>
      </c>
      <c r="AP9" s="252">
        <v>25</v>
      </c>
      <c r="AQ9" s="252">
        <v>0</v>
      </c>
      <c r="AR9" s="252"/>
      <c r="AS9" s="252">
        <f t="shared" si="0"/>
        <v>1</v>
      </c>
      <c r="AU9" s="252">
        <f t="shared" si="1"/>
        <v>560</v>
      </c>
      <c r="AV9" s="252">
        <v>68</v>
      </c>
      <c r="AW9" s="252">
        <f t="shared" si="2"/>
        <v>1</v>
      </c>
      <c r="AX9" s="252">
        <f t="shared" si="3"/>
        <v>6</v>
      </c>
      <c r="AY9" s="252">
        <f t="shared" si="4"/>
        <v>0</v>
      </c>
      <c r="AZ9" s="252">
        <v>0</v>
      </c>
      <c r="BB9" s="252">
        <f t="shared" si="5"/>
        <v>407</v>
      </c>
      <c r="BC9" s="252">
        <f t="shared" si="6"/>
        <v>156</v>
      </c>
      <c r="BD9" s="252">
        <f t="shared" si="7"/>
        <v>38</v>
      </c>
      <c r="BE9" s="252">
        <f t="shared" si="8"/>
        <v>6</v>
      </c>
      <c r="BF9" s="252"/>
      <c r="BG9" s="252"/>
      <c r="BH9" s="252">
        <f t="shared" si="9"/>
        <v>20</v>
      </c>
      <c r="BI9" s="252">
        <f t="shared" si="10"/>
        <v>2</v>
      </c>
      <c r="BJ9" s="252">
        <f t="shared" si="11"/>
        <v>6</v>
      </c>
      <c r="BK9" s="252">
        <f t="shared" si="12"/>
        <v>0</v>
      </c>
      <c r="BM9" s="15">
        <v>41</v>
      </c>
      <c r="BN9" s="15"/>
      <c r="BO9" s="253"/>
    </row>
    <row r="10" spans="1:68" ht="25.5" customHeight="1">
      <c r="A10" s="245">
        <f t="shared" si="13"/>
        <v>46240</v>
      </c>
      <c r="B10" s="246">
        <v>0</v>
      </c>
      <c r="C10" s="247">
        <v>1079</v>
      </c>
      <c r="D10" s="247">
        <v>167</v>
      </c>
      <c r="E10" s="247">
        <v>72</v>
      </c>
      <c r="F10" s="247">
        <v>1027</v>
      </c>
      <c r="G10" s="247">
        <v>18</v>
      </c>
      <c r="H10" s="247">
        <v>3</v>
      </c>
      <c r="I10" s="247">
        <v>0</v>
      </c>
      <c r="J10" s="247">
        <v>0</v>
      </c>
      <c r="K10" s="248">
        <v>37</v>
      </c>
      <c r="L10" s="247">
        <v>32</v>
      </c>
      <c r="M10" s="247">
        <v>68</v>
      </c>
      <c r="N10" s="247">
        <v>79</v>
      </c>
      <c r="O10" s="247">
        <v>36</v>
      </c>
      <c r="P10" s="247">
        <v>18</v>
      </c>
      <c r="Q10" s="247">
        <v>7</v>
      </c>
      <c r="R10" s="249">
        <v>6</v>
      </c>
      <c r="S10" s="250"/>
      <c r="T10" s="248">
        <v>30</v>
      </c>
      <c r="U10" s="247">
        <v>16</v>
      </c>
      <c r="V10" s="247">
        <v>0</v>
      </c>
      <c r="W10" s="247">
        <v>20</v>
      </c>
      <c r="X10" s="247">
        <v>1</v>
      </c>
      <c r="Y10" s="247">
        <v>0</v>
      </c>
      <c r="Z10" s="250">
        <v>23</v>
      </c>
      <c r="AA10" s="251">
        <v>0</v>
      </c>
      <c r="AB10" s="251">
        <v>0</v>
      </c>
      <c r="AC10" s="251">
        <v>0</v>
      </c>
      <c r="AD10" s="251">
        <v>0</v>
      </c>
      <c r="AE10" s="247">
        <v>1</v>
      </c>
      <c r="AF10" s="249">
        <v>0</v>
      </c>
      <c r="AG10" s="249">
        <v>0</v>
      </c>
      <c r="AH10" s="249"/>
      <c r="AI10" s="250">
        <v>0</v>
      </c>
      <c r="AJ10" s="251">
        <f t="shared" si="14"/>
        <v>2740</v>
      </c>
      <c r="AL10" s="252">
        <f t="shared" si="15"/>
        <v>3071</v>
      </c>
      <c r="AM10" s="252">
        <f>SUM(E10:J10)+SUM(O10:R10)*3-1000+1000*3</f>
        <v>3321</v>
      </c>
      <c r="AN10" s="252">
        <f>B10+SUM(C10:D10)*2+SUM(K10:N10)*2+SUM(O10:R10)+1000*3</f>
        <v>5991</v>
      </c>
      <c r="AO10" s="252">
        <v>0</v>
      </c>
      <c r="AP10" s="252">
        <v>54</v>
      </c>
      <c r="AQ10" s="252">
        <v>0</v>
      </c>
      <c r="AR10" s="252"/>
      <c r="AS10" s="252">
        <f t="shared" si="0"/>
        <v>0</v>
      </c>
      <c r="AU10" s="252">
        <f t="shared" si="1"/>
        <v>815</v>
      </c>
      <c r="AV10" s="252">
        <v>1902</v>
      </c>
      <c r="AW10" s="252">
        <f t="shared" si="2"/>
        <v>0</v>
      </c>
      <c r="AX10" s="252">
        <f t="shared" si="3"/>
        <v>23</v>
      </c>
      <c r="AY10" s="252">
        <f t="shared" si="4"/>
        <v>0</v>
      </c>
      <c r="AZ10" s="252">
        <v>0</v>
      </c>
      <c r="BB10" s="252">
        <f t="shared" si="5"/>
        <v>1315</v>
      </c>
      <c r="BC10" s="252">
        <f t="shared" si="6"/>
        <v>1246</v>
      </c>
      <c r="BD10" s="252">
        <f t="shared" si="7"/>
        <v>75</v>
      </c>
      <c r="BE10" s="252">
        <f t="shared" si="8"/>
        <v>13</v>
      </c>
      <c r="BF10" s="252"/>
      <c r="BG10" s="252"/>
      <c r="BH10" s="252">
        <f t="shared" si="9"/>
        <v>47</v>
      </c>
      <c r="BI10" s="252">
        <f t="shared" si="10"/>
        <v>20</v>
      </c>
      <c r="BJ10" s="252">
        <f t="shared" si="11"/>
        <v>24</v>
      </c>
      <c r="BK10" s="252">
        <f t="shared" si="12"/>
        <v>0</v>
      </c>
      <c r="BM10" s="15">
        <v>34</v>
      </c>
      <c r="BN10" s="15">
        <v>7</v>
      </c>
      <c r="BO10" s="15"/>
    </row>
    <row r="11" spans="1:68" ht="25.5" customHeight="1">
      <c r="A11" s="245">
        <f t="shared" si="13"/>
        <v>46241</v>
      </c>
      <c r="B11" s="246">
        <v>0</v>
      </c>
      <c r="C11" s="247">
        <v>1173</v>
      </c>
      <c r="D11" s="247">
        <v>139</v>
      </c>
      <c r="E11" s="247">
        <v>50</v>
      </c>
      <c r="F11" s="247">
        <v>1029</v>
      </c>
      <c r="G11" s="247">
        <v>14</v>
      </c>
      <c r="H11" s="247">
        <v>3</v>
      </c>
      <c r="I11" s="247">
        <v>0</v>
      </c>
      <c r="J11" s="247">
        <v>0</v>
      </c>
      <c r="K11" s="248">
        <v>23</v>
      </c>
      <c r="L11" s="247">
        <v>20</v>
      </c>
      <c r="M11" s="247">
        <v>27</v>
      </c>
      <c r="N11" s="247">
        <v>61</v>
      </c>
      <c r="O11" s="247">
        <v>20</v>
      </c>
      <c r="P11" s="247">
        <v>14</v>
      </c>
      <c r="Q11" s="247">
        <v>4</v>
      </c>
      <c r="R11" s="249">
        <v>3</v>
      </c>
      <c r="S11" s="250"/>
      <c r="T11" s="248">
        <v>24</v>
      </c>
      <c r="U11" s="247">
        <v>11</v>
      </c>
      <c r="V11" s="247">
        <v>0</v>
      </c>
      <c r="W11" s="247">
        <v>6</v>
      </c>
      <c r="X11" s="247">
        <v>0</v>
      </c>
      <c r="Y11" s="247">
        <v>0</v>
      </c>
      <c r="Z11" s="250">
        <v>2</v>
      </c>
      <c r="AA11" s="251">
        <v>0</v>
      </c>
      <c r="AB11" s="251">
        <v>0</v>
      </c>
      <c r="AC11" s="251">
        <v>0</v>
      </c>
      <c r="AD11" s="251">
        <v>0</v>
      </c>
      <c r="AE11" s="247">
        <v>0</v>
      </c>
      <c r="AF11" s="249">
        <v>0</v>
      </c>
      <c r="AG11" s="249">
        <v>0</v>
      </c>
      <c r="AH11" s="249">
        <v>0</v>
      </c>
      <c r="AI11" s="250">
        <v>0</v>
      </c>
      <c r="AJ11" s="251">
        <f t="shared" si="14"/>
        <v>2623</v>
      </c>
      <c r="AL11" s="252">
        <f t="shared" si="15"/>
        <v>2974</v>
      </c>
      <c r="AM11" s="252">
        <f>SUM(E11:J11)+SUM(O11:R11)*3-1000+1000*3</f>
        <v>3219</v>
      </c>
      <c r="AN11" s="252">
        <f>B11+SUM(C11:D11)*2+SUM(K11:N11)*2+SUM(O11:R11)+1000*3</f>
        <v>5927</v>
      </c>
      <c r="AO11" s="252">
        <v>0</v>
      </c>
      <c r="AP11" s="252">
        <v>33</v>
      </c>
      <c r="AQ11" s="252">
        <v>0</v>
      </c>
      <c r="AR11" s="252"/>
      <c r="AS11" s="252">
        <f t="shared" si="0"/>
        <v>0</v>
      </c>
      <c r="AU11" s="252">
        <f t="shared" si="1"/>
        <v>623</v>
      </c>
      <c r="AV11" s="252">
        <v>1998</v>
      </c>
      <c r="AW11" s="252">
        <f t="shared" si="2"/>
        <v>0</v>
      </c>
      <c r="AX11" s="252">
        <f t="shared" si="3"/>
        <v>2</v>
      </c>
      <c r="AY11" s="252">
        <f t="shared" si="4"/>
        <v>0</v>
      </c>
      <c r="AZ11" s="252">
        <v>0</v>
      </c>
      <c r="BB11" s="252">
        <f t="shared" si="5"/>
        <v>1355</v>
      </c>
      <c r="BC11" s="252">
        <f t="shared" si="6"/>
        <v>1167</v>
      </c>
      <c r="BD11" s="252">
        <f t="shared" si="7"/>
        <v>51</v>
      </c>
      <c r="BE11" s="252">
        <f t="shared" si="8"/>
        <v>7</v>
      </c>
      <c r="BF11" s="252"/>
      <c r="BG11" s="252"/>
      <c r="BH11" s="252">
        <f t="shared" si="9"/>
        <v>35</v>
      </c>
      <c r="BI11" s="252">
        <f t="shared" si="10"/>
        <v>6</v>
      </c>
      <c r="BJ11" s="252">
        <f t="shared" si="11"/>
        <v>2</v>
      </c>
      <c r="BK11" s="252">
        <f t="shared" si="12"/>
        <v>0</v>
      </c>
      <c r="BM11" s="15">
        <v>20</v>
      </c>
      <c r="BN11" s="15"/>
      <c r="BO11" s="253"/>
    </row>
    <row r="12" spans="1:68" ht="25.5" customHeight="1">
      <c r="A12" s="245">
        <f t="shared" si="13"/>
        <v>46242</v>
      </c>
      <c r="B12" s="246"/>
      <c r="C12" s="247"/>
      <c r="D12" s="247"/>
      <c r="E12" s="247"/>
      <c r="F12" s="247"/>
      <c r="G12" s="247"/>
      <c r="H12" s="247"/>
      <c r="I12" s="247"/>
      <c r="J12" s="247"/>
      <c r="K12" s="248"/>
      <c r="L12" s="247"/>
      <c r="M12" s="247"/>
      <c r="N12" s="247"/>
      <c r="O12" s="247"/>
      <c r="P12" s="247"/>
      <c r="Q12" s="247"/>
      <c r="R12" s="249"/>
      <c r="S12" s="250"/>
      <c r="T12" s="248"/>
      <c r="U12" s="247"/>
      <c r="V12" s="247"/>
      <c r="W12" s="247"/>
      <c r="X12" s="247"/>
      <c r="Y12" s="247"/>
      <c r="Z12" s="250"/>
      <c r="AA12" s="251"/>
      <c r="AB12" s="251"/>
      <c r="AC12" s="251"/>
      <c r="AD12" s="251"/>
      <c r="AE12" s="247"/>
      <c r="AF12" s="249"/>
      <c r="AG12" s="249"/>
      <c r="AH12" s="249"/>
      <c r="AI12" s="250"/>
      <c r="AJ12" s="251">
        <f t="shared" si="14"/>
        <v>0</v>
      </c>
      <c r="AL12" s="252">
        <f t="shared" si="15"/>
        <v>0</v>
      </c>
      <c r="AM12" s="252">
        <f t="shared" si="16"/>
        <v>0</v>
      </c>
      <c r="AN12" s="252">
        <f t="shared" si="17"/>
        <v>0</v>
      </c>
      <c r="AO12" s="252">
        <v>0</v>
      </c>
      <c r="AP12" s="252" t="s">
        <v>176</v>
      </c>
      <c r="AQ12" s="252">
        <v>0</v>
      </c>
      <c r="AR12" s="252"/>
      <c r="AS12" s="252">
        <f t="shared" si="0"/>
        <v>0</v>
      </c>
      <c r="AU12" s="301">
        <f t="shared" si="1"/>
        <v>0</v>
      </c>
      <c r="AV12" s="252">
        <v>0</v>
      </c>
      <c r="AW12" s="252">
        <f t="shared" si="2"/>
        <v>0</v>
      </c>
      <c r="AX12" s="252">
        <f t="shared" si="3"/>
        <v>0</v>
      </c>
      <c r="AY12" s="252">
        <f t="shared" si="4"/>
        <v>0</v>
      </c>
      <c r="AZ12" s="252">
        <v>0</v>
      </c>
      <c r="BB12" s="252">
        <f t="shared" si="5"/>
        <v>0</v>
      </c>
      <c r="BC12" s="252">
        <f t="shared" si="6"/>
        <v>0</v>
      </c>
      <c r="BD12" s="252">
        <f t="shared" si="7"/>
        <v>0</v>
      </c>
      <c r="BE12" s="252">
        <f t="shared" si="8"/>
        <v>0</v>
      </c>
      <c r="BF12" s="252"/>
      <c r="BG12" s="252"/>
      <c r="BH12" s="252">
        <f t="shared" si="9"/>
        <v>0</v>
      </c>
      <c r="BI12" s="252">
        <f t="shared" si="10"/>
        <v>0</v>
      </c>
      <c r="BJ12" s="252">
        <f t="shared" si="11"/>
        <v>0</v>
      </c>
      <c r="BK12" s="252">
        <f t="shared" si="12"/>
        <v>0</v>
      </c>
      <c r="BM12" s="15"/>
      <c r="BN12" s="15"/>
      <c r="BO12" s="15"/>
    </row>
    <row r="13" spans="1:68" ht="25.5" customHeight="1">
      <c r="A13" s="245">
        <f t="shared" si="13"/>
        <v>46243</v>
      </c>
      <c r="B13" s="246"/>
      <c r="C13" s="247"/>
      <c r="D13" s="247"/>
      <c r="E13" s="247"/>
      <c r="F13" s="247"/>
      <c r="G13" s="247"/>
      <c r="H13" s="247"/>
      <c r="I13" s="247"/>
      <c r="J13" s="247"/>
      <c r="K13" s="248"/>
      <c r="L13" s="247"/>
      <c r="M13" s="247"/>
      <c r="N13" s="247"/>
      <c r="O13" s="247"/>
      <c r="P13" s="247"/>
      <c r="Q13" s="247"/>
      <c r="R13" s="249"/>
      <c r="S13" s="250"/>
      <c r="T13" s="248"/>
      <c r="U13" s="247"/>
      <c r="V13" s="247"/>
      <c r="W13" s="247"/>
      <c r="X13" s="247"/>
      <c r="Y13" s="247"/>
      <c r="Z13" s="250"/>
      <c r="AA13" s="251"/>
      <c r="AB13" s="251"/>
      <c r="AC13" s="251"/>
      <c r="AD13" s="251"/>
      <c r="AE13" s="247"/>
      <c r="AF13" s="249"/>
      <c r="AG13" s="249"/>
      <c r="AH13" s="249"/>
      <c r="AI13" s="250"/>
      <c r="AJ13" s="251">
        <f t="shared" si="14"/>
        <v>0</v>
      </c>
      <c r="AL13" s="252">
        <f t="shared" si="15"/>
        <v>0</v>
      </c>
      <c r="AM13" s="252">
        <f t="shared" si="16"/>
        <v>0</v>
      </c>
      <c r="AN13" s="252">
        <f t="shared" si="17"/>
        <v>0</v>
      </c>
      <c r="AO13" s="252">
        <v>0</v>
      </c>
      <c r="AP13" s="252" t="s">
        <v>176</v>
      </c>
      <c r="AQ13" s="252">
        <v>0</v>
      </c>
      <c r="AR13" s="252"/>
      <c r="AS13" s="252">
        <f t="shared" si="0"/>
        <v>0</v>
      </c>
      <c r="AU13" s="252">
        <f t="shared" si="1"/>
        <v>0</v>
      </c>
      <c r="AV13" s="252">
        <v>0</v>
      </c>
      <c r="AW13" s="252">
        <f t="shared" si="2"/>
        <v>0</v>
      </c>
      <c r="AX13" s="252">
        <f t="shared" si="3"/>
        <v>0</v>
      </c>
      <c r="AY13" s="252">
        <f t="shared" si="4"/>
        <v>0</v>
      </c>
      <c r="AZ13" s="252">
        <v>0</v>
      </c>
      <c r="BB13" s="252">
        <f t="shared" si="5"/>
        <v>0</v>
      </c>
      <c r="BC13" s="252">
        <f t="shared" si="6"/>
        <v>0</v>
      </c>
      <c r="BD13" s="252">
        <f t="shared" si="7"/>
        <v>0</v>
      </c>
      <c r="BE13" s="252">
        <f t="shared" si="8"/>
        <v>0</v>
      </c>
      <c r="BF13" s="252"/>
      <c r="BG13" s="252"/>
      <c r="BH13" s="252">
        <f t="shared" si="9"/>
        <v>0</v>
      </c>
      <c r="BI13" s="252">
        <f t="shared" si="10"/>
        <v>0</v>
      </c>
      <c r="BJ13" s="252">
        <f t="shared" si="11"/>
        <v>0</v>
      </c>
      <c r="BK13" s="252">
        <f t="shared" si="12"/>
        <v>0</v>
      </c>
      <c r="BM13" s="335"/>
      <c r="BN13" s="15"/>
      <c r="BO13" s="253"/>
    </row>
    <row r="14" spans="1:68" ht="25.5" customHeight="1">
      <c r="A14" s="245">
        <f t="shared" si="13"/>
        <v>46244</v>
      </c>
      <c r="B14" s="246">
        <v>0</v>
      </c>
      <c r="C14" s="247">
        <v>582</v>
      </c>
      <c r="D14" s="247">
        <v>153</v>
      </c>
      <c r="E14" s="247">
        <v>17</v>
      </c>
      <c r="F14" s="247">
        <v>1006</v>
      </c>
      <c r="G14" s="247">
        <v>31</v>
      </c>
      <c r="H14" s="247">
        <v>3</v>
      </c>
      <c r="I14" s="247">
        <v>0</v>
      </c>
      <c r="J14" s="247">
        <v>0</v>
      </c>
      <c r="K14" s="248">
        <v>0</v>
      </c>
      <c r="L14" s="247">
        <v>5</v>
      </c>
      <c r="M14" s="247">
        <v>6</v>
      </c>
      <c r="N14" s="247">
        <v>29</v>
      </c>
      <c r="O14" s="247">
        <v>2</v>
      </c>
      <c r="P14" s="247">
        <v>1</v>
      </c>
      <c r="Q14" s="247">
        <v>1</v>
      </c>
      <c r="R14" s="249">
        <v>0</v>
      </c>
      <c r="S14" s="250"/>
      <c r="T14" s="248">
        <v>2638</v>
      </c>
      <c r="U14" s="247">
        <v>37</v>
      </c>
      <c r="V14" s="247">
        <v>0</v>
      </c>
      <c r="W14" s="247">
        <v>0</v>
      </c>
      <c r="X14" s="247">
        <v>0</v>
      </c>
      <c r="Y14" s="247">
        <v>0</v>
      </c>
      <c r="Z14" s="250">
        <v>202</v>
      </c>
      <c r="AA14" s="251"/>
      <c r="AB14" s="251"/>
      <c r="AC14" s="251"/>
      <c r="AD14" s="251"/>
      <c r="AE14" s="247"/>
      <c r="AF14" s="249"/>
      <c r="AG14" s="249"/>
      <c r="AH14" s="249"/>
      <c r="AI14" s="250"/>
      <c r="AJ14" s="251">
        <f t="shared" si="14"/>
        <v>4713</v>
      </c>
      <c r="AL14" s="252">
        <f>B14+SUM(C14:D14)*2+SUM(I14:J14)+SUM(K14:L14)*2+SUM(M14:N14)*3+AH14+SUM(AA14:AD14)+30</f>
        <v>1615</v>
      </c>
      <c r="AM14" s="252">
        <f>SUM(E14:J14)+SUM(O14:R14)*3-1000+1000*3</f>
        <v>3069</v>
      </c>
      <c r="AN14" s="252">
        <f>B14+SUM(C14:D14)*2+SUM(K14:N14)*2+SUM(O14:R14)+1000*3</f>
        <v>4554</v>
      </c>
      <c r="AO14" s="252">
        <v>0</v>
      </c>
      <c r="AP14" s="252">
        <v>20</v>
      </c>
      <c r="AQ14" s="252">
        <v>27</v>
      </c>
      <c r="AR14" s="252"/>
      <c r="AS14" s="252">
        <f t="shared" si="0"/>
        <v>0</v>
      </c>
      <c r="AU14" s="252">
        <f t="shared" si="1"/>
        <v>115</v>
      </c>
      <c r="AV14" s="252">
        <v>4396</v>
      </c>
      <c r="AW14" s="252">
        <f t="shared" si="2"/>
        <v>0</v>
      </c>
      <c r="AX14" s="252">
        <f t="shared" si="3"/>
        <v>202</v>
      </c>
      <c r="AY14" s="252">
        <f t="shared" si="4"/>
        <v>0</v>
      </c>
      <c r="AZ14" s="252">
        <v>0</v>
      </c>
      <c r="BB14" s="252">
        <f t="shared" si="5"/>
        <v>740</v>
      </c>
      <c r="BC14" s="252">
        <f t="shared" si="6"/>
        <v>1058</v>
      </c>
      <c r="BD14" s="252">
        <f t="shared" si="7"/>
        <v>37</v>
      </c>
      <c r="BE14" s="252">
        <f t="shared" si="8"/>
        <v>1</v>
      </c>
      <c r="BF14" s="252"/>
      <c r="BG14" s="252"/>
      <c r="BH14" s="252">
        <f t="shared" si="9"/>
        <v>2675</v>
      </c>
      <c r="BI14" s="252">
        <f t="shared" si="10"/>
        <v>0</v>
      </c>
      <c r="BJ14" s="252">
        <f t="shared" si="11"/>
        <v>202</v>
      </c>
      <c r="BK14" s="252">
        <f t="shared" si="12"/>
        <v>0</v>
      </c>
      <c r="BM14" s="333">
        <v>17</v>
      </c>
      <c r="BN14" s="334"/>
      <c r="BO14" s="253"/>
    </row>
    <row r="15" spans="1:68" ht="25.5" customHeight="1">
      <c r="A15" s="245">
        <f t="shared" si="13"/>
        <v>46245</v>
      </c>
      <c r="B15" s="246">
        <v>0</v>
      </c>
      <c r="C15" s="247">
        <v>640</v>
      </c>
      <c r="D15" s="247">
        <v>249</v>
      </c>
      <c r="E15" s="247">
        <v>49</v>
      </c>
      <c r="F15" s="247">
        <v>1006</v>
      </c>
      <c r="G15" s="247">
        <v>50</v>
      </c>
      <c r="H15" s="247">
        <v>2</v>
      </c>
      <c r="I15" s="247">
        <v>0</v>
      </c>
      <c r="J15" s="247">
        <v>0</v>
      </c>
      <c r="K15" s="248">
        <v>449</v>
      </c>
      <c r="L15" s="247">
        <v>76</v>
      </c>
      <c r="M15" s="247">
        <v>444</v>
      </c>
      <c r="N15" s="247">
        <v>214</v>
      </c>
      <c r="O15" s="247">
        <v>122</v>
      </c>
      <c r="P15" s="247">
        <v>37</v>
      </c>
      <c r="Q15" s="247">
        <v>13</v>
      </c>
      <c r="R15" s="249">
        <v>1</v>
      </c>
      <c r="S15" s="250"/>
      <c r="T15" s="248">
        <v>181</v>
      </c>
      <c r="U15" s="247">
        <v>42</v>
      </c>
      <c r="V15" s="247">
        <v>0</v>
      </c>
      <c r="W15" s="247">
        <v>17</v>
      </c>
      <c r="X15" s="247">
        <v>0</v>
      </c>
      <c r="Y15" s="247">
        <v>0</v>
      </c>
      <c r="Z15" s="250">
        <v>205</v>
      </c>
      <c r="AA15" s="251"/>
      <c r="AB15" s="251"/>
      <c r="AC15" s="251"/>
      <c r="AD15" s="251"/>
      <c r="AE15" s="247">
        <v>4</v>
      </c>
      <c r="AF15" s="249"/>
      <c r="AG15" s="249"/>
      <c r="AH15" s="247">
        <v>1</v>
      </c>
      <c r="AI15" s="250"/>
      <c r="AJ15" s="251">
        <f t="shared" si="14"/>
        <v>3802</v>
      </c>
      <c r="AL15" s="252">
        <f>B15+SUM(C15:D15)*2+SUM(I15:J15)+SUM(K15:L15)*2+SUM(M15:N15)*3+AH15+SUM(AA15:AD15)+23+327</f>
        <v>5153</v>
      </c>
      <c r="AM15" s="252">
        <f>SUM(E15:J15)+SUM(O15:R15)*3-993+993*3</f>
        <v>3612</v>
      </c>
      <c r="AN15" s="252">
        <f>B15+SUM(C15:D15)*2+SUM(K15:N15)*2+SUM(O15:R15)+993*3-654</f>
        <v>6642</v>
      </c>
      <c r="AO15" s="252">
        <v>0</v>
      </c>
      <c r="AP15" s="252">
        <v>175</v>
      </c>
      <c r="AQ15" s="252">
        <v>0</v>
      </c>
      <c r="AR15" s="252"/>
      <c r="AS15" s="252">
        <f t="shared" si="0"/>
        <v>1</v>
      </c>
      <c r="AU15" s="252">
        <f t="shared" si="1"/>
        <v>1130</v>
      </c>
      <c r="AV15" s="252">
        <v>2466</v>
      </c>
      <c r="AW15" s="252">
        <f t="shared" si="2"/>
        <v>1</v>
      </c>
      <c r="AX15" s="252">
        <f t="shared" si="3"/>
        <v>205</v>
      </c>
      <c r="AY15" s="252">
        <f t="shared" si="4"/>
        <v>0</v>
      </c>
      <c r="AZ15" s="252">
        <v>0</v>
      </c>
      <c r="BB15" s="252">
        <f t="shared" si="5"/>
        <v>1414</v>
      </c>
      <c r="BC15" s="252">
        <f t="shared" si="6"/>
        <v>1714</v>
      </c>
      <c r="BD15" s="252">
        <f t="shared" si="7"/>
        <v>211</v>
      </c>
      <c r="BE15" s="252">
        <f t="shared" si="8"/>
        <v>14</v>
      </c>
      <c r="BF15" s="252"/>
      <c r="BG15" s="252"/>
      <c r="BH15" s="252">
        <f t="shared" si="9"/>
        <v>227</v>
      </c>
      <c r="BI15" s="252">
        <f t="shared" si="10"/>
        <v>17</v>
      </c>
      <c r="BJ15" s="252">
        <f t="shared" si="11"/>
        <v>205</v>
      </c>
      <c r="BK15" s="252">
        <f t="shared" si="12"/>
        <v>0</v>
      </c>
      <c r="BM15" s="336">
        <v>13</v>
      </c>
      <c r="BN15" s="15"/>
      <c r="BO15" s="15"/>
    </row>
    <row r="16" spans="1:68" ht="25.5" customHeight="1">
      <c r="A16" s="245">
        <f t="shared" si="13"/>
        <v>46246</v>
      </c>
      <c r="B16" s="246">
        <v>0</v>
      </c>
      <c r="C16" s="247">
        <v>622</v>
      </c>
      <c r="D16" s="247">
        <v>134</v>
      </c>
      <c r="E16" s="247">
        <v>7</v>
      </c>
      <c r="F16" s="247">
        <v>1020</v>
      </c>
      <c r="G16" s="247">
        <v>9</v>
      </c>
      <c r="H16" s="247">
        <v>4</v>
      </c>
      <c r="I16" s="247">
        <v>0</v>
      </c>
      <c r="J16" s="247">
        <v>0</v>
      </c>
      <c r="K16" s="248">
        <v>744</v>
      </c>
      <c r="L16" s="247">
        <v>21</v>
      </c>
      <c r="M16" s="247">
        <v>400</v>
      </c>
      <c r="N16" s="247">
        <v>195</v>
      </c>
      <c r="O16" s="247">
        <v>86</v>
      </c>
      <c r="P16" s="247">
        <v>20</v>
      </c>
      <c r="Q16" s="247">
        <v>4</v>
      </c>
      <c r="R16" s="249">
        <v>6</v>
      </c>
      <c r="S16" s="250"/>
      <c r="T16" s="248">
        <v>14</v>
      </c>
      <c r="U16" s="247">
        <v>9</v>
      </c>
      <c r="V16" s="247">
        <v>0</v>
      </c>
      <c r="W16" s="247">
        <v>7</v>
      </c>
      <c r="X16" s="247">
        <v>0</v>
      </c>
      <c r="Y16" s="247">
        <v>0</v>
      </c>
      <c r="Z16" s="250">
        <v>4</v>
      </c>
      <c r="AA16" s="251">
        <v>0</v>
      </c>
      <c r="AB16" s="251">
        <v>0</v>
      </c>
      <c r="AC16" s="251">
        <v>0</v>
      </c>
      <c r="AD16" s="251">
        <v>0</v>
      </c>
      <c r="AE16" s="247">
        <v>0</v>
      </c>
      <c r="AF16" s="249">
        <v>0</v>
      </c>
      <c r="AG16" s="249">
        <v>0</v>
      </c>
      <c r="AH16" s="249">
        <v>0</v>
      </c>
      <c r="AI16" s="250">
        <v>0</v>
      </c>
      <c r="AJ16" s="251">
        <f t="shared" si="14"/>
        <v>3306</v>
      </c>
      <c r="AL16" s="252">
        <f>SUM(K16:L16)*2+SUM(M16:N16)*3+AH16+SUM(AA16:AD16)+693</f>
        <v>4008</v>
      </c>
      <c r="AM16" s="252">
        <f>SUM(E16:J16)+SUM(O16:R16)*3-1000+1000*3</f>
        <v>3388</v>
      </c>
      <c r="AN16" s="252">
        <f>SUM(C16:D16)*3+SUM(E16:H16)*2+SUM(I16:J16)*3+SUM(K16:N16)*2+SUM(O16:R16)+1000-1386</f>
        <v>6798</v>
      </c>
      <c r="AO16" s="252">
        <v>0</v>
      </c>
      <c r="AP16" s="252">
        <v>37</v>
      </c>
      <c r="AQ16" s="252">
        <v>0</v>
      </c>
      <c r="AR16" s="252"/>
      <c r="AS16" s="252">
        <f t="shared" si="0"/>
        <v>0</v>
      </c>
      <c r="AU16" s="301">
        <f>AJ16-AV16-AW16-AX16</f>
        <v>669</v>
      </c>
      <c r="AV16" s="252">
        <v>2633</v>
      </c>
      <c r="AW16" s="252">
        <f t="shared" si="2"/>
        <v>0</v>
      </c>
      <c r="AX16" s="252">
        <f t="shared" si="3"/>
        <v>4</v>
      </c>
      <c r="AY16" s="252">
        <f t="shared" si="4"/>
        <v>0</v>
      </c>
      <c r="AZ16" s="252">
        <v>0</v>
      </c>
      <c r="BB16" s="252">
        <f t="shared" si="5"/>
        <v>1521</v>
      </c>
      <c r="BC16" s="252">
        <f t="shared" si="6"/>
        <v>1622</v>
      </c>
      <c r="BD16" s="252">
        <f t="shared" si="7"/>
        <v>119</v>
      </c>
      <c r="BE16" s="252">
        <f t="shared" si="8"/>
        <v>10</v>
      </c>
      <c r="BF16" s="252"/>
      <c r="BG16" s="252"/>
      <c r="BH16" s="252">
        <f t="shared" si="9"/>
        <v>23</v>
      </c>
      <c r="BI16" s="252">
        <f t="shared" si="10"/>
        <v>7</v>
      </c>
      <c r="BJ16" s="252">
        <f t="shared" si="11"/>
        <v>4</v>
      </c>
      <c r="BK16" s="252">
        <f t="shared" si="12"/>
        <v>0</v>
      </c>
      <c r="BM16" s="15">
        <v>19</v>
      </c>
      <c r="BN16" s="15"/>
      <c r="BO16" s="287"/>
    </row>
    <row r="17" spans="1:67" ht="25.5" customHeight="1">
      <c r="A17" s="245">
        <f t="shared" si="13"/>
        <v>46247</v>
      </c>
      <c r="B17" s="246"/>
      <c r="C17" s="247"/>
      <c r="D17" s="247"/>
      <c r="E17" s="247"/>
      <c r="F17" s="247"/>
      <c r="G17" s="247"/>
      <c r="H17" s="247"/>
      <c r="I17" s="247"/>
      <c r="J17" s="247"/>
      <c r="K17" s="248"/>
      <c r="L17" s="247"/>
      <c r="M17" s="247"/>
      <c r="N17" s="247"/>
      <c r="O17" s="247"/>
      <c r="P17" s="247"/>
      <c r="Q17" s="247"/>
      <c r="R17" s="249"/>
      <c r="S17" s="250"/>
      <c r="T17" s="248"/>
      <c r="U17" s="247"/>
      <c r="V17" s="247"/>
      <c r="W17" s="247"/>
      <c r="X17" s="247"/>
      <c r="Y17" s="247"/>
      <c r="Z17" s="250"/>
      <c r="AA17" s="251"/>
      <c r="AB17" s="251"/>
      <c r="AC17" s="251"/>
      <c r="AD17" s="251"/>
      <c r="AE17" s="247"/>
      <c r="AF17" s="249"/>
      <c r="AG17" s="249"/>
      <c r="AH17" s="249"/>
      <c r="AI17" s="250"/>
      <c r="AJ17" s="251">
        <f t="shared" si="14"/>
        <v>0</v>
      </c>
      <c r="AL17" s="252">
        <f>SUM(K17:L17)*2+SUM(M17:N17)*3+AH17+SUM(AA17:AD17)</f>
        <v>0</v>
      </c>
      <c r="AM17" s="252">
        <f t="shared" si="16"/>
        <v>0</v>
      </c>
      <c r="AN17" s="252">
        <f>SUM(C17:D17)*3+SUM(E17:H17)*2+SUM(I17:J17)*3+SUM(K17:N17)*2+SUM(O17:R17)</f>
        <v>0</v>
      </c>
      <c r="AO17" s="252">
        <v>0</v>
      </c>
      <c r="AP17" s="252" t="s">
        <v>176</v>
      </c>
      <c r="AQ17" s="252">
        <v>0</v>
      </c>
      <c r="AR17" s="252"/>
      <c r="AS17" s="252">
        <f t="shared" si="0"/>
        <v>0</v>
      </c>
      <c r="AU17" s="252">
        <f t="shared" si="1"/>
        <v>0</v>
      </c>
      <c r="AV17" s="252">
        <v>0</v>
      </c>
      <c r="AW17" s="252">
        <f t="shared" si="2"/>
        <v>0</v>
      </c>
      <c r="AX17" s="252">
        <f t="shared" si="3"/>
        <v>0</v>
      </c>
      <c r="AY17" s="252">
        <f t="shared" si="4"/>
        <v>0</v>
      </c>
      <c r="AZ17" s="252">
        <v>0</v>
      </c>
      <c r="BB17" s="252">
        <f t="shared" si="5"/>
        <v>0</v>
      </c>
      <c r="BC17" s="252">
        <f t="shared" si="6"/>
        <v>0</v>
      </c>
      <c r="BD17" s="252">
        <f t="shared" si="7"/>
        <v>0</v>
      </c>
      <c r="BE17" s="252">
        <f t="shared" si="8"/>
        <v>0</v>
      </c>
      <c r="BF17" s="252"/>
      <c r="BG17" s="252"/>
      <c r="BH17" s="252">
        <f t="shared" si="9"/>
        <v>0</v>
      </c>
      <c r="BI17" s="252">
        <f t="shared" si="10"/>
        <v>0</v>
      </c>
      <c r="BJ17" s="252">
        <f t="shared" si="11"/>
        <v>0</v>
      </c>
      <c r="BK17" s="252">
        <f t="shared" si="12"/>
        <v>0</v>
      </c>
      <c r="BM17" s="15">
        <v>16</v>
      </c>
      <c r="BN17" s="15"/>
      <c r="BO17" s="15"/>
    </row>
    <row r="18" spans="1:67" ht="25.5" customHeight="1">
      <c r="A18" s="245">
        <f t="shared" si="13"/>
        <v>46248</v>
      </c>
      <c r="B18" s="246"/>
      <c r="C18" s="247"/>
      <c r="D18" s="247"/>
      <c r="E18" s="247"/>
      <c r="F18" s="247"/>
      <c r="G18" s="247"/>
      <c r="H18" s="247"/>
      <c r="I18" s="247"/>
      <c r="J18" s="247"/>
      <c r="K18" s="248"/>
      <c r="L18" s="247"/>
      <c r="M18" s="247"/>
      <c r="N18" s="247"/>
      <c r="O18" s="247"/>
      <c r="P18" s="247"/>
      <c r="Q18" s="247"/>
      <c r="R18" s="249"/>
      <c r="S18" s="250"/>
      <c r="T18" s="248"/>
      <c r="U18" s="247"/>
      <c r="V18" s="247"/>
      <c r="W18" s="247"/>
      <c r="X18" s="247"/>
      <c r="Y18" s="247"/>
      <c r="Z18" s="250"/>
      <c r="AA18" s="251"/>
      <c r="AB18" s="251"/>
      <c r="AC18" s="251"/>
      <c r="AD18" s="251"/>
      <c r="AE18" s="247"/>
      <c r="AF18" s="249"/>
      <c r="AG18" s="249"/>
      <c r="AH18" s="249"/>
      <c r="AI18" s="344"/>
      <c r="AJ18" s="342">
        <f t="shared" si="14"/>
        <v>0</v>
      </c>
      <c r="AL18" s="252">
        <f t="shared" ref="AL18:AL35" si="18">SUM(K18:L18)*2+SUM(M18:N18)*3+AH18+SUM(AA18:AD18)</f>
        <v>0</v>
      </c>
      <c r="AM18" s="252">
        <f t="shared" si="16"/>
        <v>0</v>
      </c>
      <c r="AN18" s="252">
        <f t="shared" ref="AN18:AN35" si="19">SUM(C18:D18)*3+SUM(E18:H18)*2+SUM(I18:J18)*3+SUM(K18:N18)*2+SUM(O18:R18)</f>
        <v>0</v>
      </c>
      <c r="AO18" s="252">
        <v>0</v>
      </c>
      <c r="AP18" s="252" t="s">
        <v>176</v>
      </c>
      <c r="AQ18" s="252">
        <v>0</v>
      </c>
      <c r="AR18" s="252"/>
      <c r="AS18" s="252">
        <f t="shared" si="0"/>
        <v>0</v>
      </c>
      <c r="AU18" s="252">
        <f t="shared" si="1"/>
        <v>0</v>
      </c>
      <c r="AV18" s="252">
        <v>0</v>
      </c>
      <c r="AW18" s="252">
        <f t="shared" si="2"/>
        <v>0</v>
      </c>
      <c r="AX18" s="252">
        <f t="shared" si="3"/>
        <v>0</v>
      </c>
      <c r="AY18" s="252">
        <f t="shared" si="4"/>
        <v>0</v>
      </c>
      <c r="AZ18" s="252">
        <v>0</v>
      </c>
      <c r="BB18" s="252">
        <f t="shared" si="5"/>
        <v>0</v>
      </c>
      <c r="BC18" s="252">
        <f t="shared" si="6"/>
        <v>0</v>
      </c>
      <c r="BD18" s="252">
        <f t="shared" si="7"/>
        <v>0</v>
      </c>
      <c r="BE18" s="252">
        <f t="shared" si="8"/>
        <v>0</v>
      </c>
      <c r="BF18" s="252"/>
      <c r="BG18" s="252"/>
      <c r="BH18" s="252">
        <f t="shared" si="9"/>
        <v>0</v>
      </c>
      <c r="BI18" s="252">
        <f t="shared" si="10"/>
        <v>0</v>
      </c>
      <c r="BJ18" s="252">
        <f t="shared" si="11"/>
        <v>0</v>
      </c>
      <c r="BK18" s="252">
        <f t="shared" si="12"/>
        <v>0</v>
      </c>
      <c r="BM18" s="15">
        <v>28</v>
      </c>
      <c r="BN18" s="15"/>
      <c r="BO18" s="15"/>
    </row>
    <row r="19" spans="1:67" ht="25.5" customHeight="1">
      <c r="A19" s="245">
        <f t="shared" si="13"/>
        <v>46249</v>
      </c>
      <c r="B19" s="246"/>
      <c r="C19" s="247"/>
      <c r="D19" s="247"/>
      <c r="E19" s="247"/>
      <c r="F19" s="247"/>
      <c r="G19" s="247"/>
      <c r="H19" s="247"/>
      <c r="I19" s="247"/>
      <c r="J19" s="247"/>
      <c r="K19" s="248"/>
      <c r="L19" s="247"/>
      <c r="M19" s="247"/>
      <c r="N19" s="247"/>
      <c r="O19" s="247"/>
      <c r="P19" s="247"/>
      <c r="Q19" s="247"/>
      <c r="R19" s="249"/>
      <c r="S19" s="250"/>
      <c r="T19" s="248"/>
      <c r="U19" s="247"/>
      <c r="V19" s="247"/>
      <c r="W19" s="247"/>
      <c r="X19" s="247"/>
      <c r="Y19" s="247"/>
      <c r="Z19" s="250"/>
      <c r="AA19" s="251"/>
      <c r="AB19" s="251"/>
      <c r="AC19" s="251"/>
      <c r="AD19" s="251"/>
      <c r="AE19" s="247"/>
      <c r="AF19" s="247"/>
      <c r="AG19" s="247"/>
      <c r="AH19" s="249"/>
      <c r="AI19" s="344"/>
      <c r="AJ19" s="346">
        <f t="shared" si="14"/>
        <v>0</v>
      </c>
      <c r="AL19" s="252">
        <f t="shared" si="18"/>
        <v>0</v>
      </c>
      <c r="AM19" s="252">
        <f t="shared" si="16"/>
        <v>0</v>
      </c>
      <c r="AN19" s="252">
        <f t="shared" si="19"/>
        <v>0</v>
      </c>
      <c r="AO19" s="252">
        <v>0</v>
      </c>
      <c r="AP19" s="252" t="s">
        <v>176</v>
      </c>
      <c r="AQ19" s="252">
        <v>0</v>
      </c>
      <c r="AR19" s="252"/>
      <c r="AS19" s="252">
        <f>SUM(AA19:AB19)+AH19+S19</f>
        <v>0</v>
      </c>
      <c r="AU19" s="252">
        <f t="shared" si="1"/>
        <v>0</v>
      </c>
      <c r="AV19" s="252">
        <v>0</v>
      </c>
      <c r="AW19" s="252">
        <f t="shared" si="2"/>
        <v>0</v>
      </c>
      <c r="AX19" s="252">
        <f t="shared" si="3"/>
        <v>0</v>
      </c>
      <c r="AY19" s="252">
        <f t="shared" si="4"/>
        <v>0</v>
      </c>
      <c r="AZ19" s="252">
        <v>0</v>
      </c>
      <c r="BB19" s="252">
        <f t="shared" si="5"/>
        <v>0</v>
      </c>
      <c r="BC19" s="252">
        <f t="shared" si="6"/>
        <v>0</v>
      </c>
      <c r="BD19" s="252">
        <f t="shared" si="7"/>
        <v>0</v>
      </c>
      <c r="BE19" s="252">
        <f t="shared" si="8"/>
        <v>0</v>
      </c>
      <c r="BF19" s="252"/>
      <c r="BG19" s="252"/>
      <c r="BH19" s="252">
        <f t="shared" si="9"/>
        <v>0</v>
      </c>
      <c r="BI19" s="252">
        <f t="shared" si="10"/>
        <v>0</v>
      </c>
      <c r="BJ19" s="252">
        <f t="shared" si="11"/>
        <v>0</v>
      </c>
      <c r="BK19" s="252">
        <f t="shared" si="12"/>
        <v>0</v>
      </c>
      <c r="BM19" s="15"/>
      <c r="BN19" s="15"/>
      <c r="BO19" s="15"/>
    </row>
    <row r="20" spans="1:67" ht="25.5" customHeight="1">
      <c r="A20" s="245">
        <f>A19+1</f>
        <v>46250</v>
      </c>
      <c r="B20" s="246"/>
      <c r="C20" s="247"/>
      <c r="D20" s="247"/>
      <c r="E20" s="247"/>
      <c r="F20" s="247"/>
      <c r="G20" s="247"/>
      <c r="H20" s="247"/>
      <c r="I20" s="247"/>
      <c r="J20" s="247"/>
      <c r="K20" s="248"/>
      <c r="L20" s="247"/>
      <c r="M20" s="247"/>
      <c r="N20" s="247"/>
      <c r="O20" s="247"/>
      <c r="P20" s="247"/>
      <c r="Q20" s="247"/>
      <c r="R20" s="249"/>
      <c r="S20" s="250"/>
      <c r="T20" s="248"/>
      <c r="U20" s="247"/>
      <c r="V20" s="247"/>
      <c r="W20" s="364"/>
      <c r="X20" s="247"/>
      <c r="Y20" s="247"/>
      <c r="Z20" s="250"/>
      <c r="AA20" s="251"/>
      <c r="AB20" s="251"/>
      <c r="AC20" s="251"/>
      <c r="AD20" s="251"/>
      <c r="AE20" s="247"/>
      <c r="AF20" s="247"/>
      <c r="AG20" s="247"/>
      <c r="AH20" s="249"/>
      <c r="AI20" s="344"/>
      <c r="AJ20" s="345">
        <f t="shared" si="14"/>
        <v>0</v>
      </c>
      <c r="AL20" s="252">
        <f t="shared" si="18"/>
        <v>0</v>
      </c>
      <c r="AM20" s="252">
        <f>SUM(E20:J20)+SUM(O20:R20)*3</f>
        <v>0</v>
      </c>
      <c r="AN20" s="252">
        <f t="shared" si="19"/>
        <v>0</v>
      </c>
      <c r="AO20" s="252">
        <v>0</v>
      </c>
      <c r="AP20" s="252" t="s">
        <v>176</v>
      </c>
      <c r="AQ20" s="252">
        <v>0</v>
      </c>
      <c r="AR20" s="252"/>
      <c r="AS20" s="252">
        <f t="shared" si="0"/>
        <v>0</v>
      </c>
      <c r="AU20" s="252">
        <f t="shared" si="1"/>
        <v>0</v>
      </c>
      <c r="AV20" s="252">
        <v>0</v>
      </c>
      <c r="AW20" s="252">
        <f t="shared" si="2"/>
        <v>0</v>
      </c>
      <c r="AX20" s="252">
        <f t="shared" si="3"/>
        <v>0</v>
      </c>
      <c r="AY20" s="252">
        <f t="shared" si="4"/>
        <v>0</v>
      </c>
      <c r="AZ20" s="252">
        <v>0</v>
      </c>
      <c r="BB20" s="252">
        <f t="shared" si="5"/>
        <v>0</v>
      </c>
      <c r="BC20" s="252">
        <f t="shared" si="6"/>
        <v>0</v>
      </c>
      <c r="BD20" s="252">
        <f t="shared" si="7"/>
        <v>0</v>
      </c>
      <c r="BE20" s="252">
        <f t="shared" si="8"/>
        <v>0</v>
      </c>
      <c r="BF20" s="252"/>
      <c r="BG20" s="252"/>
      <c r="BH20" s="252">
        <f t="shared" si="9"/>
        <v>0</v>
      </c>
      <c r="BI20" s="252">
        <f>W20+AF20</f>
        <v>0</v>
      </c>
      <c r="BJ20" s="252">
        <f t="shared" si="11"/>
        <v>0</v>
      </c>
      <c r="BK20" s="252">
        <f t="shared" si="12"/>
        <v>0</v>
      </c>
      <c r="BM20" s="15"/>
      <c r="BN20" s="15"/>
      <c r="BO20" s="253"/>
    </row>
    <row r="21" spans="1:67" ht="25.5" customHeight="1">
      <c r="A21" s="245">
        <f t="shared" si="13"/>
        <v>46251</v>
      </c>
      <c r="B21" s="246">
        <v>0</v>
      </c>
      <c r="C21" s="247">
        <v>1898</v>
      </c>
      <c r="D21" s="247">
        <v>716</v>
      </c>
      <c r="E21" s="247">
        <v>6</v>
      </c>
      <c r="F21" s="247">
        <v>37</v>
      </c>
      <c r="G21" s="247">
        <v>18</v>
      </c>
      <c r="H21" s="247">
        <v>5</v>
      </c>
      <c r="I21" s="247">
        <v>0</v>
      </c>
      <c r="J21" s="247">
        <v>0</v>
      </c>
      <c r="K21" s="248">
        <v>2</v>
      </c>
      <c r="L21" s="247">
        <v>5</v>
      </c>
      <c r="M21" s="247">
        <v>26</v>
      </c>
      <c r="N21" s="247">
        <v>45</v>
      </c>
      <c r="O21" s="247">
        <v>18</v>
      </c>
      <c r="P21" s="247">
        <v>29</v>
      </c>
      <c r="Q21" s="247">
        <v>11</v>
      </c>
      <c r="R21" s="249">
        <v>4</v>
      </c>
      <c r="S21" s="250"/>
      <c r="T21" s="248">
        <v>15</v>
      </c>
      <c r="U21" s="247">
        <v>44</v>
      </c>
      <c r="V21" s="247">
        <v>0</v>
      </c>
      <c r="W21" s="247">
        <v>2</v>
      </c>
      <c r="X21" s="247">
        <v>0</v>
      </c>
      <c r="Y21" s="247">
        <v>0</v>
      </c>
      <c r="Z21" s="250">
        <v>26</v>
      </c>
      <c r="AA21" s="251"/>
      <c r="AB21" s="251"/>
      <c r="AC21" s="251"/>
      <c r="AD21" s="251"/>
      <c r="AE21" s="247"/>
      <c r="AF21" s="247"/>
      <c r="AG21" s="247"/>
      <c r="AH21" s="247"/>
      <c r="AI21" s="344"/>
      <c r="AJ21" s="343">
        <f>SUM(B21:AI21)</f>
        <v>2907</v>
      </c>
      <c r="AL21" s="252">
        <f>SUM(K21:L21)*2+SUM(M21:N21)*3+AH21+SUM(AA21:AD21)</f>
        <v>227</v>
      </c>
      <c r="AM21" s="252">
        <f>SUM(E21:J21)+SUM(O21:R21)*3+34</f>
        <v>286</v>
      </c>
      <c r="AN21" s="252">
        <f>SUM(C21:D21)*3+SUM(E21:H21)*2+SUM(I21:J21)*3+SUM(K21:N21)*2+SUM(O21:R21)+17</f>
        <v>8209</v>
      </c>
      <c r="AO21" s="252">
        <v>0</v>
      </c>
      <c r="AP21" s="252">
        <v>171</v>
      </c>
      <c r="AQ21" s="252">
        <v>0</v>
      </c>
      <c r="AR21" s="252"/>
      <c r="AS21" s="252">
        <f t="shared" si="0"/>
        <v>0</v>
      </c>
      <c r="AU21" s="252">
        <f t="shared" si="1"/>
        <v>373</v>
      </c>
      <c r="AV21" s="252">
        <v>2508</v>
      </c>
      <c r="AW21" s="252">
        <f t="shared" si="2"/>
        <v>0</v>
      </c>
      <c r="AX21" s="252">
        <f t="shared" si="3"/>
        <v>26</v>
      </c>
      <c r="AY21" s="252">
        <f t="shared" si="4"/>
        <v>0</v>
      </c>
      <c r="AZ21" s="252">
        <v>0</v>
      </c>
      <c r="BB21" s="252">
        <f t="shared" si="5"/>
        <v>2621</v>
      </c>
      <c r="BC21" s="252">
        <f t="shared" si="6"/>
        <v>114</v>
      </c>
      <c r="BD21" s="252">
        <f t="shared" si="7"/>
        <v>70</v>
      </c>
      <c r="BE21" s="252">
        <f t="shared" si="8"/>
        <v>15</v>
      </c>
      <c r="BF21" s="252"/>
      <c r="BG21" s="252"/>
      <c r="BH21" s="252">
        <f t="shared" si="9"/>
        <v>59</v>
      </c>
      <c r="BI21" s="252">
        <f>W21+AF21</f>
        <v>2</v>
      </c>
      <c r="BJ21" s="252">
        <f t="shared" si="11"/>
        <v>26</v>
      </c>
      <c r="BK21" s="252">
        <f t="shared" si="12"/>
        <v>0</v>
      </c>
      <c r="BM21" s="15">
        <v>3</v>
      </c>
      <c r="BN21" s="15"/>
      <c r="BO21" s="253"/>
    </row>
    <row r="22" spans="1:67" ht="25.5" customHeight="1">
      <c r="A22" s="245">
        <f t="shared" si="13"/>
        <v>46252</v>
      </c>
      <c r="B22" s="246">
        <v>0</v>
      </c>
      <c r="C22" s="247">
        <v>520</v>
      </c>
      <c r="D22" s="247">
        <v>1156</v>
      </c>
      <c r="E22" s="247">
        <v>34</v>
      </c>
      <c r="F22" s="247">
        <v>1025</v>
      </c>
      <c r="G22" s="247">
        <v>52</v>
      </c>
      <c r="H22" s="247">
        <v>4</v>
      </c>
      <c r="I22" s="247">
        <v>0</v>
      </c>
      <c r="J22" s="247">
        <v>0</v>
      </c>
      <c r="K22" s="248">
        <v>383</v>
      </c>
      <c r="L22" s="247">
        <v>60</v>
      </c>
      <c r="M22" s="247">
        <v>256</v>
      </c>
      <c r="N22" s="247">
        <v>151</v>
      </c>
      <c r="O22" s="247">
        <v>68</v>
      </c>
      <c r="P22" s="247">
        <v>20</v>
      </c>
      <c r="Q22" s="247">
        <v>25</v>
      </c>
      <c r="R22" s="249">
        <v>11</v>
      </c>
      <c r="S22" s="250"/>
      <c r="T22" s="248">
        <v>43</v>
      </c>
      <c r="U22" s="247">
        <v>27</v>
      </c>
      <c r="V22" s="247">
        <v>0</v>
      </c>
      <c r="W22" s="247">
        <v>14</v>
      </c>
      <c r="X22" s="247">
        <v>1</v>
      </c>
      <c r="Y22" s="247">
        <v>0</v>
      </c>
      <c r="Z22" s="250">
        <v>8</v>
      </c>
      <c r="AA22" s="251"/>
      <c r="AB22" s="251"/>
      <c r="AC22" s="251"/>
      <c r="AD22" s="251"/>
      <c r="AE22" s="247"/>
      <c r="AF22" s="247"/>
      <c r="AG22" s="247"/>
      <c r="AH22" s="247"/>
      <c r="AI22" s="344"/>
      <c r="AJ22" s="251">
        <f t="shared" si="14"/>
        <v>3858</v>
      </c>
      <c r="AL22" s="252">
        <f>SUM(K22:L22)*2+SUM(M22:N22)*3+AH22+SUM(AA22:AD22)+17</f>
        <v>2124</v>
      </c>
      <c r="AM22" s="252">
        <f>SUM(E22:J22)+SUM(O22:R22)*3-999+999*3</f>
        <v>3485</v>
      </c>
      <c r="AN22" s="252">
        <f>SUM(C22:D22)*3+SUM(E22:H22)*2+SUM(I22:J22)*3+SUM(K22:N22)*2+SUM(O22:R22)+999</f>
        <v>10081</v>
      </c>
      <c r="AO22" s="252">
        <v>0</v>
      </c>
      <c r="AP22" s="252">
        <v>70</v>
      </c>
      <c r="AQ22" s="252">
        <v>0</v>
      </c>
      <c r="AR22" s="252"/>
      <c r="AS22" s="252">
        <f t="shared" si="0"/>
        <v>0</v>
      </c>
      <c r="AU22" s="252">
        <f t="shared" si="1"/>
        <v>962</v>
      </c>
      <c r="AV22" s="252">
        <v>2888</v>
      </c>
      <c r="AW22" s="252">
        <f t="shared" si="2"/>
        <v>0</v>
      </c>
      <c r="AX22" s="252">
        <f t="shared" si="3"/>
        <v>8</v>
      </c>
      <c r="AY22" s="252">
        <f t="shared" si="4"/>
        <v>0</v>
      </c>
      <c r="AZ22" s="252">
        <v>0</v>
      </c>
      <c r="BB22" s="252">
        <f t="shared" si="5"/>
        <v>2119</v>
      </c>
      <c r="BC22" s="252">
        <f t="shared" si="6"/>
        <v>1466</v>
      </c>
      <c r="BD22" s="252">
        <f t="shared" si="7"/>
        <v>144</v>
      </c>
      <c r="BE22" s="252">
        <f t="shared" si="8"/>
        <v>36</v>
      </c>
      <c r="BF22" s="252"/>
      <c r="BG22" s="252"/>
      <c r="BH22" s="252">
        <f t="shared" si="9"/>
        <v>70</v>
      </c>
      <c r="BI22" s="252">
        <f t="shared" si="10"/>
        <v>14</v>
      </c>
      <c r="BJ22" s="252">
        <f t="shared" si="11"/>
        <v>9</v>
      </c>
      <c r="BK22" s="252">
        <f t="shared" si="12"/>
        <v>0</v>
      </c>
      <c r="BM22" s="15">
        <v>16</v>
      </c>
      <c r="BN22" s="15"/>
      <c r="BO22" s="253"/>
    </row>
    <row r="23" spans="1:67" ht="25.5" customHeight="1">
      <c r="A23" s="245">
        <f t="shared" si="13"/>
        <v>46253</v>
      </c>
      <c r="B23" s="246">
        <v>0</v>
      </c>
      <c r="C23" s="247">
        <v>192</v>
      </c>
      <c r="D23" s="247">
        <v>105</v>
      </c>
      <c r="E23" s="247">
        <v>19</v>
      </c>
      <c r="F23" s="247">
        <v>549</v>
      </c>
      <c r="G23" s="247">
        <v>35</v>
      </c>
      <c r="H23" s="247">
        <v>1</v>
      </c>
      <c r="I23" s="247">
        <v>0</v>
      </c>
      <c r="J23" s="247">
        <v>0</v>
      </c>
      <c r="K23" s="248">
        <v>1</v>
      </c>
      <c r="L23" s="247">
        <v>5</v>
      </c>
      <c r="M23" s="247">
        <v>76</v>
      </c>
      <c r="N23" s="247">
        <v>22</v>
      </c>
      <c r="O23" s="247">
        <v>12</v>
      </c>
      <c r="P23" s="247">
        <v>16</v>
      </c>
      <c r="Q23" s="247">
        <v>6</v>
      </c>
      <c r="R23" s="249">
        <v>3</v>
      </c>
      <c r="S23" s="250"/>
      <c r="T23" s="248">
        <v>7</v>
      </c>
      <c r="U23" s="247">
        <v>20</v>
      </c>
      <c r="V23" s="247">
        <v>0</v>
      </c>
      <c r="W23" s="247">
        <v>2</v>
      </c>
      <c r="X23" s="247">
        <v>0</v>
      </c>
      <c r="Y23" s="247">
        <v>0</v>
      </c>
      <c r="Z23" s="250">
        <v>8</v>
      </c>
      <c r="AA23" s="251"/>
      <c r="AB23" s="251"/>
      <c r="AC23" s="251"/>
      <c r="AD23" s="251"/>
      <c r="AE23" s="247"/>
      <c r="AF23" s="247"/>
      <c r="AG23" s="247"/>
      <c r="AH23" s="247">
        <v>7</v>
      </c>
      <c r="AI23" s="344"/>
      <c r="AJ23" s="251">
        <f>SUM(B23:AI23)</f>
        <v>1086</v>
      </c>
      <c r="AL23" s="252">
        <f>SUM(K23:L23)*2+SUM(M23:N23)*3+AH23+SUM(AA23:AD23)+12</f>
        <v>325</v>
      </c>
      <c r="AM23" s="252">
        <f>SUM(E23:J23)+SUM(O23:R23)*3-536+536*3</f>
        <v>1787</v>
      </c>
      <c r="AN23" s="252">
        <f>SUM(C23:D23)*3+SUM(E23:H23)*2+SUM(I23:J23)*3+SUM(K23:N23)*2+SUM(O23:R23)+536</f>
        <v>2880</v>
      </c>
      <c r="AO23" s="252">
        <v>0</v>
      </c>
      <c r="AP23" s="252">
        <v>35</v>
      </c>
      <c r="AQ23" s="252">
        <v>0</v>
      </c>
      <c r="AR23" s="252"/>
      <c r="AS23" s="252">
        <f t="shared" si="0"/>
        <v>7</v>
      </c>
      <c r="AU23" s="252">
        <f t="shared" si="1"/>
        <v>408</v>
      </c>
      <c r="AV23" s="252">
        <v>663</v>
      </c>
      <c r="AW23" s="252">
        <f t="shared" si="2"/>
        <v>7</v>
      </c>
      <c r="AX23" s="252">
        <f t="shared" si="3"/>
        <v>8</v>
      </c>
      <c r="AY23" s="252">
        <f t="shared" si="4"/>
        <v>0</v>
      </c>
      <c r="AZ23" s="252">
        <v>0</v>
      </c>
      <c r="BB23" s="252">
        <f t="shared" si="5"/>
        <v>303</v>
      </c>
      <c r="BC23" s="252">
        <f t="shared" si="6"/>
        <v>673</v>
      </c>
      <c r="BD23" s="252">
        <f t="shared" si="7"/>
        <v>64</v>
      </c>
      <c r="BE23" s="252">
        <f t="shared" si="8"/>
        <v>9</v>
      </c>
      <c r="BF23" s="252"/>
      <c r="BG23" s="252"/>
      <c r="BH23" s="252">
        <f t="shared" si="9"/>
        <v>27</v>
      </c>
      <c r="BI23" s="252">
        <f t="shared" si="10"/>
        <v>2</v>
      </c>
      <c r="BJ23" s="252">
        <f t="shared" si="11"/>
        <v>8</v>
      </c>
      <c r="BK23" s="252">
        <f t="shared" si="12"/>
        <v>0</v>
      </c>
      <c r="BM23" s="15">
        <v>24</v>
      </c>
      <c r="BN23" s="15"/>
      <c r="BO23" s="15"/>
    </row>
    <row r="24" spans="1:67" ht="25.5" customHeight="1">
      <c r="A24" s="245">
        <f t="shared" si="13"/>
        <v>46254</v>
      </c>
      <c r="B24" s="246">
        <v>0</v>
      </c>
      <c r="C24" s="247">
        <v>214</v>
      </c>
      <c r="D24" s="247">
        <v>95</v>
      </c>
      <c r="E24" s="247">
        <v>10</v>
      </c>
      <c r="F24" s="247">
        <v>881</v>
      </c>
      <c r="G24" s="247">
        <v>8</v>
      </c>
      <c r="H24" s="247">
        <v>2</v>
      </c>
      <c r="I24" s="247">
        <v>0</v>
      </c>
      <c r="J24" s="247">
        <v>0</v>
      </c>
      <c r="K24" s="248">
        <v>4</v>
      </c>
      <c r="L24" s="247">
        <v>6</v>
      </c>
      <c r="M24" s="247">
        <v>71</v>
      </c>
      <c r="N24" s="247">
        <v>39</v>
      </c>
      <c r="O24" s="247">
        <v>11</v>
      </c>
      <c r="P24" s="247">
        <v>16</v>
      </c>
      <c r="Q24" s="247">
        <v>1</v>
      </c>
      <c r="R24" s="249">
        <v>7</v>
      </c>
      <c r="S24" s="250"/>
      <c r="T24" s="248">
        <v>22</v>
      </c>
      <c r="U24" s="247">
        <v>6</v>
      </c>
      <c r="V24" s="247">
        <v>0</v>
      </c>
      <c r="W24" s="247">
        <v>3</v>
      </c>
      <c r="X24" s="247">
        <v>0</v>
      </c>
      <c r="Y24" s="247">
        <v>0</v>
      </c>
      <c r="Z24" s="250">
        <v>1</v>
      </c>
      <c r="AA24" s="251"/>
      <c r="AB24" s="251"/>
      <c r="AC24" s="251"/>
      <c r="AD24" s="251"/>
      <c r="AE24" s="247"/>
      <c r="AF24" s="247"/>
      <c r="AG24" s="247"/>
      <c r="AH24" s="247"/>
      <c r="AI24" s="344"/>
      <c r="AJ24" s="251">
        <f t="shared" si="14"/>
        <v>1397</v>
      </c>
      <c r="AL24" s="252">
        <f t="shared" si="18"/>
        <v>350</v>
      </c>
      <c r="AM24" s="252">
        <f>SUM(E24:J24)+SUM(O24:R24)*3-570+570*3</f>
        <v>2146</v>
      </c>
      <c r="AN24" s="252">
        <f>SUM(C24:D24)*3+SUM(E24:H24)*2+SUM(I24:J24)*3+SUM(K24:N24)*2+SUM(O24:R24)+570</f>
        <v>3574</v>
      </c>
      <c r="AO24" s="252">
        <v>0</v>
      </c>
      <c r="AP24" s="252">
        <v>28</v>
      </c>
      <c r="AQ24" s="252">
        <v>0</v>
      </c>
      <c r="AR24" s="252"/>
      <c r="AS24" s="252">
        <f t="shared" si="0"/>
        <v>0</v>
      </c>
      <c r="AU24" s="252">
        <f t="shared" si="1"/>
        <v>412</v>
      </c>
      <c r="AV24" s="252">
        <v>984</v>
      </c>
      <c r="AW24" s="252">
        <f t="shared" si="2"/>
        <v>0</v>
      </c>
      <c r="AX24" s="252">
        <f t="shared" si="3"/>
        <v>1</v>
      </c>
      <c r="AY24" s="252">
        <f t="shared" si="4"/>
        <v>0</v>
      </c>
      <c r="AZ24" s="252">
        <v>0</v>
      </c>
      <c r="BB24" s="252">
        <f t="shared" si="5"/>
        <v>319</v>
      </c>
      <c r="BC24" s="252">
        <f t="shared" si="6"/>
        <v>1001</v>
      </c>
      <c r="BD24" s="252">
        <f t="shared" si="7"/>
        <v>37</v>
      </c>
      <c r="BE24" s="252">
        <f t="shared" si="8"/>
        <v>8</v>
      </c>
      <c r="BF24" s="252"/>
      <c r="BG24" s="252"/>
      <c r="BH24" s="252">
        <f t="shared" si="9"/>
        <v>28</v>
      </c>
      <c r="BI24" s="252">
        <f t="shared" si="10"/>
        <v>3</v>
      </c>
      <c r="BJ24" s="252">
        <f t="shared" si="11"/>
        <v>1</v>
      </c>
      <c r="BK24" s="252">
        <f t="shared" si="12"/>
        <v>0</v>
      </c>
      <c r="BM24" s="15">
        <v>13</v>
      </c>
      <c r="BN24" s="15">
        <v>20</v>
      </c>
      <c r="BO24" s="15"/>
    </row>
    <row r="25" spans="1:67" ht="25.5" customHeight="1">
      <c r="A25" s="245">
        <f t="shared" si="13"/>
        <v>46255</v>
      </c>
      <c r="B25" s="246">
        <v>0</v>
      </c>
      <c r="C25" s="247">
        <v>290</v>
      </c>
      <c r="D25" s="247">
        <v>86</v>
      </c>
      <c r="E25" s="247">
        <v>9</v>
      </c>
      <c r="F25" s="36">
        <v>534</v>
      </c>
      <c r="G25" s="247">
        <v>11</v>
      </c>
      <c r="H25" s="247">
        <v>1</v>
      </c>
      <c r="I25" s="247">
        <v>0</v>
      </c>
      <c r="J25" s="247">
        <v>0</v>
      </c>
      <c r="K25" s="248">
        <v>6</v>
      </c>
      <c r="L25" s="247">
        <v>7</v>
      </c>
      <c r="M25" s="247">
        <v>41</v>
      </c>
      <c r="N25" s="247">
        <v>22</v>
      </c>
      <c r="O25" s="247">
        <v>15</v>
      </c>
      <c r="P25" s="247">
        <v>13</v>
      </c>
      <c r="Q25" s="247">
        <v>7</v>
      </c>
      <c r="R25" s="249">
        <v>2</v>
      </c>
      <c r="S25" s="250"/>
      <c r="T25" s="248">
        <v>13</v>
      </c>
      <c r="U25" s="247">
        <v>6</v>
      </c>
      <c r="V25" s="247">
        <v>0</v>
      </c>
      <c r="W25" s="247">
        <v>1</v>
      </c>
      <c r="X25" s="247">
        <v>0</v>
      </c>
      <c r="Y25" s="247">
        <v>0</v>
      </c>
      <c r="Z25" s="250">
        <v>3</v>
      </c>
      <c r="AA25" s="251"/>
      <c r="AB25" s="251"/>
      <c r="AC25" s="251"/>
      <c r="AD25" s="251"/>
      <c r="AE25" s="247"/>
      <c r="AF25" s="247"/>
      <c r="AG25" s="247"/>
      <c r="AH25" s="247"/>
      <c r="AI25" s="344"/>
      <c r="AJ25" s="251">
        <f t="shared" si="14"/>
        <v>1067</v>
      </c>
      <c r="AL25" s="252">
        <f t="shared" si="18"/>
        <v>215</v>
      </c>
      <c r="AM25" s="252">
        <f>SUM(E25:J25)+SUM(O25:R25)*3-264+264*3</f>
        <v>1194</v>
      </c>
      <c r="AN25" s="252">
        <f>SUM(C25:D25)*3+SUM(E25:H25)*2+SUM(I25:J25)*3+SUM(K25:N25)*2+SUM(O25:R25)+264</f>
        <v>2691</v>
      </c>
      <c r="AO25" s="252">
        <v>0</v>
      </c>
      <c r="AP25" s="252">
        <v>43</v>
      </c>
      <c r="AQ25" s="252">
        <v>0</v>
      </c>
      <c r="AR25" s="252"/>
      <c r="AS25" s="252">
        <f t="shared" si="0"/>
        <v>0</v>
      </c>
      <c r="AU25" s="252">
        <f t="shared" si="1"/>
        <v>328</v>
      </c>
      <c r="AV25" s="252">
        <v>736</v>
      </c>
      <c r="AW25" s="252">
        <f t="shared" si="2"/>
        <v>0</v>
      </c>
      <c r="AX25" s="252">
        <f t="shared" si="3"/>
        <v>3</v>
      </c>
      <c r="AY25" s="252">
        <f t="shared" si="4"/>
        <v>0</v>
      </c>
      <c r="AZ25" s="252">
        <v>0</v>
      </c>
      <c r="BB25" s="252">
        <f t="shared" si="5"/>
        <v>389</v>
      </c>
      <c r="BC25" s="252">
        <f t="shared" si="6"/>
        <v>606</v>
      </c>
      <c r="BD25" s="252">
        <f t="shared" si="7"/>
        <v>40</v>
      </c>
      <c r="BE25" s="252">
        <f t="shared" si="8"/>
        <v>9</v>
      </c>
      <c r="BF25" s="252"/>
      <c r="BG25" s="252"/>
      <c r="BH25" s="252">
        <f t="shared" si="9"/>
        <v>19</v>
      </c>
      <c r="BI25" s="252">
        <f t="shared" si="10"/>
        <v>1</v>
      </c>
      <c r="BJ25" s="252">
        <f t="shared" si="11"/>
        <v>3</v>
      </c>
      <c r="BK25" s="252">
        <f t="shared" si="12"/>
        <v>0</v>
      </c>
      <c r="BM25" s="15">
        <v>11</v>
      </c>
      <c r="BN25" s="15"/>
      <c r="BO25" s="253"/>
    </row>
    <row r="26" spans="1:67" ht="25.5" customHeight="1">
      <c r="A26" s="245">
        <f t="shared" si="13"/>
        <v>46256</v>
      </c>
      <c r="B26" s="246"/>
      <c r="C26" s="247"/>
      <c r="D26" s="247"/>
      <c r="E26" s="247"/>
      <c r="F26" s="247"/>
      <c r="G26" s="247"/>
      <c r="H26" s="247"/>
      <c r="I26" s="247"/>
      <c r="J26" s="247"/>
      <c r="K26" s="248"/>
      <c r="L26" s="247"/>
      <c r="M26" s="247"/>
      <c r="N26" s="247"/>
      <c r="O26" s="247"/>
      <c r="P26" s="247"/>
      <c r="Q26" s="247"/>
      <c r="R26" s="249"/>
      <c r="S26" s="250"/>
      <c r="T26" s="248"/>
      <c r="U26" s="247"/>
      <c r="V26" s="247"/>
      <c r="W26" s="247"/>
      <c r="X26" s="247"/>
      <c r="Y26" s="247"/>
      <c r="Z26" s="250"/>
      <c r="AA26" s="251"/>
      <c r="AB26" s="251"/>
      <c r="AC26" s="251"/>
      <c r="AD26" s="251"/>
      <c r="AE26" s="247"/>
      <c r="AF26" s="247"/>
      <c r="AG26" s="247"/>
      <c r="AH26" s="247"/>
      <c r="AI26" s="344"/>
      <c r="AJ26" s="251">
        <f t="shared" si="14"/>
        <v>0</v>
      </c>
      <c r="AL26" s="252">
        <f t="shared" si="18"/>
        <v>0</v>
      </c>
      <c r="AM26" s="252">
        <f t="shared" si="16"/>
        <v>0</v>
      </c>
      <c r="AN26" s="252">
        <f t="shared" si="19"/>
        <v>0</v>
      </c>
      <c r="AO26" s="252">
        <v>0</v>
      </c>
      <c r="AP26" s="252" t="s">
        <v>176</v>
      </c>
      <c r="AQ26" s="252">
        <v>0</v>
      </c>
      <c r="AR26" s="252"/>
      <c r="AS26" s="252">
        <f t="shared" si="0"/>
        <v>0</v>
      </c>
      <c r="AU26" s="252">
        <f t="shared" si="1"/>
        <v>0</v>
      </c>
      <c r="AV26" s="252">
        <v>0</v>
      </c>
      <c r="AW26" s="252">
        <f t="shared" si="2"/>
        <v>0</v>
      </c>
      <c r="AX26" s="252">
        <f t="shared" si="3"/>
        <v>0</v>
      </c>
      <c r="AY26" s="252">
        <f t="shared" si="4"/>
        <v>0</v>
      </c>
      <c r="AZ26" s="252">
        <v>0</v>
      </c>
      <c r="BB26" s="252">
        <f t="shared" si="5"/>
        <v>0</v>
      </c>
      <c r="BC26" s="252">
        <f t="shared" si="6"/>
        <v>0</v>
      </c>
      <c r="BD26" s="252">
        <f t="shared" si="7"/>
        <v>0</v>
      </c>
      <c r="BE26" s="252">
        <f t="shared" si="8"/>
        <v>0</v>
      </c>
      <c r="BF26" s="252"/>
      <c r="BG26" s="252"/>
      <c r="BH26" s="252">
        <f t="shared" si="9"/>
        <v>0</v>
      </c>
      <c r="BI26" s="252">
        <f t="shared" si="10"/>
        <v>0</v>
      </c>
      <c r="BJ26" s="252">
        <f t="shared" si="11"/>
        <v>0</v>
      </c>
      <c r="BK26" s="252">
        <f t="shared" si="12"/>
        <v>0</v>
      </c>
      <c r="BM26" s="15"/>
      <c r="BN26" s="15"/>
      <c r="BO26" s="15"/>
    </row>
    <row r="27" spans="1:67" ht="25.5" customHeight="1">
      <c r="A27" s="245">
        <f t="shared" si="13"/>
        <v>46257</v>
      </c>
      <c r="B27" s="246"/>
      <c r="C27" s="247"/>
      <c r="D27" s="247"/>
      <c r="E27" s="247"/>
      <c r="F27" s="247"/>
      <c r="G27" s="247"/>
      <c r="H27" s="247"/>
      <c r="I27" s="247"/>
      <c r="J27" s="247"/>
      <c r="K27" s="248"/>
      <c r="L27" s="247"/>
      <c r="M27" s="247"/>
      <c r="N27" s="247"/>
      <c r="O27" s="247"/>
      <c r="P27" s="247"/>
      <c r="Q27" s="247"/>
      <c r="R27" s="249"/>
      <c r="S27" s="250"/>
      <c r="T27" s="248"/>
      <c r="U27" s="247"/>
      <c r="V27" s="247"/>
      <c r="W27" s="247"/>
      <c r="X27" s="247"/>
      <c r="Y27" s="247"/>
      <c r="Z27" s="250"/>
      <c r="AA27" s="251"/>
      <c r="AB27" s="251"/>
      <c r="AC27" s="251"/>
      <c r="AD27" s="251"/>
      <c r="AE27" s="247"/>
      <c r="AF27" s="247"/>
      <c r="AG27" s="247"/>
      <c r="AH27" s="247"/>
      <c r="AI27" s="344"/>
      <c r="AJ27" s="251">
        <f t="shared" si="14"/>
        <v>0</v>
      </c>
      <c r="AL27" s="252">
        <f t="shared" si="18"/>
        <v>0</v>
      </c>
      <c r="AM27" s="252">
        <f t="shared" si="16"/>
        <v>0</v>
      </c>
      <c r="AN27" s="252">
        <f t="shared" si="19"/>
        <v>0</v>
      </c>
      <c r="AO27" s="252">
        <v>0</v>
      </c>
      <c r="AP27" s="252" t="s">
        <v>176</v>
      </c>
      <c r="AQ27" s="252">
        <v>0</v>
      </c>
      <c r="AR27" s="252"/>
      <c r="AS27" s="252">
        <f t="shared" si="0"/>
        <v>0</v>
      </c>
      <c r="AU27" s="301">
        <f t="shared" si="1"/>
        <v>0</v>
      </c>
      <c r="AV27" s="252">
        <v>0</v>
      </c>
      <c r="AW27" s="252">
        <f t="shared" si="2"/>
        <v>0</v>
      </c>
      <c r="AX27" s="252">
        <f t="shared" si="3"/>
        <v>0</v>
      </c>
      <c r="AY27" s="252">
        <f t="shared" si="4"/>
        <v>0</v>
      </c>
      <c r="AZ27" s="252">
        <v>0</v>
      </c>
      <c r="BB27" s="252">
        <f t="shared" si="5"/>
        <v>0</v>
      </c>
      <c r="BC27" s="252">
        <f t="shared" si="6"/>
        <v>0</v>
      </c>
      <c r="BD27" s="252">
        <f t="shared" si="7"/>
        <v>0</v>
      </c>
      <c r="BE27" s="252">
        <f t="shared" si="8"/>
        <v>0</v>
      </c>
      <c r="BF27" s="252"/>
      <c r="BG27" s="252"/>
      <c r="BH27" s="252">
        <f t="shared" si="9"/>
        <v>0</v>
      </c>
      <c r="BI27" s="252">
        <f t="shared" si="10"/>
        <v>0</v>
      </c>
      <c r="BJ27" s="252">
        <f t="shared" si="11"/>
        <v>0</v>
      </c>
      <c r="BK27" s="252">
        <f t="shared" si="12"/>
        <v>0</v>
      </c>
      <c r="BM27" s="15"/>
      <c r="BN27" s="15"/>
      <c r="BO27" s="253"/>
    </row>
    <row r="28" spans="1:67" ht="25.5" customHeight="1">
      <c r="A28" s="245">
        <f t="shared" si="13"/>
        <v>46258</v>
      </c>
      <c r="B28" s="246">
        <v>0</v>
      </c>
      <c r="C28" s="247">
        <v>1440</v>
      </c>
      <c r="D28" s="247">
        <v>147</v>
      </c>
      <c r="E28" s="247">
        <v>48</v>
      </c>
      <c r="F28" s="247">
        <v>130</v>
      </c>
      <c r="G28" s="247">
        <v>18</v>
      </c>
      <c r="H28" s="247">
        <v>10</v>
      </c>
      <c r="I28" s="247">
        <v>0</v>
      </c>
      <c r="J28" s="247">
        <v>1</v>
      </c>
      <c r="K28" s="248">
        <v>7</v>
      </c>
      <c r="L28" s="247">
        <v>16</v>
      </c>
      <c r="M28" s="247">
        <v>101</v>
      </c>
      <c r="N28" s="247">
        <v>64</v>
      </c>
      <c r="O28" s="247">
        <v>14</v>
      </c>
      <c r="P28" s="247">
        <v>9</v>
      </c>
      <c r="Q28" s="247">
        <v>3</v>
      </c>
      <c r="R28" s="249">
        <v>2</v>
      </c>
      <c r="S28" s="250"/>
      <c r="T28" s="248">
        <v>72</v>
      </c>
      <c r="U28" s="247">
        <v>18</v>
      </c>
      <c r="V28" s="247">
        <v>0</v>
      </c>
      <c r="W28" s="247">
        <v>7</v>
      </c>
      <c r="X28" s="247">
        <v>0</v>
      </c>
      <c r="Y28" s="247">
        <v>0</v>
      </c>
      <c r="Z28" s="250">
        <v>10</v>
      </c>
      <c r="AA28" s="251"/>
      <c r="AB28" s="251"/>
      <c r="AC28" s="251"/>
      <c r="AD28" s="251"/>
      <c r="AE28" s="247"/>
      <c r="AF28" s="247"/>
      <c r="AG28" s="247"/>
      <c r="AH28" s="247"/>
      <c r="AI28" s="344"/>
      <c r="AJ28" s="251">
        <f t="shared" si="14"/>
        <v>2117</v>
      </c>
      <c r="AL28" s="252">
        <f t="shared" si="18"/>
        <v>541</v>
      </c>
      <c r="AM28" s="252">
        <f t="shared" si="16"/>
        <v>291</v>
      </c>
      <c r="AN28" s="252">
        <f t="shared" si="19"/>
        <v>5580</v>
      </c>
      <c r="AO28" s="252">
        <v>0</v>
      </c>
      <c r="AP28" s="252">
        <v>175</v>
      </c>
      <c r="AQ28" s="252">
        <v>0</v>
      </c>
      <c r="AR28" s="252"/>
      <c r="AS28" s="252">
        <f t="shared" si="0"/>
        <v>0</v>
      </c>
      <c r="AU28" s="252">
        <f t="shared" si="1"/>
        <v>636</v>
      </c>
      <c r="AV28" s="252">
        <v>1471</v>
      </c>
      <c r="AW28" s="252">
        <f t="shared" si="2"/>
        <v>0</v>
      </c>
      <c r="AX28" s="252">
        <f t="shared" si="3"/>
        <v>10</v>
      </c>
      <c r="AY28" s="252">
        <f t="shared" si="4"/>
        <v>0</v>
      </c>
      <c r="AZ28" s="252">
        <v>0</v>
      </c>
      <c r="BB28" s="252">
        <f t="shared" si="5"/>
        <v>1610</v>
      </c>
      <c r="BC28" s="252">
        <f t="shared" si="6"/>
        <v>343</v>
      </c>
      <c r="BD28" s="252">
        <f t="shared" si="7"/>
        <v>51</v>
      </c>
      <c r="BE28" s="252">
        <f t="shared" si="8"/>
        <v>6</v>
      </c>
      <c r="BF28" s="252"/>
      <c r="BG28" s="252"/>
      <c r="BH28" s="252">
        <f t="shared" si="9"/>
        <v>90</v>
      </c>
      <c r="BI28" s="252">
        <f t="shared" si="10"/>
        <v>7</v>
      </c>
      <c r="BJ28" s="252">
        <f t="shared" si="11"/>
        <v>10</v>
      </c>
      <c r="BK28" s="252">
        <f t="shared" si="12"/>
        <v>0</v>
      </c>
      <c r="BM28" s="15">
        <v>14</v>
      </c>
      <c r="BN28" s="15"/>
      <c r="BO28" s="15"/>
    </row>
    <row r="29" spans="1:67" ht="25.5" customHeight="1">
      <c r="A29" s="245">
        <f t="shared" si="13"/>
        <v>46259</v>
      </c>
      <c r="B29" s="246">
        <v>0</v>
      </c>
      <c r="C29" s="247">
        <v>214</v>
      </c>
      <c r="D29" s="247">
        <v>102</v>
      </c>
      <c r="E29" s="247">
        <v>7</v>
      </c>
      <c r="F29" s="247">
        <v>151</v>
      </c>
      <c r="G29" s="247">
        <v>39</v>
      </c>
      <c r="H29" s="247">
        <v>1</v>
      </c>
      <c r="I29" s="247">
        <v>0</v>
      </c>
      <c r="J29" s="247">
        <v>0</v>
      </c>
      <c r="K29" s="248">
        <v>7</v>
      </c>
      <c r="L29" s="247">
        <v>7</v>
      </c>
      <c r="M29" s="247">
        <v>54</v>
      </c>
      <c r="N29" s="247">
        <v>30</v>
      </c>
      <c r="O29" s="247">
        <v>13</v>
      </c>
      <c r="P29" s="247">
        <v>7</v>
      </c>
      <c r="Q29" s="247">
        <v>5</v>
      </c>
      <c r="R29" s="249">
        <v>5</v>
      </c>
      <c r="S29" s="250"/>
      <c r="T29" s="248">
        <v>404</v>
      </c>
      <c r="U29" s="247">
        <v>11</v>
      </c>
      <c r="V29" s="247">
        <v>0</v>
      </c>
      <c r="W29" s="247">
        <v>4</v>
      </c>
      <c r="X29" s="247">
        <v>0</v>
      </c>
      <c r="Y29" s="247">
        <v>0</v>
      </c>
      <c r="Z29" s="250">
        <v>49</v>
      </c>
      <c r="AA29" s="251"/>
      <c r="AB29" s="251"/>
      <c r="AC29" s="251"/>
      <c r="AD29" s="251"/>
      <c r="AE29" s="247"/>
      <c r="AF29" s="247"/>
      <c r="AG29" s="247"/>
      <c r="AH29" s="247">
        <v>1</v>
      </c>
      <c r="AI29" s="344"/>
      <c r="AJ29" s="251">
        <f t="shared" si="14"/>
        <v>1111</v>
      </c>
      <c r="AL29" s="252">
        <f t="shared" si="18"/>
        <v>281</v>
      </c>
      <c r="AM29" s="252">
        <f t="shared" si="16"/>
        <v>288</v>
      </c>
      <c r="AN29" s="252">
        <f t="shared" si="19"/>
        <v>1570</v>
      </c>
      <c r="AO29" s="252">
        <v>0</v>
      </c>
      <c r="AP29" s="252">
        <v>56</v>
      </c>
      <c r="AQ29" s="252">
        <v>0</v>
      </c>
      <c r="AR29" s="252"/>
      <c r="AS29" s="252">
        <f>SUM(AA29:AB29)+AH29+S29</f>
        <v>1</v>
      </c>
      <c r="AU29" s="252">
        <f t="shared" si="1"/>
        <v>413</v>
      </c>
      <c r="AV29" s="252">
        <v>648</v>
      </c>
      <c r="AW29" s="252">
        <f t="shared" si="2"/>
        <v>1</v>
      </c>
      <c r="AX29" s="252">
        <f t="shared" si="3"/>
        <v>49</v>
      </c>
      <c r="AY29" s="252">
        <f t="shared" si="4"/>
        <v>0</v>
      </c>
      <c r="AZ29" s="252">
        <v>0</v>
      </c>
      <c r="BB29" s="252">
        <f t="shared" si="5"/>
        <v>330</v>
      </c>
      <c r="BC29" s="252">
        <f t="shared" si="6"/>
        <v>243</v>
      </c>
      <c r="BD29" s="252">
        <f t="shared" si="7"/>
        <v>60</v>
      </c>
      <c r="BE29" s="252">
        <f t="shared" si="8"/>
        <v>10</v>
      </c>
      <c r="BF29" s="252"/>
      <c r="BG29" s="252"/>
      <c r="BH29" s="252">
        <f t="shared" si="9"/>
        <v>415</v>
      </c>
      <c r="BI29" s="252">
        <f t="shared" si="10"/>
        <v>4</v>
      </c>
      <c r="BJ29" s="252">
        <f t="shared" si="11"/>
        <v>49</v>
      </c>
      <c r="BK29" s="252">
        <f t="shared" si="12"/>
        <v>0</v>
      </c>
      <c r="BM29" s="15">
        <v>9</v>
      </c>
      <c r="BN29" s="15"/>
      <c r="BO29" s="253"/>
    </row>
    <row r="30" spans="1:67" ht="25.5" customHeight="1">
      <c r="A30" s="363">
        <f t="shared" si="13"/>
        <v>46260</v>
      </c>
      <c r="B30" s="246">
        <v>0</v>
      </c>
      <c r="C30" s="247">
        <v>252</v>
      </c>
      <c r="D30" s="247">
        <v>103</v>
      </c>
      <c r="E30" s="247">
        <v>14</v>
      </c>
      <c r="F30" s="247">
        <v>65</v>
      </c>
      <c r="G30" s="247">
        <v>14</v>
      </c>
      <c r="H30" s="247">
        <v>1</v>
      </c>
      <c r="I30" s="247">
        <v>0</v>
      </c>
      <c r="J30" s="247">
        <v>0</v>
      </c>
      <c r="K30" s="248">
        <v>10</v>
      </c>
      <c r="L30" s="247">
        <v>12</v>
      </c>
      <c r="M30" s="247">
        <v>51</v>
      </c>
      <c r="N30" s="247">
        <v>30</v>
      </c>
      <c r="O30" s="247">
        <v>4</v>
      </c>
      <c r="P30" s="247">
        <v>5</v>
      </c>
      <c r="Q30" s="247">
        <v>3</v>
      </c>
      <c r="R30" s="249">
        <v>2</v>
      </c>
      <c r="S30" s="250"/>
      <c r="T30" s="248">
        <v>60</v>
      </c>
      <c r="U30" s="247">
        <v>9</v>
      </c>
      <c r="V30" s="247">
        <v>0</v>
      </c>
      <c r="W30" s="247">
        <v>1</v>
      </c>
      <c r="X30" s="247">
        <v>0</v>
      </c>
      <c r="Y30" s="247">
        <v>0</v>
      </c>
      <c r="Z30" s="250">
        <v>8</v>
      </c>
      <c r="AA30" s="251">
        <v>30</v>
      </c>
      <c r="AB30" s="251"/>
      <c r="AC30" s="251"/>
      <c r="AD30" s="251"/>
      <c r="AE30" s="247"/>
      <c r="AF30" s="247"/>
      <c r="AG30" s="247"/>
      <c r="AH30" s="247"/>
      <c r="AI30" s="344"/>
      <c r="AJ30" s="251">
        <f t="shared" si="14"/>
        <v>674</v>
      </c>
      <c r="AL30" s="252">
        <f>SUM(K30:L30)*2+SUM(M30:N30)*3+AH30+SUM(AA30:AD30)+5-30</f>
        <v>292</v>
      </c>
      <c r="AM30" s="252">
        <f>SUM(E30:J30)+SUM(O30:R30)*3-49+49*3+30</f>
        <v>264</v>
      </c>
      <c r="AN30" s="252">
        <f>SUM(C30:D30)*3+SUM(E30:H30)*2+SUM(I30:J30)*3+SUM(K30:N30)*2+SUM(O30:R30)+49+32</f>
        <v>1554</v>
      </c>
      <c r="AO30" s="252">
        <v>0</v>
      </c>
      <c r="AP30" s="252">
        <v>16</v>
      </c>
      <c r="AQ30" s="252">
        <v>0</v>
      </c>
      <c r="AR30" s="252"/>
      <c r="AS30" s="252">
        <f t="shared" si="0"/>
        <v>30</v>
      </c>
      <c r="AU30" s="252">
        <f t="shared" si="1"/>
        <v>431</v>
      </c>
      <c r="AV30" s="252">
        <v>235</v>
      </c>
      <c r="AW30" s="252">
        <f t="shared" si="2"/>
        <v>0</v>
      </c>
      <c r="AX30" s="252">
        <f t="shared" si="3"/>
        <v>8</v>
      </c>
      <c r="AY30" s="252">
        <f t="shared" si="4"/>
        <v>0</v>
      </c>
      <c r="AZ30" s="252">
        <v>0</v>
      </c>
      <c r="BB30" s="252">
        <f t="shared" si="5"/>
        <v>407</v>
      </c>
      <c r="BC30" s="252">
        <f t="shared" si="6"/>
        <v>160</v>
      </c>
      <c r="BD30" s="252">
        <f t="shared" si="7"/>
        <v>24</v>
      </c>
      <c r="BE30" s="252">
        <f t="shared" si="8"/>
        <v>5</v>
      </c>
      <c r="BF30" s="252"/>
      <c r="BG30" s="252"/>
      <c r="BH30" s="252">
        <f t="shared" si="9"/>
        <v>69</v>
      </c>
      <c r="BI30" s="252">
        <f t="shared" si="10"/>
        <v>1</v>
      </c>
      <c r="BJ30" s="252">
        <f t="shared" si="11"/>
        <v>8</v>
      </c>
      <c r="BK30" s="252">
        <f t="shared" si="12"/>
        <v>0</v>
      </c>
      <c r="BM30" s="15">
        <v>38</v>
      </c>
      <c r="BN30" s="15"/>
      <c r="BO30" s="15"/>
    </row>
    <row r="31" spans="1:67" ht="25.5" customHeight="1">
      <c r="A31" s="245">
        <f t="shared" si="13"/>
        <v>46261</v>
      </c>
      <c r="B31" s="246">
        <v>0</v>
      </c>
      <c r="C31" s="247">
        <v>504</v>
      </c>
      <c r="D31" s="247">
        <v>103</v>
      </c>
      <c r="E31" s="247">
        <v>10</v>
      </c>
      <c r="F31" s="247">
        <v>136</v>
      </c>
      <c r="G31" s="247">
        <v>4</v>
      </c>
      <c r="H31" s="247">
        <v>2</v>
      </c>
      <c r="I31" s="247">
        <v>0</v>
      </c>
      <c r="J31" s="247">
        <v>0</v>
      </c>
      <c r="K31" s="248">
        <v>2</v>
      </c>
      <c r="L31" s="247">
        <v>10</v>
      </c>
      <c r="M31" s="247">
        <v>44</v>
      </c>
      <c r="N31" s="247">
        <v>29</v>
      </c>
      <c r="O31" s="247">
        <v>10</v>
      </c>
      <c r="P31" s="247">
        <v>10</v>
      </c>
      <c r="Q31" s="247">
        <v>0</v>
      </c>
      <c r="R31" s="249">
        <v>0</v>
      </c>
      <c r="S31" s="250"/>
      <c r="T31" s="248">
        <v>89</v>
      </c>
      <c r="U31" s="247">
        <v>12</v>
      </c>
      <c r="V31" s="247">
        <v>0</v>
      </c>
      <c r="W31" s="247">
        <v>3</v>
      </c>
      <c r="X31" s="247">
        <v>0</v>
      </c>
      <c r="Y31" s="247">
        <v>0</v>
      </c>
      <c r="Z31" s="250">
        <v>3</v>
      </c>
      <c r="AA31" s="251"/>
      <c r="AB31" s="251"/>
      <c r="AC31" s="251"/>
      <c r="AD31" s="251"/>
      <c r="AE31" s="247">
        <v>6</v>
      </c>
      <c r="AF31" s="247"/>
      <c r="AG31" s="247"/>
      <c r="AH31" s="247"/>
      <c r="AI31" s="344"/>
      <c r="AJ31" s="251">
        <f t="shared" si="14"/>
        <v>977</v>
      </c>
      <c r="AL31" s="252">
        <f t="shared" si="18"/>
        <v>243</v>
      </c>
      <c r="AM31" s="252">
        <f>SUM(E31:J31)+SUM(O31:R31)*3-123+123*3</f>
        <v>458</v>
      </c>
      <c r="AN31" s="252">
        <f>SUM(C31:D31)*3+SUM(E31:H31)*2+SUM(I31:J31)*3+SUM(K31:N31)*2+SUM(O31:R31)+123</f>
        <v>2438</v>
      </c>
      <c r="AO31" s="252">
        <v>0</v>
      </c>
      <c r="AP31" s="252">
        <v>36</v>
      </c>
      <c r="AQ31" s="252">
        <v>0</v>
      </c>
      <c r="AR31" s="252"/>
      <c r="AS31" s="252">
        <f t="shared" si="0"/>
        <v>0</v>
      </c>
      <c r="AU31" s="252">
        <f>AJ31-AV31-AX31-AW31-AY31</f>
        <v>377</v>
      </c>
      <c r="AV31" s="252">
        <v>597</v>
      </c>
      <c r="AW31" s="252">
        <f t="shared" si="2"/>
        <v>0</v>
      </c>
      <c r="AX31" s="252">
        <f t="shared" si="3"/>
        <v>3</v>
      </c>
      <c r="AY31" s="252">
        <f>AG31</f>
        <v>0</v>
      </c>
      <c r="AZ31" s="252">
        <v>0</v>
      </c>
      <c r="BB31" s="252">
        <f t="shared" si="5"/>
        <v>619</v>
      </c>
      <c r="BC31" s="252">
        <f>SUM(E31:F31)+SUM(M31:N31)+AB31+AH31+S31</f>
        <v>219</v>
      </c>
      <c r="BD31" s="252">
        <f>SUM(G31:H31)+O31+P31</f>
        <v>26</v>
      </c>
      <c r="BE31" s="252">
        <f>SUM(I31:J31)+Q31+R31+AC31+AD31</f>
        <v>0</v>
      </c>
      <c r="BF31" s="252"/>
      <c r="BG31" s="252"/>
      <c r="BH31" s="252">
        <f>SUM(T31:V31)+AE31+AG31</f>
        <v>107</v>
      </c>
      <c r="BI31" s="252">
        <f>W31+AF31</f>
        <v>3</v>
      </c>
      <c r="BJ31" s="252">
        <f>X31+Z31+AI31</f>
        <v>3</v>
      </c>
      <c r="BK31" s="252">
        <f>Y31</f>
        <v>0</v>
      </c>
      <c r="BM31" s="15">
        <v>11</v>
      </c>
      <c r="BN31" s="15"/>
      <c r="BO31" s="253"/>
    </row>
    <row r="32" spans="1:67" ht="25.5" customHeight="1">
      <c r="A32" s="245">
        <f t="shared" si="13"/>
        <v>46262</v>
      </c>
      <c r="B32" s="246">
        <v>0</v>
      </c>
      <c r="C32" s="247">
        <v>335</v>
      </c>
      <c r="D32" s="247">
        <v>113</v>
      </c>
      <c r="E32" s="247">
        <v>5</v>
      </c>
      <c r="F32" s="247">
        <v>90</v>
      </c>
      <c r="G32" s="247">
        <v>5</v>
      </c>
      <c r="H32" s="247">
        <v>3</v>
      </c>
      <c r="I32" s="247">
        <v>0</v>
      </c>
      <c r="J32" s="247">
        <v>0</v>
      </c>
      <c r="K32" s="248">
        <v>3</v>
      </c>
      <c r="L32" s="247">
        <v>3</v>
      </c>
      <c r="M32" s="247">
        <v>37</v>
      </c>
      <c r="N32" s="247">
        <v>24</v>
      </c>
      <c r="O32" s="247">
        <v>7</v>
      </c>
      <c r="P32" s="247">
        <v>6</v>
      </c>
      <c r="Q32" s="247">
        <v>4</v>
      </c>
      <c r="R32" s="249">
        <v>1</v>
      </c>
      <c r="S32" s="250"/>
      <c r="T32" s="248">
        <v>64</v>
      </c>
      <c r="U32" s="247">
        <v>11</v>
      </c>
      <c r="V32" s="247">
        <v>0</v>
      </c>
      <c r="W32" s="247">
        <v>2</v>
      </c>
      <c r="X32" s="247">
        <v>0</v>
      </c>
      <c r="Y32" s="247">
        <v>0</v>
      </c>
      <c r="Z32" s="250">
        <v>2</v>
      </c>
      <c r="AA32" s="251"/>
      <c r="AB32" s="251"/>
      <c r="AC32" s="251"/>
      <c r="AD32" s="251"/>
      <c r="AE32" s="247">
        <v>10</v>
      </c>
      <c r="AF32" s="247"/>
      <c r="AG32" s="247"/>
      <c r="AH32" s="247"/>
      <c r="AI32" s="344"/>
      <c r="AJ32" s="251">
        <f t="shared" si="14"/>
        <v>725</v>
      </c>
      <c r="AL32" s="252">
        <f t="shared" si="18"/>
        <v>195</v>
      </c>
      <c r="AM32" s="252">
        <f>SUM(E32:J32)+SUM(O32:R32)*3-76+76*3</f>
        <v>309</v>
      </c>
      <c r="AN32" s="252">
        <f>SUM(C32:D32)*3+SUM(E32:H32)*2+SUM(I32:J32)*3+SUM(K32:N32)*2+SUM(O32:R32)+76</f>
        <v>1778</v>
      </c>
      <c r="AO32" s="252">
        <v>0</v>
      </c>
      <c r="AP32" s="252">
        <v>17</v>
      </c>
      <c r="AQ32" s="252">
        <v>0</v>
      </c>
      <c r="AR32" s="252"/>
      <c r="AS32" s="252">
        <f t="shared" si="0"/>
        <v>0</v>
      </c>
      <c r="AU32" s="252">
        <f t="shared" ref="AU32:AU35" si="20">AJ32-AV32-AX32-AW32-AY32</f>
        <v>367</v>
      </c>
      <c r="AV32" s="252">
        <v>356</v>
      </c>
      <c r="AW32" s="252">
        <f t="shared" si="2"/>
        <v>0</v>
      </c>
      <c r="AX32" s="252">
        <f t="shared" si="3"/>
        <v>2</v>
      </c>
      <c r="AY32" s="252">
        <f>AG32</f>
        <v>0</v>
      </c>
      <c r="AZ32" s="252">
        <v>0</v>
      </c>
      <c r="BB32" s="252">
        <f t="shared" si="5"/>
        <v>454</v>
      </c>
      <c r="BC32" s="252">
        <f>SUM(E32:F32)+SUM(M32:N32)+AB32+AH32+S32</f>
        <v>156</v>
      </c>
      <c r="BD32" s="252">
        <f>SUM(G32:H32)+O32+P32</f>
        <v>21</v>
      </c>
      <c r="BE32" s="252">
        <f>SUM(I32:J32)+Q32+R32+AC32+AD32</f>
        <v>5</v>
      </c>
      <c r="BF32" s="252"/>
      <c r="BG32" s="252"/>
      <c r="BH32" s="252">
        <f>SUM(T32:V32)+AE32+AG32</f>
        <v>85</v>
      </c>
      <c r="BI32" s="252">
        <f>W32+AF32</f>
        <v>2</v>
      </c>
      <c r="BJ32" s="252">
        <f>X32+Z32+AI32</f>
        <v>2</v>
      </c>
      <c r="BK32" s="252">
        <f>Y32</f>
        <v>0</v>
      </c>
      <c r="BM32" s="15">
        <v>23</v>
      </c>
      <c r="BN32" s="15"/>
      <c r="BO32" s="253"/>
    </row>
    <row r="33" spans="1:67" ht="25.5" customHeight="1">
      <c r="A33" s="245">
        <f t="shared" si="13"/>
        <v>46263</v>
      </c>
      <c r="B33" s="246"/>
      <c r="C33" s="247"/>
      <c r="D33" s="247"/>
      <c r="E33" s="247"/>
      <c r="F33" s="247"/>
      <c r="G33" s="247"/>
      <c r="H33" s="247"/>
      <c r="I33" s="247"/>
      <c r="J33" s="247"/>
      <c r="K33" s="248"/>
      <c r="L33" s="247"/>
      <c r="M33" s="247"/>
      <c r="N33" s="247"/>
      <c r="O33" s="247"/>
      <c r="P33" s="247"/>
      <c r="Q33" s="247"/>
      <c r="R33" s="249"/>
      <c r="S33" s="250"/>
      <c r="T33" s="248"/>
      <c r="U33" s="247"/>
      <c r="V33" s="247"/>
      <c r="W33" s="247"/>
      <c r="X33" s="247"/>
      <c r="Y33" s="247"/>
      <c r="Z33" s="250"/>
      <c r="AA33" s="251"/>
      <c r="AB33" s="251"/>
      <c r="AC33" s="251"/>
      <c r="AD33" s="251"/>
      <c r="AE33" s="247"/>
      <c r="AF33" s="247"/>
      <c r="AG33" s="247"/>
      <c r="AH33" s="247"/>
      <c r="AI33" s="344"/>
      <c r="AJ33" s="251">
        <f t="shared" si="14"/>
        <v>0</v>
      </c>
      <c r="AL33" s="252">
        <f t="shared" si="18"/>
        <v>0</v>
      </c>
      <c r="AM33" s="252">
        <f t="shared" si="16"/>
        <v>0</v>
      </c>
      <c r="AN33" s="252">
        <f t="shared" si="19"/>
        <v>0</v>
      </c>
      <c r="AO33" s="252">
        <v>0</v>
      </c>
      <c r="AP33" s="252" t="s">
        <v>176</v>
      </c>
      <c r="AQ33" s="252">
        <v>0</v>
      </c>
      <c r="AR33" s="252"/>
      <c r="AS33" s="252">
        <f t="shared" si="0"/>
        <v>0</v>
      </c>
      <c r="AU33" s="252">
        <f t="shared" si="20"/>
        <v>0</v>
      </c>
      <c r="AV33" s="252">
        <v>0</v>
      </c>
      <c r="AW33" s="252">
        <f t="shared" si="2"/>
        <v>0</v>
      </c>
      <c r="AX33" s="252">
        <f t="shared" si="3"/>
        <v>0</v>
      </c>
      <c r="AY33" s="252"/>
      <c r="AZ33" s="252">
        <v>0</v>
      </c>
      <c r="BB33" s="252">
        <f t="shared" si="5"/>
        <v>0</v>
      </c>
      <c r="BC33" s="252">
        <f t="shared" ref="BC33:BC34" si="21">SUM(E33:F33)+SUM(M33:N33)+AB33+AH33+S33</f>
        <v>0</v>
      </c>
      <c r="BD33" s="252">
        <f t="shared" ref="BD33:BD35" si="22">SUM(G33:H33)+O33+P33</f>
        <v>0</v>
      </c>
      <c r="BE33" s="252">
        <f t="shared" ref="BE33:BE35" si="23">SUM(I33:J33)+Q33+R33+AC33+AD33</f>
        <v>0</v>
      </c>
      <c r="BF33" s="252"/>
      <c r="BG33" s="252"/>
      <c r="BH33" s="252">
        <f t="shared" ref="BH33:BH34" si="24">SUM(T33:V33)+AE33+AG33</f>
        <v>0</v>
      </c>
      <c r="BI33" s="252">
        <f t="shared" ref="BI33:BI34" si="25">W33+AF33</f>
        <v>0</v>
      </c>
      <c r="BJ33" s="252">
        <f t="shared" ref="BJ33:BJ34" si="26">X33+Z33+AI33</f>
        <v>0</v>
      </c>
      <c r="BK33" s="252">
        <f t="shared" ref="BK33:BK34" si="27">Y33</f>
        <v>0</v>
      </c>
      <c r="BM33" s="15"/>
      <c r="BN33" s="15"/>
      <c r="BO33" s="253"/>
    </row>
    <row r="34" spans="1:67" ht="25.5" customHeight="1">
      <c r="A34" s="245">
        <f t="shared" si="13"/>
        <v>46264</v>
      </c>
      <c r="B34" s="246"/>
      <c r="C34" s="247"/>
      <c r="D34" s="247"/>
      <c r="E34" s="247"/>
      <c r="F34" s="247"/>
      <c r="G34" s="247"/>
      <c r="H34" s="247"/>
      <c r="I34" s="247"/>
      <c r="J34" s="247"/>
      <c r="K34" s="248"/>
      <c r="L34" s="247"/>
      <c r="M34" s="247"/>
      <c r="N34" s="247"/>
      <c r="O34" s="247"/>
      <c r="P34" s="247"/>
      <c r="Q34" s="247"/>
      <c r="R34" s="249"/>
      <c r="S34" s="250"/>
      <c r="T34" s="248"/>
      <c r="U34" s="247"/>
      <c r="V34" s="247"/>
      <c r="W34" s="247"/>
      <c r="X34" s="247"/>
      <c r="Y34" s="247"/>
      <c r="Z34" s="250"/>
      <c r="AA34" s="251"/>
      <c r="AB34" s="251"/>
      <c r="AC34" s="251"/>
      <c r="AD34" s="251"/>
      <c r="AE34" s="247"/>
      <c r="AF34" s="249"/>
      <c r="AG34" s="249"/>
      <c r="AH34" s="249"/>
      <c r="AI34" s="344"/>
      <c r="AJ34" s="251">
        <f t="shared" si="14"/>
        <v>0</v>
      </c>
      <c r="AL34" s="252">
        <f t="shared" si="18"/>
        <v>0</v>
      </c>
      <c r="AM34" s="252">
        <f t="shared" si="16"/>
        <v>0</v>
      </c>
      <c r="AN34" s="252">
        <f t="shared" si="19"/>
        <v>0</v>
      </c>
      <c r="AO34" s="252">
        <v>0</v>
      </c>
      <c r="AP34" s="252" t="s">
        <v>176</v>
      </c>
      <c r="AQ34" s="252">
        <v>0</v>
      </c>
      <c r="AR34" s="252"/>
      <c r="AS34" s="252">
        <f t="shared" si="0"/>
        <v>0</v>
      </c>
      <c r="AU34" s="252">
        <f t="shared" si="20"/>
        <v>0</v>
      </c>
      <c r="AV34" s="252">
        <v>0</v>
      </c>
      <c r="AW34" s="252">
        <f t="shared" si="2"/>
        <v>0</v>
      </c>
      <c r="AX34" s="252">
        <f t="shared" si="3"/>
        <v>0</v>
      </c>
      <c r="AY34" s="252"/>
      <c r="AZ34" s="252">
        <v>0</v>
      </c>
      <c r="BB34" s="252">
        <f t="shared" si="5"/>
        <v>0</v>
      </c>
      <c r="BC34" s="252">
        <f t="shared" si="21"/>
        <v>0</v>
      </c>
      <c r="BD34" s="252">
        <f t="shared" si="22"/>
        <v>0</v>
      </c>
      <c r="BE34" s="252">
        <f t="shared" si="23"/>
        <v>0</v>
      </c>
      <c r="BF34" s="252"/>
      <c r="BG34" s="252"/>
      <c r="BH34" s="252">
        <f t="shared" si="24"/>
        <v>0</v>
      </c>
      <c r="BI34" s="252">
        <f t="shared" si="25"/>
        <v>0</v>
      </c>
      <c r="BJ34" s="252">
        <f t="shared" si="26"/>
        <v>0</v>
      </c>
      <c r="BK34" s="252">
        <f t="shared" si="27"/>
        <v>0</v>
      </c>
      <c r="BM34" s="15"/>
      <c r="BN34" s="15"/>
      <c r="BO34" s="253"/>
    </row>
    <row r="35" spans="1:67" ht="25.5" customHeight="1">
      <c r="A35" s="245">
        <f t="shared" si="13"/>
        <v>46265</v>
      </c>
      <c r="B35" s="246">
        <v>0</v>
      </c>
      <c r="C35" s="247">
        <v>1520</v>
      </c>
      <c r="D35" s="247">
        <v>415</v>
      </c>
      <c r="E35" s="247">
        <v>56</v>
      </c>
      <c r="F35" s="247">
        <v>58</v>
      </c>
      <c r="G35" s="247">
        <v>15</v>
      </c>
      <c r="H35" s="247">
        <v>0</v>
      </c>
      <c r="I35" s="247">
        <v>0</v>
      </c>
      <c r="J35" s="247">
        <v>0</v>
      </c>
      <c r="K35" s="248">
        <v>18</v>
      </c>
      <c r="L35" s="247">
        <v>36</v>
      </c>
      <c r="M35" s="247">
        <v>87</v>
      </c>
      <c r="N35" s="247">
        <v>47</v>
      </c>
      <c r="O35" s="247">
        <v>22</v>
      </c>
      <c r="P35" s="247">
        <v>20</v>
      </c>
      <c r="Q35" s="247">
        <v>8</v>
      </c>
      <c r="R35" s="249">
        <v>4</v>
      </c>
      <c r="S35" s="250"/>
      <c r="T35" s="248">
        <v>342</v>
      </c>
      <c r="U35" s="247">
        <v>21</v>
      </c>
      <c r="V35" s="247">
        <v>0</v>
      </c>
      <c r="W35" s="247">
        <v>4</v>
      </c>
      <c r="X35" s="247">
        <v>0</v>
      </c>
      <c r="Y35" s="247">
        <v>0</v>
      </c>
      <c r="Z35" s="250">
        <v>564</v>
      </c>
      <c r="AA35" s="251"/>
      <c r="AB35" s="251"/>
      <c r="AC35" s="251"/>
      <c r="AD35" s="251"/>
      <c r="AE35" s="247">
        <v>5</v>
      </c>
      <c r="AF35" s="249"/>
      <c r="AG35" s="249"/>
      <c r="AH35" s="249"/>
      <c r="AI35" s="250"/>
      <c r="AJ35" s="251">
        <f t="shared" si="14"/>
        <v>3242</v>
      </c>
      <c r="AL35" s="252">
        <f t="shared" si="18"/>
        <v>510</v>
      </c>
      <c r="AM35" s="252">
        <f t="shared" si="16"/>
        <v>291</v>
      </c>
      <c r="AN35" s="252">
        <f t="shared" si="19"/>
        <v>6493</v>
      </c>
      <c r="AO35" s="252">
        <v>0</v>
      </c>
      <c r="AP35" s="252" t="s">
        <v>176</v>
      </c>
      <c r="AQ35" s="252">
        <v>0</v>
      </c>
      <c r="AR35" s="252"/>
      <c r="AS35" s="252">
        <f t="shared" si="0"/>
        <v>0</v>
      </c>
      <c r="AU35" s="252">
        <f t="shared" si="20"/>
        <v>2678</v>
      </c>
      <c r="AV35" s="252">
        <v>0</v>
      </c>
      <c r="AW35" s="252">
        <f t="shared" si="2"/>
        <v>0</v>
      </c>
      <c r="AX35" s="252">
        <f t="shared" si="3"/>
        <v>564</v>
      </c>
      <c r="AY35" s="252">
        <f>AG35</f>
        <v>0</v>
      </c>
      <c r="AZ35" s="252">
        <v>0</v>
      </c>
      <c r="BB35" s="252">
        <f>SUM(B35:D35)+K35+L35+AA35</f>
        <v>1989</v>
      </c>
      <c r="BC35" s="252">
        <f>SUM(E35:F35)+SUM(M35:N35)+AB35+AH35</f>
        <v>248</v>
      </c>
      <c r="BD35" s="252">
        <f t="shared" si="22"/>
        <v>57</v>
      </c>
      <c r="BE35" s="252">
        <f t="shared" si="23"/>
        <v>12</v>
      </c>
      <c r="BF35" s="252"/>
      <c r="BG35" s="252"/>
      <c r="BH35" s="252">
        <f>SUM(T35:V35)+AE35+AG35</f>
        <v>368</v>
      </c>
      <c r="BI35" s="252">
        <f>W35+AF35</f>
        <v>4</v>
      </c>
      <c r="BJ35" s="252">
        <f>X35+Z35+AI35</f>
        <v>564</v>
      </c>
      <c r="BK35" s="252">
        <f>Y35</f>
        <v>0</v>
      </c>
      <c r="BM35" s="15">
        <v>22</v>
      </c>
      <c r="BN35" s="15"/>
      <c r="BO35" s="253"/>
    </row>
    <row r="36" spans="1:67" ht="25.5" customHeight="1">
      <c r="A36" s="131" t="s">
        <v>177</v>
      </c>
      <c r="B36" s="234">
        <f>SUM(B5:B35)</f>
        <v>0</v>
      </c>
      <c r="C36" s="120">
        <f>SUM(C5:C35)</f>
        <v>12851</v>
      </c>
      <c r="D36" s="120">
        <f t="shared" ref="D36:I36" si="28">SUM(D5:D35)</f>
        <v>4392</v>
      </c>
      <c r="E36" s="120">
        <f t="shared" si="28"/>
        <v>479</v>
      </c>
      <c r="F36" s="120">
        <f t="shared" si="28"/>
        <v>8810</v>
      </c>
      <c r="G36" s="120">
        <f t="shared" si="28"/>
        <v>372</v>
      </c>
      <c r="H36" s="120">
        <f t="shared" si="28"/>
        <v>49</v>
      </c>
      <c r="I36" s="120">
        <f t="shared" si="28"/>
        <v>0</v>
      </c>
      <c r="J36" s="120">
        <f>SUM(J5:J35)</f>
        <v>1</v>
      </c>
      <c r="K36" s="119">
        <f>SUM(K5:K35)</f>
        <v>1718</v>
      </c>
      <c r="L36" s="120">
        <f>SUM(L5:L35)</f>
        <v>387</v>
      </c>
      <c r="M36" s="120">
        <f t="shared" ref="M36:R36" si="29">SUM(M5:M35)</f>
        <v>1987</v>
      </c>
      <c r="N36" s="120">
        <f t="shared" si="29"/>
        <v>1249</v>
      </c>
      <c r="O36" s="120">
        <f t="shared" si="29"/>
        <v>501</v>
      </c>
      <c r="P36" s="120">
        <f t="shared" si="29"/>
        <v>291</v>
      </c>
      <c r="Q36" s="120">
        <f t="shared" si="29"/>
        <v>112</v>
      </c>
      <c r="R36" s="120">
        <f t="shared" si="29"/>
        <v>70</v>
      </c>
      <c r="S36" s="243">
        <f>SUM(S5:S32)</f>
        <v>0</v>
      </c>
      <c r="T36" s="119">
        <f>SUM(T5:T35)</f>
        <v>4074</v>
      </c>
      <c r="U36" s="120">
        <f>SUM(U5:U35)</f>
        <v>344</v>
      </c>
      <c r="V36" s="120">
        <f t="shared" ref="V36:Y36" si="30">SUM(V5:V35)</f>
        <v>0</v>
      </c>
      <c r="W36" s="120">
        <f t="shared" si="30"/>
        <v>106</v>
      </c>
      <c r="X36" s="120">
        <f t="shared" si="30"/>
        <v>3</v>
      </c>
      <c r="Y36" s="120">
        <f t="shared" si="30"/>
        <v>0</v>
      </c>
      <c r="Z36" s="121">
        <f t="shared" ref="Z36:AJ36" si="31">SUM(Z5:Z35)</f>
        <v>1154</v>
      </c>
      <c r="AA36" s="154">
        <f t="shared" si="31"/>
        <v>30</v>
      </c>
      <c r="AB36" s="154">
        <f t="shared" si="31"/>
        <v>0</v>
      </c>
      <c r="AC36" s="154">
        <f t="shared" si="31"/>
        <v>0</v>
      </c>
      <c r="AD36" s="154">
        <f t="shared" si="31"/>
        <v>0</v>
      </c>
      <c r="AE36" s="154">
        <f t="shared" si="31"/>
        <v>29</v>
      </c>
      <c r="AF36" s="154">
        <f t="shared" si="31"/>
        <v>0</v>
      </c>
      <c r="AG36" s="154">
        <f t="shared" si="31"/>
        <v>0</v>
      </c>
      <c r="AH36" s="154">
        <f t="shared" si="31"/>
        <v>12</v>
      </c>
      <c r="AI36" s="121">
        <f t="shared" si="31"/>
        <v>0</v>
      </c>
      <c r="AJ36" s="113">
        <f t="shared" si="31"/>
        <v>39021</v>
      </c>
      <c r="AK36" s="54"/>
      <c r="AL36" s="15">
        <f t="shared" ref="AL36:AS36" si="32">SUM(AL5:AL35)</f>
        <v>26971</v>
      </c>
      <c r="AM36" s="15">
        <f t="shared" si="32"/>
        <v>27917</v>
      </c>
      <c r="AN36" s="15">
        <f t="shared" si="32"/>
        <v>81352</v>
      </c>
      <c r="AO36" s="15">
        <f t="shared" si="32"/>
        <v>0</v>
      </c>
      <c r="AP36" s="15">
        <f t="shared" si="32"/>
        <v>1104</v>
      </c>
      <c r="AQ36" s="15">
        <f t="shared" si="32"/>
        <v>27</v>
      </c>
      <c r="AR36" s="15">
        <f>SUM(AR5:AR35)</f>
        <v>0</v>
      </c>
      <c r="AS36" s="15">
        <f t="shared" si="32"/>
        <v>42</v>
      </c>
      <c r="AU36" s="15">
        <f t="shared" ref="AU36:AZ36" si="33">SUM(AU5:AU35)</f>
        <v>12473</v>
      </c>
      <c r="AV36" s="15">
        <f t="shared" si="33"/>
        <v>25382</v>
      </c>
      <c r="AW36" s="15">
        <f t="shared" si="33"/>
        <v>12</v>
      </c>
      <c r="AX36" s="15">
        <f t="shared" si="33"/>
        <v>1154</v>
      </c>
      <c r="AY36" s="15">
        <f t="shared" si="33"/>
        <v>0</v>
      </c>
      <c r="AZ36" s="15">
        <f t="shared" si="33"/>
        <v>0</v>
      </c>
      <c r="BB36" s="15">
        <f t="shared" ref="BB36:BK36" si="34">SUM(BB5:BB35)</f>
        <v>19378</v>
      </c>
      <c r="BC36" s="15">
        <f t="shared" si="34"/>
        <v>12537</v>
      </c>
      <c r="BD36" s="15">
        <f t="shared" si="34"/>
        <v>1213</v>
      </c>
      <c r="BE36" s="15">
        <f t="shared" si="34"/>
        <v>183</v>
      </c>
      <c r="BF36" s="15">
        <f t="shared" si="34"/>
        <v>0</v>
      </c>
      <c r="BG36" s="15">
        <f t="shared" si="34"/>
        <v>0</v>
      </c>
      <c r="BH36" s="15">
        <f t="shared" si="34"/>
        <v>4447</v>
      </c>
      <c r="BI36" s="15">
        <f t="shared" si="34"/>
        <v>106</v>
      </c>
      <c r="BJ36" s="15">
        <f t="shared" si="34"/>
        <v>1157</v>
      </c>
      <c r="BK36" s="15">
        <f t="shared" si="34"/>
        <v>0</v>
      </c>
      <c r="BM36" s="15">
        <f>SUM(BM5:BM35)</f>
        <v>422</v>
      </c>
      <c r="BN36" s="15">
        <f>SUM(BN5:BN35)</f>
        <v>27</v>
      </c>
      <c r="BO36" s="15"/>
    </row>
    <row r="37" spans="1:67" ht="18" customHeight="1">
      <c r="A37" s="29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L37" s="265" t="s">
        <v>178</v>
      </c>
      <c r="AM37" s="33"/>
      <c r="AN37" s="33"/>
      <c r="AO37" s="33"/>
      <c r="AP37" s="33"/>
      <c r="AQ37" s="33"/>
      <c r="AR37" s="33"/>
    </row>
    <row r="38" spans="1:67" ht="15" customHeight="1">
      <c r="A38" s="31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29"/>
      <c r="AA38" s="33"/>
      <c r="AB38" s="32"/>
      <c r="AC38" s="33"/>
      <c r="AD38" s="33"/>
      <c r="AE38" s="33"/>
      <c r="AF38" s="29"/>
      <c r="AG38" s="29"/>
      <c r="AH38" s="29"/>
      <c r="AI38" s="29"/>
      <c r="AJ38" s="29"/>
      <c r="AL38" s="265" t="s">
        <v>179</v>
      </c>
    </row>
    <row r="39" spans="1:67" ht="25.5" customHeight="1">
      <c r="A39" s="31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29"/>
      <c r="AA39" s="33"/>
      <c r="AB39" s="33"/>
      <c r="AC39" s="33"/>
      <c r="AD39" s="33"/>
      <c r="AE39" s="33"/>
      <c r="AF39" s="29"/>
      <c r="AG39" s="29"/>
      <c r="AH39" s="29"/>
      <c r="AI39" s="29"/>
      <c r="AJ39" s="29"/>
    </row>
    <row r="40" spans="1:67" ht="25.5" customHeight="1">
      <c r="A40" s="31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L40" s="33"/>
      <c r="AM40" s="33"/>
      <c r="AN40" s="33"/>
      <c r="AO40" s="33"/>
      <c r="AP40" s="33"/>
      <c r="AQ40" s="33"/>
      <c r="AR40" s="33"/>
    </row>
    <row r="41" spans="1:67" ht="25.5" customHeight="1">
      <c r="A41" s="31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L41" s="33"/>
      <c r="AM41" s="33"/>
      <c r="AN41" s="33"/>
      <c r="AO41" s="33"/>
      <c r="AP41" s="33"/>
      <c r="AQ41" s="33"/>
      <c r="AR41" s="33"/>
    </row>
    <row r="42" spans="1:67" ht="25.5" customHeight="1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L42" s="33"/>
      <c r="AM42" s="33"/>
      <c r="AN42" s="33"/>
      <c r="AO42" s="33"/>
      <c r="AP42" s="33"/>
      <c r="AQ42" s="33"/>
      <c r="AR42" s="33"/>
    </row>
    <row r="43" spans="1:67" ht="25.5" customHeight="1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L43" s="33"/>
      <c r="AM43" s="33"/>
      <c r="AN43" s="33"/>
      <c r="AO43" s="33"/>
      <c r="AP43" s="33"/>
      <c r="AQ43" s="33"/>
      <c r="AR43" s="33"/>
    </row>
    <row r="44" spans="1:67" ht="25.5" customHeight="1">
      <c r="A44" s="34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L44" s="33"/>
      <c r="AM44" s="33"/>
      <c r="AN44" s="33"/>
      <c r="AO44" s="33"/>
      <c r="AP44" s="33"/>
      <c r="AQ44" s="33"/>
      <c r="AR44" s="33"/>
    </row>
    <row r="45" spans="1:67" ht="25.5" customHeight="1">
      <c r="A45" s="34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L45" s="33"/>
      <c r="AM45" s="33"/>
      <c r="AN45" s="33"/>
      <c r="AO45" s="33"/>
      <c r="AP45" s="33"/>
      <c r="AQ45" s="33"/>
      <c r="AR45" s="33"/>
    </row>
    <row r="46" spans="1:67" ht="25.5" customHeight="1">
      <c r="A46" s="34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L46" s="33"/>
      <c r="AM46" s="33"/>
      <c r="AN46" s="33"/>
      <c r="AO46" s="33"/>
      <c r="AP46" s="33"/>
      <c r="AQ46" s="33"/>
      <c r="AR46" s="33"/>
    </row>
    <row r="47" spans="1:67" ht="25.5" customHeight="1">
      <c r="A47" s="34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L47" s="33"/>
      <c r="AM47" s="33"/>
      <c r="AN47" s="33"/>
      <c r="AO47" s="33"/>
      <c r="AP47" s="33"/>
      <c r="AQ47" s="33"/>
      <c r="AR47" s="33"/>
    </row>
    <row r="48" spans="1:67" ht="25.5" customHeight="1">
      <c r="A48" s="34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L48" s="33"/>
      <c r="AM48" s="33"/>
      <c r="AN48" s="33"/>
      <c r="AO48" s="33"/>
      <c r="AP48" s="33"/>
      <c r="AQ48" s="33"/>
      <c r="AR48" s="33"/>
    </row>
    <row r="49" spans="1:44" ht="25.5" customHeight="1">
      <c r="A49" s="34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L49" s="33"/>
      <c r="AM49" s="33"/>
      <c r="AN49" s="33"/>
      <c r="AO49" s="33"/>
      <c r="AP49" s="33"/>
      <c r="AQ49" s="33"/>
      <c r="AR49" s="33"/>
    </row>
    <row r="50" spans="1:44" ht="25.5" customHeight="1">
      <c r="A50" s="34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L50" s="33"/>
      <c r="AM50" s="33"/>
      <c r="AN50" s="33"/>
      <c r="AO50" s="33"/>
      <c r="AP50" s="33"/>
      <c r="AQ50" s="33"/>
      <c r="AR50" s="33"/>
    </row>
    <row r="51" spans="1:44" ht="25.5" customHeight="1">
      <c r="A51" s="34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L51" s="33"/>
      <c r="AM51" s="33"/>
      <c r="AN51" s="33"/>
      <c r="AO51" s="33"/>
      <c r="AP51" s="33"/>
      <c r="AQ51" s="33"/>
      <c r="AR51" s="33"/>
    </row>
    <row r="52" spans="1:44" ht="25.5" customHeight="1">
      <c r="A52" s="34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L52" s="33"/>
      <c r="AM52" s="33"/>
      <c r="AN52" s="33"/>
      <c r="AO52" s="33"/>
      <c r="AP52" s="33"/>
      <c r="AQ52" s="33"/>
      <c r="AR52" s="33"/>
    </row>
    <row r="53" spans="1:44" ht="25.5" customHeight="1">
      <c r="A53" s="34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L53" s="33"/>
      <c r="AM53" s="33"/>
      <c r="AN53" s="33"/>
      <c r="AO53" s="33"/>
      <c r="AP53" s="33"/>
      <c r="AQ53" s="33"/>
      <c r="AR53" s="33"/>
    </row>
    <row r="54" spans="1:44" ht="25.5" customHeight="1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L54" s="33"/>
      <c r="AM54" s="33"/>
      <c r="AN54" s="33"/>
      <c r="AO54" s="33"/>
      <c r="AP54" s="33"/>
      <c r="AQ54" s="33"/>
      <c r="AR54" s="33"/>
    </row>
    <row r="55" spans="1:44" ht="25.5" customHeight="1"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L55" s="33"/>
      <c r="AM55" s="33"/>
      <c r="AN55" s="33"/>
      <c r="AO55" s="33"/>
      <c r="AP55" s="33"/>
      <c r="AQ55" s="33"/>
      <c r="AR55" s="33"/>
    </row>
    <row r="56" spans="1:44" ht="25.5" customHeight="1"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L56" s="33"/>
      <c r="AM56" s="33"/>
      <c r="AN56" s="33"/>
      <c r="AO56" s="33"/>
      <c r="AP56" s="33"/>
      <c r="AQ56" s="33"/>
      <c r="AR56" s="33"/>
    </row>
    <row r="57" spans="1:44" ht="25.5" customHeight="1"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L57" s="33"/>
      <c r="AM57" s="33"/>
      <c r="AN57" s="33"/>
      <c r="AO57" s="33"/>
      <c r="AP57" s="33"/>
      <c r="AQ57" s="33"/>
      <c r="AR57" s="33"/>
    </row>
    <row r="58" spans="1:44" ht="25.5" customHeight="1"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L58" s="33"/>
      <c r="AM58" s="33"/>
      <c r="AN58" s="33"/>
      <c r="AO58" s="33"/>
      <c r="AP58" s="33"/>
      <c r="AQ58" s="33"/>
      <c r="AR58" s="33"/>
    </row>
    <row r="59" spans="1:44" ht="25.5" customHeight="1"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L59" s="33"/>
      <c r="AM59" s="33"/>
      <c r="AN59" s="33"/>
      <c r="AO59" s="33"/>
      <c r="AP59" s="33"/>
      <c r="AQ59" s="33"/>
      <c r="AR59" s="33"/>
    </row>
    <row r="60" spans="1:44" ht="25.5" customHeight="1"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L60" s="33"/>
      <c r="AM60" s="33"/>
      <c r="AN60" s="33"/>
      <c r="AO60" s="33"/>
      <c r="AP60" s="33"/>
      <c r="AQ60" s="33"/>
      <c r="AR60" s="33"/>
    </row>
    <row r="61" spans="1:44" ht="25.5" customHeight="1"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L61" s="33"/>
      <c r="AM61" s="33"/>
      <c r="AN61" s="33"/>
      <c r="AO61" s="33"/>
      <c r="AP61" s="33"/>
      <c r="AQ61" s="33"/>
      <c r="AR61" s="33"/>
    </row>
    <row r="62" spans="1:44" ht="25.5" customHeight="1"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L62" s="33"/>
      <c r="AM62" s="33"/>
      <c r="AN62" s="33"/>
      <c r="AO62" s="33"/>
      <c r="AP62" s="33"/>
      <c r="AQ62" s="33"/>
      <c r="AR62" s="33"/>
    </row>
    <row r="63" spans="1:44" ht="25.5" customHeight="1"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L63" s="33"/>
      <c r="AM63" s="33"/>
      <c r="AN63" s="33"/>
      <c r="AO63" s="33"/>
      <c r="AP63" s="33"/>
      <c r="AQ63" s="33"/>
      <c r="AR63" s="33"/>
    </row>
    <row r="64" spans="1:44" ht="25.5" customHeight="1"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L64" s="33"/>
      <c r="AM64" s="33"/>
      <c r="AN64" s="33"/>
      <c r="AO64" s="33"/>
      <c r="AP64" s="33"/>
      <c r="AQ64" s="33"/>
      <c r="AR64" s="33"/>
    </row>
    <row r="65" spans="2:44" ht="25.5" customHeight="1"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L65" s="33"/>
      <c r="AM65" s="33"/>
      <c r="AN65" s="33"/>
      <c r="AO65" s="33"/>
      <c r="AP65" s="33"/>
      <c r="AQ65" s="33"/>
      <c r="AR65" s="33"/>
    </row>
    <row r="66" spans="2:44" ht="25.5" customHeight="1"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L66" s="33"/>
      <c r="AM66" s="33"/>
      <c r="AN66" s="33"/>
      <c r="AO66" s="33"/>
      <c r="AP66" s="33"/>
      <c r="AQ66" s="33"/>
      <c r="AR66" s="33"/>
    </row>
    <row r="67" spans="2:44" ht="25.5" customHeight="1"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L67" s="33"/>
      <c r="AM67" s="33"/>
      <c r="AN67" s="33"/>
      <c r="AO67" s="33"/>
      <c r="AP67" s="33"/>
      <c r="AQ67" s="33"/>
      <c r="AR67" s="33"/>
    </row>
    <row r="68" spans="2:44" ht="25.5" customHeight="1"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L68" s="33"/>
      <c r="AM68" s="33"/>
      <c r="AN68" s="33"/>
      <c r="AO68" s="33"/>
      <c r="AP68" s="33"/>
      <c r="AQ68" s="33"/>
      <c r="AR68" s="33"/>
    </row>
    <row r="69" spans="2:44" ht="25.5" customHeight="1"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L69" s="33"/>
      <c r="AM69" s="33"/>
      <c r="AN69" s="33"/>
      <c r="AO69" s="33"/>
      <c r="AP69" s="33"/>
      <c r="AQ69" s="33"/>
      <c r="AR69" s="33"/>
    </row>
    <row r="70" spans="2:44" ht="25.5" customHeight="1"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L70" s="33"/>
      <c r="AM70" s="33"/>
      <c r="AN70" s="33"/>
      <c r="AO70" s="33"/>
      <c r="AP70" s="33"/>
      <c r="AQ70" s="33"/>
      <c r="AR70" s="33"/>
    </row>
    <row r="71" spans="2:44" ht="25.5" customHeight="1"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L71" s="33"/>
      <c r="AM71" s="33"/>
      <c r="AN71" s="33"/>
      <c r="AO71" s="33"/>
      <c r="AP71" s="33"/>
      <c r="AQ71" s="33"/>
      <c r="AR71" s="33"/>
    </row>
    <row r="72" spans="2:44" ht="25.5" customHeight="1"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L72" s="33"/>
      <c r="AM72" s="33"/>
      <c r="AN72" s="33"/>
      <c r="AO72" s="33"/>
      <c r="AP72" s="33"/>
      <c r="AQ72" s="33"/>
      <c r="AR72" s="33"/>
    </row>
    <row r="73" spans="2:44" ht="25.5" customHeight="1"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L73" s="33"/>
      <c r="AM73" s="33"/>
      <c r="AN73" s="33"/>
      <c r="AO73" s="33"/>
      <c r="AP73" s="33"/>
      <c r="AQ73" s="33"/>
      <c r="AR73" s="33"/>
    </row>
    <row r="74" spans="2:44" ht="25.5" customHeight="1"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L74" s="33"/>
      <c r="AM74" s="33"/>
      <c r="AN74" s="33"/>
      <c r="AO74" s="33"/>
      <c r="AP74" s="33"/>
      <c r="AQ74" s="33"/>
      <c r="AR74" s="33"/>
    </row>
    <row r="75" spans="2:44" ht="25.5" customHeight="1"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L75" s="33"/>
      <c r="AM75" s="33"/>
      <c r="AN75" s="33"/>
      <c r="AO75" s="33"/>
      <c r="AP75" s="33"/>
      <c r="AQ75" s="33"/>
      <c r="AR75" s="33"/>
    </row>
    <row r="76" spans="2:44" ht="25.5" customHeight="1"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L76" s="33"/>
      <c r="AM76" s="33"/>
      <c r="AN76" s="33"/>
      <c r="AO76" s="33"/>
      <c r="AP76" s="33"/>
      <c r="AQ76" s="33"/>
      <c r="AR76" s="33"/>
    </row>
    <row r="77" spans="2:44" ht="25.5" customHeight="1"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L77" s="33"/>
      <c r="AM77" s="33"/>
      <c r="AN77" s="33"/>
      <c r="AO77" s="33"/>
      <c r="AP77" s="33"/>
      <c r="AQ77" s="33"/>
      <c r="AR77" s="33"/>
    </row>
    <row r="78" spans="2:44" ht="25.5" customHeight="1"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L78" s="33"/>
      <c r="AM78" s="33"/>
      <c r="AN78" s="33"/>
      <c r="AO78" s="33"/>
      <c r="AP78" s="33"/>
      <c r="AQ78" s="33"/>
      <c r="AR78" s="33"/>
    </row>
    <row r="79" spans="2:44" ht="25.5" customHeight="1"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L79" s="33"/>
      <c r="AM79" s="33"/>
      <c r="AN79" s="33"/>
      <c r="AO79" s="33"/>
      <c r="AP79" s="33"/>
      <c r="AQ79" s="33"/>
      <c r="AR79" s="33"/>
    </row>
    <row r="80" spans="2:44" ht="25.5" customHeight="1"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L80" s="33"/>
      <c r="AM80" s="33"/>
      <c r="AN80" s="33"/>
      <c r="AO80" s="33"/>
      <c r="AP80" s="33"/>
      <c r="AQ80" s="33"/>
      <c r="AR80" s="33"/>
    </row>
    <row r="81" spans="2:44" ht="25.5" customHeight="1"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L81" s="33"/>
      <c r="AM81" s="33"/>
      <c r="AN81" s="33"/>
      <c r="AO81" s="33"/>
      <c r="AP81" s="33"/>
      <c r="AQ81" s="33"/>
      <c r="AR81" s="33"/>
    </row>
    <row r="82" spans="2:44" ht="25.5" customHeight="1"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L82" s="33"/>
      <c r="AM82" s="33"/>
      <c r="AN82" s="33"/>
      <c r="AO82" s="33"/>
      <c r="AP82" s="33"/>
      <c r="AQ82" s="33"/>
      <c r="AR82" s="33"/>
    </row>
    <row r="83" spans="2:44" ht="25.5" customHeight="1"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L83" s="33"/>
      <c r="AM83" s="33"/>
      <c r="AN83" s="33"/>
      <c r="AO83" s="33"/>
      <c r="AP83" s="33"/>
      <c r="AQ83" s="33"/>
      <c r="AR83" s="33"/>
    </row>
    <row r="84" spans="2:44" ht="25.5" customHeight="1"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L84" s="33"/>
      <c r="AM84" s="33"/>
      <c r="AN84" s="33"/>
      <c r="AO84" s="33"/>
      <c r="AP84" s="33"/>
      <c r="AQ84" s="33"/>
      <c r="AR84" s="33"/>
    </row>
    <row r="85" spans="2:44" ht="25.5" customHeight="1"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L85" s="33"/>
      <c r="AM85" s="33"/>
      <c r="AN85" s="33"/>
      <c r="AO85" s="33"/>
      <c r="AP85" s="33"/>
      <c r="AQ85" s="33"/>
      <c r="AR85" s="33"/>
    </row>
    <row r="86" spans="2:44" ht="25.5" customHeight="1"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L86" s="33"/>
      <c r="AM86" s="33"/>
      <c r="AN86" s="33"/>
      <c r="AO86" s="33"/>
      <c r="AP86" s="33"/>
      <c r="AQ86" s="33"/>
      <c r="AR86" s="33"/>
    </row>
    <row r="87" spans="2:44" ht="25.5" customHeight="1"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L87" s="33"/>
      <c r="AM87" s="33"/>
      <c r="AN87" s="33"/>
      <c r="AO87" s="33"/>
      <c r="AP87" s="33"/>
      <c r="AQ87" s="33"/>
      <c r="AR87" s="33"/>
    </row>
    <row r="88" spans="2:44" ht="25.5" customHeight="1"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L88" s="33"/>
      <c r="AM88" s="33"/>
      <c r="AN88" s="33"/>
      <c r="AO88" s="33"/>
      <c r="AP88" s="33"/>
      <c r="AQ88" s="33"/>
      <c r="AR88" s="33"/>
    </row>
    <row r="89" spans="2:44" ht="25.5" customHeight="1"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L89" s="33"/>
      <c r="AM89" s="33"/>
      <c r="AN89" s="33"/>
      <c r="AO89" s="33"/>
      <c r="AP89" s="33"/>
      <c r="AQ89" s="33"/>
      <c r="AR89" s="33"/>
    </row>
    <row r="90" spans="2:44" ht="25.5" customHeight="1"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L90" s="33"/>
      <c r="AM90" s="33"/>
      <c r="AN90" s="33"/>
      <c r="AO90" s="33"/>
      <c r="AP90" s="33"/>
      <c r="AQ90" s="33"/>
      <c r="AR90" s="33"/>
    </row>
    <row r="91" spans="2:44" ht="25.5" customHeight="1"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L91" s="33"/>
      <c r="AM91" s="33"/>
      <c r="AN91" s="33"/>
      <c r="AO91" s="33"/>
      <c r="AP91" s="33"/>
      <c r="AQ91" s="33"/>
      <c r="AR91" s="33"/>
    </row>
    <row r="92" spans="2:44" ht="25.5" customHeight="1"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L92" s="33"/>
      <c r="AM92" s="33"/>
      <c r="AN92" s="33"/>
      <c r="AO92" s="33"/>
      <c r="AP92" s="33"/>
      <c r="AQ92" s="33"/>
      <c r="AR92" s="33"/>
    </row>
    <row r="93" spans="2:44" ht="25.5" customHeight="1"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L93" s="33"/>
      <c r="AM93" s="33"/>
      <c r="AN93" s="33"/>
      <c r="AO93" s="33"/>
      <c r="AP93" s="33"/>
      <c r="AQ93" s="33"/>
      <c r="AR93" s="33"/>
    </row>
    <row r="94" spans="2:44" ht="25.5" customHeight="1"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L94" s="33"/>
      <c r="AM94" s="33"/>
      <c r="AN94" s="33"/>
      <c r="AO94" s="33"/>
      <c r="AP94" s="33"/>
      <c r="AQ94" s="33"/>
      <c r="AR94" s="33"/>
    </row>
    <row r="95" spans="2:44" ht="25.5" customHeight="1"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L95" s="33"/>
      <c r="AM95" s="33"/>
      <c r="AN95" s="33"/>
      <c r="AO95" s="33"/>
      <c r="AP95" s="33"/>
      <c r="AQ95" s="33"/>
      <c r="AR95" s="33"/>
    </row>
    <row r="96" spans="2:44" ht="25.5" customHeight="1"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L96" s="33"/>
      <c r="AM96" s="33"/>
      <c r="AN96" s="33"/>
      <c r="AO96" s="33"/>
      <c r="AP96" s="33"/>
      <c r="AQ96" s="33"/>
      <c r="AR96" s="33"/>
    </row>
    <row r="97" spans="2:44" ht="25.5" customHeight="1"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L97" s="33"/>
      <c r="AM97" s="33"/>
      <c r="AN97" s="33"/>
      <c r="AO97" s="33"/>
      <c r="AP97" s="33"/>
      <c r="AQ97" s="33"/>
      <c r="AR97" s="33"/>
    </row>
    <row r="98" spans="2:44" ht="25.5" customHeight="1"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L98" s="33"/>
      <c r="AM98" s="33"/>
      <c r="AN98" s="33"/>
      <c r="AO98" s="33"/>
      <c r="AP98" s="33"/>
      <c r="AQ98" s="33"/>
      <c r="AR98" s="33"/>
    </row>
    <row r="99" spans="2:44" ht="25.5" customHeight="1"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L99" s="33"/>
      <c r="AM99" s="33"/>
      <c r="AN99" s="33"/>
      <c r="AO99" s="33"/>
      <c r="AP99" s="33"/>
      <c r="AQ99" s="33"/>
      <c r="AR99" s="33"/>
    </row>
    <row r="100" spans="2:44" ht="25.5" customHeight="1"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L100" s="33"/>
      <c r="AM100" s="33"/>
      <c r="AN100" s="33"/>
      <c r="AO100" s="33"/>
      <c r="AP100" s="33"/>
      <c r="AQ100" s="33"/>
      <c r="AR100" s="33"/>
    </row>
    <row r="101" spans="2:44" ht="25.5" customHeight="1"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L101" s="33"/>
      <c r="AM101" s="33"/>
      <c r="AN101" s="33"/>
      <c r="AO101" s="33"/>
      <c r="AP101" s="33"/>
      <c r="AQ101" s="33"/>
      <c r="AR101" s="33"/>
    </row>
    <row r="102" spans="2:44" ht="25.5" customHeight="1"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L102" s="33"/>
      <c r="AM102" s="33"/>
      <c r="AN102" s="33"/>
      <c r="AO102" s="33"/>
      <c r="AP102" s="33"/>
      <c r="AQ102" s="33"/>
      <c r="AR102" s="33"/>
    </row>
    <row r="103" spans="2:44" ht="25.5" customHeight="1"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L103" s="33"/>
      <c r="AM103" s="33"/>
      <c r="AN103" s="33"/>
      <c r="AO103" s="33"/>
      <c r="AP103" s="33"/>
      <c r="AQ103" s="33"/>
      <c r="AR103" s="33"/>
    </row>
    <row r="104" spans="2:44" ht="25.5" customHeight="1"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L104" s="33"/>
      <c r="AM104" s="33"/>
      <c r="AN104" s="33"/>
      <c r="AO104" s="33"/>
      <c r="AP104" s="33"/>
      <c r="AQ104" s="33"/>
      <c r="AR104" s="33"/>
    </row>
    <row r="105" spans="2:44" ht="25.5" customHeight="1"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L105" s="33"/>
      <c r="AM105" s="33"/>
      <c r="AN105" s="33"/>
      <c r="AO105" s="33"/>
      <c r="AP105" s="33"/>
      <c r="AQ105" s="33"/>
      <c r="AR105" s="33"/>
    </row>
    <row r="106" spans="2:44" ht="25.5" customHeight="1"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L106" s="33"/>
      <c r="AM106" s="33"/>
      <c r="AN106" s="33"/>
      <c r="AO106" s="33"/>
      <c r="AP106" s="33"/>
      <c r="AQ106" s="33"/>
      <c r="AR106" s="33"/>
    </row>
    <row r="107" spans="2:44" ht="25.5" customHeight="1"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L107" s="33"/>
      <c r="AM107" s="33"/>
      <c r="AN107" s="33"/>
      <c r="AO107" s="33"/>
      <c r="AP107" s="33"/>
      <c r="AQ107" s="33"/>
      <c r="AR107" s="33"/>
    </row>
    <row r="108" spans="2:44" ht="25.5" customHeight="1"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L108" s="33"/>
      <c r="AM108" s="33"/>
      <c r="AN108" s="33"/>
      <c r="AO108" s="33"/>
      <c r="AP108" s="33"/>
      <c r="AQ108" s="33"/>
      <c r="AR108" s="33"/>
    </row>
    <row r="109" spans="2:44" ht="25.5" customHeight="1"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L109" s="33"/>
      <c r="AM109" s="33"/>
      <c r="AN109" s="33"/>
      <c r="AO109" s="33"/>
      <c r="AP109" s="33"/>
      <c r="AQ109" s="33"/>
      <c r="AR109" s="33"/>
    </row>
    <row r="110" spans="2:44" ht="25.5" customHeight="1"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L110" s="33"/>
      <c r="AM110" s="33"/>
      <c r="AN110" s="33"/>
      <c r="AO110" s="33"/>
      <c r="AP110" s="33"/>
      <c r="AQ110" s="33"/>
      <c r="AR110" s="33"/>
    </row>
    <row r="111" spans="2:44" ht="25.5" customHeight="1"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L111" s="33"/>
      <c r="AM111" s="33"/>
      <c r="AN111" s="33"/>
      <c r="AO111" s="33"/>
      <c r="AP111" s="33"/>
      <c r="AQ111" s="33"/>
      <c r="AR111" s="33"/>
    </row>
    <row r="112" spans="2:44" ht="25.5" customHeight="1"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L112" s="33"/>
      <c r="AM112" s="33"/>
      <c r="AN112" s="33"/>
      <c r="AO112" s="33"/>
      <c r="AP112" s="33"/>
      <c r="AQ112" s="33"/>
      <c r="AR112" s="33"/>
    </row>
    <row r="113" spans="2:44" ht="25.5" customHeight="1"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L113" s="33"/>
      <c r="AM113" s="33"/>
      <c r="AN113" s="33"/>
      <c r="AO113" s="33"/>
      <c r="AP113" s="33"/>
      <c r="AQ113" s="33"/>
      <c r="AR113" s="33"/>
    </row>
    <row r="114" spans="2:44" ht="25.5" customHeight="1"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L114" s="33"/>
      <c r="AM114" s="33"/>
      <c r="AN114" s="33"/>
      <c r="AO114" s="33"/>
      <c r="AP114" s="33"/>
      <c r="AQ114" s="33"/>
      <c r="AR114" s="33"/>
    </row>
    <row r="115" spans="2:44" ht="25.5" customHeight="1"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L115" s="33"/>
      <c r="AM115" s="33"/>
      <c r="AN115" s="33"/>
      <c r="AO115" s="33"/>
      <c r="AP115" s="33"/>
      <c r="AQ115" s="33"/>
      <c r="AR115" s="33"/>
    </row>
    <row r="116" spans="2:44" ht="25.5" customHeight="1"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L116" s="33"/>
      <c r="AM116" s="33"/>
      <c r="AN116" s="33"/>
      <c r="AO116" s="33"/>
      <c r="AP116" s="33"/>
      <c r="AQ116" s="33"/>
      <c r="AR116" s="33"/>
    </row>
    <row r="117" spans="2:44" ht="25.5" customHeight="1"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L117" s="33"/>
      <c r="AM117" s="33"/>
      <c r="AN117" s="33"/>
      <c r="AO117" s="33"/>
      <c r="AP117" s="33"/>
      <c r="AQ117" s="33"/>
      <c r="AR117" s="33"/>
    </row>
    <row r="118" spans="2:44" ht="25.5" customHeight="1"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L118" s="33"/>
      <c r="AM118" s="33"/>
      <c r="AN118" s="33"/>
      <c r="AO118" s="33"/>
      <c r="AP118" s="33"/>
      <c r="AQ118" s="33"/>
      <c r="AR118" s="33"/>
    </row>
    <row r="119" spans="2:44" ht="25.5" customHeight="1"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L119" s="33"/>
      <c r="AM119" s="33"/>
      <c r="AN119" s="33"/>
      <c r="AO119" s="33"/>
      <c r="AP119" s="33"/>
      <c r="AQ119" s="33"/>
      <c r="AR119" s="33"/>
    </row>
    <row r="120" spans="2:44" ht="25.5" customHeight="1"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L120" s="33"/>
      <c r="AM120" s="33"/>
      <c r="AN120" s="33"/>
      <c r="AO120" s="33"/>
      <c r="AP120" s="33"/>
      <c r="AQ120" s="33"/>
      <c r="AR120" s="33"/>
    </row>
    <row r="121" spans="2:44" ht="25.5" customHeight="1"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L121" s="33"/>
      <c r="AM121" s="33"/>
      <c r="AN121" s="33"/>
      <c r="AO121" s="33"/>
      <c r="AP121" s="33"/>
      <c r="AQ121" s="33"/>
      <c r="AR121" s="33"/>
    </row>
    <row r="122" spans="2:44" ht="25.5" customHeight="1"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L122" s="33"/>
      <c r="AM122" s="33"/>
      <c r="AN122" s="33"/>
      <c r="AO122" s="33"/>
      <c r="AP122" s="33"/>
      <c r="AQ122" s="33"/>
      <c r="AR122" s="33"/>
    </row>
    <row r="123" spans="2:44" ht="25.5" customHeight="1"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L123" s="33"/>
      <c r="AM123" s="33"/>
      <c r="AN123" s="33"/>
      <c r="AO123" s="33"/>
      <c r="AP123" s="33"/>
      <c r="AQ123" s="33"/>
      <c r="AR123" s="33"/>
    </row>
    <row r="124" spans="2:44" ht="25.5" customHeight="1"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L124" s="33"/>
      <c r="AM124" s="33"/>
      <c r="AN124" s="33"/>
      <c r="AO124" s="33"/>
      <c r="AP124" s="33"/>
      <c r="AQ124" s="33"/>
      <c r="AR124" s="33"/>
    </row>
    <row r="125" spans="2:44" ht="25.5" customHeight="1"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L125" s="33"/>
      <c r="AM125" s="33"/>
      <c r="AN125" s="33"/>
      <c r="AO125" s="33"/>
      <c r="AP125" s="33"/>
      <c r="AQ125" s="33"/>
      <c r="AR125" s="33"/>
    </row>
    <row r="126" spans="2:44" ht="25.5" customHeight="1"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L126" s="33"/>
      <c r="AM126" s="33"/>
      <c r="AN126" s="33"/>
      <c r="AO126" s="33"/>
      <c r="AP126" s="33"/>
      <c r="AQ126" s="33"/>
      <c r="AR126" s="33"/>
    </row>
    <row r="127" spans="2:44" ht="25.5" customHeight="1"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L127" s="33"/>
      <c r="AM127" s="33"/>
      <c r="AN127" s="33"/>
      <c r="AO127" s="33"/>
      <c r="AP127" s="33"/>
      <c r="AQ127" s="33"/>
      <c r="AR127" s="33"/>
    </row>
    <row r="128" spans="2:44" ht="25.5" customHeight="1"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L128" s="33"/>
      <c r="AM128" s="33"/>
      <c r="AN128" s="33"/>
      <c r="AO128" s="33"/>
      <c r="AP128" s="33"/>
      <c r="AQ128" s="33"/>
      <c r="AR128" s="33"/>
    </row>
    <row r="129" spans="2:44" ht="25.5" customHeight="1"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L129" s="33"/>
      <c r="AM129" s="33"/>
      <c r="AN129" s="33"/>
      <c r="AO129" s="33"/>
      <c r="AP129" s="33"/>
      <c r="AQ129" s="33"/>
      <c r="AR129" s="33"/>
    </row>
    <row r="130" spans="2:44" ht="25.5" customHeight="1"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L130" s="33"/>
      <c r="AM130" s="33"/>
      <c r="AN130" s="33"/>
      <c r="AO130" s="33"/>
      <c r="AP130" s="33"/>
      <c r="AQ130" s="33"/>
      <c r="AR130" s="33"/>
    </row>
    <row r="131" spans="2:44" ht="25.5" customHeight="1"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L131" s="33"/>
      <c r="AM131" s="33"/>
      <c r="AN131" s="33"/>
      <c r="AO131" s="33"/>
      <c r="AP131" s="33"/>
      <c r="AQ131" s="33"/>
      <c r="AR131" s="33"/>
    </row>
    <row r="132" spans="2:44" ht="25.5" customHeight="1"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L132" s="33"/>
      <c r="AM132" s="33"/>
      <c r="AN132" s="33"/>
      <c r="AO132" s="33"/>
      <c r="AP132" s="33"/>
      <c r="AQ132" s="33"/>
      <c r="AR132" s="33"/>
    </row>
    <row r="133" spans="2:44" ht="25.5" customHeight="1"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L133" s="33"/>
      <c r="AM133" s="33"/>
      <c r="AN133" s="33"/>
      <c r="AO133" s="33"/>
      <c r="AP133" s="33"/>
      <c r="AQ133" s="33"/>
      <c r="AR133" s="33"/>
    </row>
    <row r="134" spans="2:44" ht="25.5" customHeight="1"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L134" s="33"/>
      <c r="AM134" s="33"/>
      <c r="AN134" s="33"/>
      <c r="AO134" s="33"/>
      <c r="AP134" s="33"/>
      <c r="AQ134" s="33"/>
      <c r="AR134" s="33"/>
    </row>
    <row r="135" spans="2:44" ht="25.5" customHeight="1"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L135" s="33"/>
      <c r="AM135" s="33"/>
      <c r="AN135" s="33"/>
      <c r="AO135" s="33"/>
      <c r="AP135" s="33"/>
      <c r="AQ135" s="33"/>
      <c r="AR135" s="33"/>
    </row>
    <row r="136" spans="2:44" ht="25.5" customHeight="1"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L136" s="33"/>
      <c r="AM136" s="33"/>
      <c r="AN136" s="33"/>
      <c r="AO136" s="33"/>
      <c r="AP136" s="33"/>
      <c r="AQ136" s="33"/>
      <c r="AR136" s="33"/>
    </row>
    <row r="137" spans="2:44" ht="25.5" customHeight="1"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L137" s="33"/>
      <c r="AM137" s="33"/>
      <c r="AN137" s="33"/>
      <c r="AO137" s="33"/>
      <c r="AP137" s="33"/>
      <c r="AQ137" s="33"/>
      <c r="AR137" s="33"/>
    </row>
    <row r="138" spans="2:44" ht="25.5" customHeight="1"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L138" s="33"/>
      <c r="AM138" s="33"/>
      <c r="AN138" s="33"/>
      <c r="AO138" s="33"/>
      <c r="AP138" s="33"/>
      <c r="AQ138" s="33"/>
      <c r="AR138" s="33"/>
    </row>
    <row r="139" spans="2:44" ht="25.5" customHeight="1"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L139" s="33"/>
      <c r="AM139" s="33"/>
      <c r="AN139" s="33"/>
      <c r="AO139" s="33"/>
      <c r="AP139" s="33"/>
      <c r="AQ139" s="33"/>
      <c r="AR139" s="33"/>
    </row>
    <row r="140" spans="2:44" ht="25.5" customHeight="1"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L140" s="33"/>
      <c r="AM140" s="33"/>
      <c r="AN140" s="33"/>
      <c r="AO140" s="33"/>
      <c r="AP140" s="33"/>
      <c r="AQ140" s="33"/>
      <c r="AR140" s="33"/>
    </row>
    <row r="141" spans="2:44" ht="25.5" customHeight="1"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L141" s="33"/>
      <c r="AM141" s="33"/>
      <c r="AN141" s="33"/>
      <c r="AO141" s="33"/>
      <c r="AP141" s="33"/>
      <c r="AQ141" s="33"/>
      <c r="AR141" s="33"/>
    </row>
    <row r="142" spans="2:44" ht="25.5" customHeight="1"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L142" s="33"/>
      <c r="AM142" s="33"/>
      <c r="AN142" s="33"/>
      <c r="AO142" s="33"/>
      <c r="AP142" s="33"/>
      <c r="AQ142" s="33"/>
      <c r="AR142" s="33"/>
    </row>
    <row r="143" spans="2:44" ht="25.5" customHeight="1"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L143" s="33"/>
      <c r="AM143" s="33"/>
      <c r="AN143" s="33"/>
      <c r="AO143" s="33"/>
      <c r="AP143" s="33"/>
      <c r="AQ143" s="33"/>
      <c r="AR143" s="33"/>
    </row>
    <row r="144" spans="2:44" ht="25.5" customHeight="1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L144" s="33"/>
      <c r="AM144" s="33"/>
      <c r="AN144" s="33"/>
      <c r="AO144" s="33"/>
      <c r="AP144" s="33"/>
      <c r="AQ144" s="33"/>
      <c r="AR144" s="33"/>
    </row>
    <row r="145" spans="2:44" ht="25.5" customHeight="1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L145" s="33"/>
      <c r="AM145" s="33"/>
      <c r="AN145" s="33"/>
      <c r="AO145" s="33"/>
      <c r="AP145" s="33"/>
      <c r="AQ145" s="33"/>
      <c r="AR145" s="33"/>
    </row>
    <row r="146" spans="2:44" ht="25.5" customHeight="1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L146" s="33"/>
      <c r="AM146" s="33"/>
      <c r="AN146" s="33"/>
      <c r="AO146" s="33"/>
      <c r="AP146" s="33"/>
      <c r="AQ146" s="33"/>
      <c r="AR146" s="33"/>
    </row>
    <row r="147" spans="2:44" ht="25.5" customHeight="1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L147" s="33"/>
      <c r="AM147" s="33"/>
      <c r="AN147" s="33"/>
      <c r="AO147" s="33"/>
      <c r="AP147" s="33"/>
      <c r="AQ147" s="33"/>
      <c r="AR147" s="33"/>
    </row>
    <row r="148" spans="2:44" ht="25.5" customHeight="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L148" s="33"/>
      <c r="AM148" s="33"/>
      <c r="AN148" s="33"/>
      <c r="AO148" s="33"/>
      <c r="AP148" s="33"/>
      <c r="AQ148" s="33"/>
      <c r="AR148" s="33"/>
    </row>
    <row r="149" spans="2:44" ht="25.5" customHeight="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L149" s="33"/>
      <c r="AM149" s="33"/>
      <c r="AN149" s="33"/>
      <c r="AO149" s="33"/>
      <c r="AP149" s="33"/>
      <c r="AQ149" s="33"/>
      <c r="AR149" s="33"/>
    </row>
    <row r="150" spans="2:44" ht="25.5" customHeight="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L150" s="33"/>
      <c r="AM150" s="33"/>
      <c r="AN150" s="33"/>
      <c r="AO150" s="33"/>
      <c r="AP150" s="33"/>
      <c r="AQ150" s="33"/>
      <c r="AR150" s="33"/>
    </row>
    <row r="151" spans="2:44" ht="25.5" customHeight="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L151" s="33"/>
      <c r="AM151" s="33"/>
      <c r="AN151" s="33"/>
      <c r="AO151" s="33"/>
      <c r="AP151" s="33"/>
      <c r="AQ151" s="33"/>
      <c r="AR151" s="33"/>
    </row>
    <row r="152" spans="2:44" ht="25.5" customHeight="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L152" s="33"/>
      <c r="AM152" s="33"/>
      <c r="AN152" s="33"/>
      <c r="AO152" s="33"/>
      <c r="AP152" s="33"/>
      <c r="AQ152" s="33"/>
      <c r="AR152" s="33"/>
    </row>
    <row r="153" spans="2:44" ht="25.5" customHeight="1"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L153" s="33"/>
      <c r="AM153" s="33"/>
      <c r="AN153" s="33"/>
      <c r="AO153" s="33"/>
      <c r="AP153" s="33"/>
      <c r="AQ153" s="33"/>
      <c r="AR153" s="33"/>
    </row>
    <row r="154" spans="2:44" ht="25.5" customHeight="1"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L154" s="33"/>
      <c r="AM154" s="33"/>
      <c r="AN154" s="33"/>
      <c r="AO154" s="33"/>
      <c r="AP154" s="33"/>
      <c r="AQ154" s="33"/>
      <c r="AR154" s="33"/>
    </row>
    <row r="155" spans="2:44" ht="25.5" customHeight="1"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L155" s="33"/>
      <c r="AM155" s="33"/>
      <c r="AN155" s="33"/>
      <c r="AO155" s="33"/>
      <c r="AP155" s="33"/>
      <c r="AQ155" s="33"/>
      <c r="AR155" s="33"/>
    </row>
    <row r="156" spans="2:44" ht="25.5" customHeight="1"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L156" s="33"/>
      <c r="AM156" s="33"/>
      <c r="AN156" s="33"/>
      <c r="AO156" s="33"/>
      <c r="AP156" s="33"/>
      <c r="AQ156" s="33"/>
      <c r="AR156" s="33"/>
    </row>
    <row r="157" spans="2:44" ht="25.5" customHeight="1"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L157" s="33"/>
      <c r="AM157" s="33"/>
      <c r="AN157" s="33"/>
      <c r="AO157" s="33"/>
      <c r="AP157" s="33"/>
      <c r="AQ157" s="33"/>
      <c r="AR157" s="33"/>
    </row>
    <row r="158" spans="2:44" ht="25.5" customHeight="1"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L158" s="33"/>
      <c r="AM158" s="33"/>
      <c r="AN158" s="33"/>
      <c r="AO158" s="33"/>
      <c r="AP158" s="33"/>
      <c r="AQ158" s="33"/>
      <c r="AR158" s="33"/>
    </row>
    <row r="159" spans="2:44" ht="25.5" customHeight="1"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L159" s="33"/>
      <c r="AM159" s="33"/>
      <c r="AN159" s="33"/>
      <c r="AO159" s="33"/>
      <c r="AP159" s="33"/>
      <c r="AQ159" s="33"/>
      <c r="AR159" s="33"/>
    </row>
    <row r="160" spans="2:44" ht="25.5" customHeight="1"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L160" s="33"/>
      <c r="AM160" s="33"/>
      <c r="AN160" s="33"/>
      <c r="AO160" s="33"/>
      <c r="AP160" s="33"/>
      <c r="AQ160" s="33"/>
      <c r="AR160" s="33"/>
    </row>
    <row r="161" spans="2:44" ht="25.5" customHeight="1"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L161" s="33"/>
      <c r="AM161" s="33"/>
      <c r="AN161" s="33"/>
      <c r="AO161" s="33"/>
      <c r="AP161" s="33"/>
      <c r="AQ161" s="33"/>
      <c r="AR161" s="33"/>
    </row>
    <row r="162" spans="2:44" ht="25.5" customHeight="1"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L162" s="33"/>
      <c r="AM162" s="33"/>
      <c r="AN162" s="33"/>
      <c r="AO162" s="33"/>
      <c r="AP162" s="33"/>
      <c r="AQ162" s="33"/>
      <c r="AR162" s="33"/>
    </row>
    <row r="163" spans="2:44" ht="25.5" customHeight="1"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L163" s="33"/>
      <c r="AM163" s="33"/>
      <c r="AN163" s="33"/>
      <c r="AO163" s="33"/>
      <c r="AP163" s="33"/>
      <c r="AQ163" s="33"/>
      <c r="AR163" s="33"/>
    </row>
    <row r="164" spans="2:44" ht="25.5" customHeight="1"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L164" s="33"/>
      <c r="AM164" s="33"/>
      <c r="AN164" s="33"/>
      <c r="AO164" s="33"/>
      <c r="AP164" s="33"/>
      <c r="AQ164" s="33"/>
      <c r="AR164" s="33"/>
    </row>
    <row r="165" spans="2:44" ht="25.5" customHeight="1"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L165" s="33"/>
      <c r="AM165" s="33"/>
      <c r="AN165" s="33"/>
      <c r="AO165" s="33"/>
      <c r="AP165" s="33"/>
      <c r="AQ165" s="33"/>
      <c r="AR165" s="33"/>
    </row>
    <row r="166" spans="2:44" ht="25.5" customHeight="1"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L166" s="33"/>
      <c r="AM166" s="33"/>
      <c r="AN166" s="33"/>
      <c r="AO166" s="33"/>
      <c r="AP166" s="33"/>
      <c r="AQ166" s="33"/>
      <c r="AR166" s="33"/>
    </row>
    <row r="167" spans="2:44" ht="25.5" customHeight="1"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L167" s="33"/>
      <c r="AM167" s="33"/>
      <c r="AN167" s="33"/>
      <c r="AO167" s="33"/>
      <c r="AP167" s="33"/>
      <c r="AQ167" s="33"/>
      <c r="AR167" s="33"/>
    </row>
    <row r="168" spans="2:44" ht="25.5" customHeight="1"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L168" s="33"/>
      <c r="AM168" s="33"/>
      <c r="AN168" s="33"/>
      <c r="AO168" s="33"/>
      <c r="AP168" s="33"/>
      <c r="AQ168" s="33"/>
      <c r="AR168" s="33"/>
    </row>
    <row r="169" spans="2:44" ht="25.5" customHeight="1"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L169" s="33"/>
      <c r="AM169" s="33"/>
      <c r="AN169" s="33"/>
      <c r="AO169" s="33"/>
      <c r="AP169" s="33"/>
      <c r="AQ169" s="33"/>
      <c r="AR169" s="33"/>
    </row>
    <row r="170" spans="2:44" ht="25.5" customHeight="1"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L170" s="33"/>
      <c r="AM170" s="33"/>
      <c r="AN170" s="33"/>
      <c r="AO170" s="33"/>
      <c r="AP170" s="33"/>
      <c r="AQ170" s="33"/>
      <c r="AR170" s="33"/>
    </row>
    <row r="171" spans="2:44" ht="25.5" customHeight="1"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L171" s="33"/>
      <c r="AM171" s="33"/>
      <c r="AN171" s="33"/>
      <c r="AO171" s="33"/>
      <c r="AP171" s="33"/>
      <c r="AQ171" s="33"/>
      <c r="AR171" s="33"/>
    </row>
    <row r="172" spans="2:44" ht="25.5" customHeight="1"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L172" s="33"/>
      <c r="AM172" s="33"/>
      <c r="AN172" s="33"/>
      <c r="AO172" s="33"/>
      <c r="AP172" s="33"/>
      <c r="AQ172" s="33"/>
      <c r="AR172" s="33"/>
    </row>
    <row r="173" spans="2:44" ht="25.5" customHeight="1"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L173" s="33"/>
      <c r="AM173" s="33"/>
      <c r="AN173" s="33"/>
      <c r="AO173" s="33"/>
      <c r="AP173" s="33"/>
      <c r="AQ173" s="33"/>
      <c r="AR173" s="33"/>
    </row>
    <row r="174" spans="2:44" ht="25.5" customHeight="1"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L174" s="33"/>
      <c r="AM174" s="33"/>
      <c r="AN174" s="33"/>
      <c r="AO174" s="33"/>
      <c r="AP174" s="33"/>
      <c r="AQ174" s="33"/>
      <c r="AR174" s="33"/>
    </row>
    <row r="175" spans="2:44" ht="25.5" customHeight="1"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L175" s="33"/>
      <c r="AM175" s="33"/>
      <c r="AN175" s="33"/>
      <c r="AO175" s="33"/>
      <c r="AP175" s="33"/>
      <c r="AQ175" s="33"/>
      <c r="AR175" s="33"/>
    </row>
    <row r="176" spans="2:44" ht="25.5" customHeight="1"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L176" s="33"/>
      <c r="AM176" s="33"/>
      <c r="AN176" s="33"/>
      <c r="AO176" s="33"/>
      <c r="AP176" s="33"/>
      <c r="AQ176" s="33"/>
      <c r="AR176" s="33"/>
    </row>
    <row r="177" spans="2:44" ht="25.5" customHeight="1"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L177" s="33"/>
      <c r="AM177" s="33"/>
      <c r="AN177" s="33"/>
      <c r="AO177" s="33"/>
      <c r="AP177" s="33"/>
      <c r="AQ177" s="33"/>
      <c r="AR177" s="33"/>
    </row>
    <row r="178" spans="2:44" ht="25.5" customHeight="1"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L178" s="33"/>
      <c r="AM178" s="33"/>
      <c r="AN178" s="33"/>
      <c r="AO178" s="33"/>
      <c r="AP178" s="33"/>
      <c r="AQ178" s="33"/>
      <c r="AR178" s="33"/>
    </row>
    <row r="179" spans="2:44" ht="25.5" customHeight="1"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L179" s="33"/>
      <c r="AM179" s="33"/>
      <c r="AN179" s="33"/>
      <c r="AO179" s="33"/>
      <c r="AP179" s="33"/>
      <c r="AQ179" s="33"/>
      <c r="AR179" s="33"/>
    </row>
    <row r="180" spans="2:44" ht="25.5" customHeight="1"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L180" s="33"/>
      <c r="AM180" s="33"/>
      <c r="AN180" s="33"/>
      <c r="AO180" s="33"/>
      <c r="AP180" s="33"/>
      <c r="AQ180" s="33"/>
      <c r="AR180" s="33"/>
    </row>
    <row r="181" spans="2:44" ht="25.5" customHeight="1"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L181" s="33"/>
      <c r="AM181" s="33"/>
      <c r="AN181" s="33"/>
      <c r="AO181" s="33"/>
      <c r="AP181" s="33"/>
      <c r="AQ181" s="33"/>
      <c r="AR181" s="33"/>
    </row>
    <row r="182" spans="2:44" ht="25.5" customHeight="1"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L182" s="33"/>
      <c r="AM182" s="33"/>
      <c r="AN182" s="33"/>
      <c r="AO182" s="33"/>
      <c r="AP182" s="33"/>
      <c r="AQ182" s="33"/>
      <c r="AR182" s="33"/>
    </row>
    <row r="183" spans="2:44" ht="25.5" customHeight="1"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L183" s="33"/>
      <c r="AM183" s="33"/>
      <c r="AN183" s="33"/>
      <c r="AO183" s="33"/>
      <c r="AP183" s="33"/>
      <c r="AQ183" s="33"/>
      <c r="AR183" s="33"/>
    </row>
    <row r="184" spans="2:44" ht="25.5" customHeight="1"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L184" s="33"/>
      <c r="AM184" s="33"/>
      <c r="AN184" s="33"/>
      <c r="AO184" s="33"/>
      <c r="AP184" s="33"/>
      <c r="AQ184" s="33"/>
      <c r="AR184" s="33"/>
    </row>
    <row r="185" spans="2:44" ht="25.5" customHeight="1"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L185" s="33"/>
      <c r="AM185" s="33"/>
      <c r="AN185" s="33"/>
      <c r="AO185" s="33"/>
      <c r="AP185" s="33"/>
      <c r="AQ185" s="33"/>
      <c r="AR185" s="33"/>
    </row>
    <row r="186" spans="2:44" ht="25.5" customHeight="1"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L186" s="33"/>
      <c r="AM186" s="33"/>
      <c r="AN186" s="33"/>
      <c r="AO186" s="33"/>
      <c r="AP186" s="33"/>
      <c r="AQ186" s="33"/>
      <c r="AR186" s="33"/>
    </row>
    <row r="187" spans="2:44" ht="25.5" customHeight="1"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L187" s="33"/>
      <c r="AM187" s="33"/>
      <c r="AN187" s="33"/>
      <c r="AO187" s="33"/>
      <c r="AP187" s="33"/>
      <c r="AQ187" s="33"/>
      <c r="AR187" s="33"/>
    </row>
    <row r="188" spans="2:44" ht="25.5" customHeight="1"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L188" s="33"/>
      <c r="AM188" s="33"/>
      <c r="AN188" s="33"/>
      <c r="AO188" s="33"/>
      <c r="AP188" s="33"/>
      <c r="AQ188" s="33"/>
      <c r="AR188" s="33"/>
    </row>
    <row r="189" spans="2:44" ht="25.5" customHeight="1"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L189" s="33"/>
      <c r="AM189" s="33"/>
      <c r="AN189" s="33"/>
      <c r="AO189" s="33"/>
      <c r="AP189" s="33"/>
      <c r="AQ189" s="33"/>
      <c r="AR189" s="33"/>
    </row>
    <row r="190" spans="2:44" ht="25.5" customHeight="1"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L190" s="33"/>
      <c r="AM190" s="33"/>
      <c r="AN190" s="33"/>
      <c r="AO190" s="33"/>
      <c r="AP190" s="33"/>
      <c r="AQ190" s="33"/>
      <c r="AR190" s="33"/>
    </row>
    <row r="191" spans="2:44" ht="25.5" customHeight="1"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L191" s="33"/>
      <c r="AM191" s="33"/>
      <c r="AN191" s="33"/>
      <c r="AO191" s="33"/>
      <c r="AP191" s="33"/>
      <c r="AQ191" s="33"/>
      <c r="AR191" s="33"/>
    </row>
    <row r="192" spans="2:44" ht="25.5" customHeight="1"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L192" s="33"/>
      <c r="AM192" s="33"/>
      <c r="AN192" s="33"/>
      <c r="AO192" s="33"/>
      <c r="AP192" s="33"/>
      <c r="AQ192" s="33"/>
      <c r="AR192" s="33"/>
    </row>
    <row r="193" spans="2:44" ht="25.5" customHeight="1"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L193" s="33"/>
      <c r="AM193" s="33"/>
      <c r="AN193" s="33"/>
      <c r="AO193" s="33"/>
      <c r="AP193" s="33"/>
      <c r="AQ193" s="33"/>
      <c r="AR193" s="33"/>
    </row>
    <row r="194" spans="2:44" ht="25.5" customHeight="1"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L194" s="33"/>
      <c r="AM194" s="33"/>
      <c r="AN194" s="33"/>
      <c r="AO194" s="33"/>
      <c r="AP194" s="33"/>
      <c r="AQ194" s="33"/>
      <c r="AR194" s="33"/>
    </row>
    <row r="195" spans="2:44" ht="25.5" customHeight="1"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L195" s="33"/>
      <c r="AM195" s="33"/>
      <c r="AN195" s="33"/>
      <c r="AO195" s="33"/>
      <c r="AP195" s="33"/>
      <c r="AQ195" s="33"/>
      <c r="AR195" s="33"/>
    </row>
    <row r="196" spans="2:44" ht="25.5" customHeight="1"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L196" s="33"/>
      <c r="AM196" s="33"/>
      <c r="AN196" s="33"/>
      <c r="AO196" s="33"/>
      <c r="AP196" s="33"/>
      <c r="AQ196" s="33"/>
      <c r="AR196" s="33"/>
    </row>
    <row r="197" spans="2:44" ht="25.5" customHeight="1"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L197" s="33"/>
      <c r="AM197" s="33"/>
      <c r="AN197" s="33"/>
      <c r="AO197" s="33"/>
      <c r="AP197" s="33"/>
      <c r="AQ197" s="33"/>
      <c r="AR197" s="33"/>
    </row>
    <row r="198" spans="2:44" ht="25.5" customHeight="1"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L198" s="33"/>
      <c r="AM198" s="33"/>
      <c r="AN198" s="33"/>
      <c r="AO198" s="33"/>
      <c r="AP198" s="33"/>
      <c r="AQ198" s="33"/>
      <c r="AR198" s="33"/>
    </row>
    <row r="199" spans="2:44" ht="25.5" customHeight="1"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L199" s="33"/>
      <c r="AM199" s="33"/>
      <c r="AN199" s="33"/>
      <c r="AO199" s="33"/>
      <c r="AP199" s="33"/>
      <c r="AQ199" s="33"/>
      <c r="AR199" s="33"/>
    </row>
    <row r="200" spans="2:44" ht="25.5" customHeight="1"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L200" s="33"/>
      <c r="AM200" s="33"/>
      <c r="AN200" s="33"/>
      <c r="AO200" s="33"/>
      <c r="AP200" s="33"/>
      <c r="AQ200" s="33"/>
      <c r="AR200" s="33"/>
    </row>
    <row r="201" spans="2:44" ht="25.5" customHeight="1"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L201" s="33"/>
      <c r="AM201" s="33"/>
      <c r="AN201" s="33"/>
      <c r="AO201" s="33"/>
      <c r="AP201" s="33"/>
      <c r="AQ201" s="33"/>
      <c r="AR201" s="33"/>
    </row>
    <row r="202" spans="2:44" ht="25.5" customHeight="1"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L202" s="33"/>
      <c r="AM202" s="33"/>
      <c r="AN202" s="33"/>
      <c r="AO202" s="33"/>
      <c r="AP202" s="33"/>
      <c r="AQ202" s="33"/>
      <c r="AR202" s="33"/>
    </row>
    <row r="203" spans="2:44" ht="25.5" customHeight="1"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L203" s="33"/>
      <c r="AM203" s="33"/>
      <c r="AN203" s="33"/>
      <c r="AO203" s="33"/>
      <c r="AP203" s="33"/>
      <c r="AQ203" s="33"/>
      <c r="AR203" s="33"/>
    </row>
    <row r="204" spans="2:44" ht="25.5" customHeight="1"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L204" s="33"/>
      <c r="AM204" s="33"/>
      <c r="AN204" s="33"/>
      <c r="AO204" s="33"/>
      <c r="AP204" s="33"/>
      <c r="AQ204" s="33"/>
      <c r="AR204" s="33"/>
    </row>
    <row r="205" spans="2:44" ht="25.5" customHeight="1"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L205" s="33"/>
      <c r="AM205" s="33"/>
      <c r="AN205" s="33"/>
      <c r="AO205" s="33"/>
      <c r="AP205" s="33"/>
      <c r="AQ205" s="33"/>
      <c r="AR205" s="33"/>
    </row>
    <row r="206" spans="2:44" ht="25.5" customHeight="1"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L206" s="33"/>
      <c r="AM206" s="33"/>
      <c r="AN206" s="33"/>
      <c r="AO206" s="33"/>
      <c r="AP206" s="33"/>
      <c r="AQ206" s="33"/>
      <c r="AR206" s="33"/>
    </row>
    <row r="207" spans="2:44" ht="25.5" customHeight="1"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L207" s="33"/>
      <c r="AM207" s="33"/>
      <c r="AN207" s="33"/>
      <c r="AO207" s="33"/>
      <c r="AP207" s="33"/>
      <c r="AQ207" s="33"/>
      <c r="AR207" s="33"/>
    </row>
    <row r="208" spans="2:44" ht="25.5" customHeight="1"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L208" s="33"/>
      <c r="AM208" s="33"/>
      <c r="AN208" s="33"/>
      <c r="AO208" s="33"/>
      <c r="AP208" s="33"/>
      <c r="AQ208" s="33"/>
      <c r="AR208" s="33"/>
    </row>
    <row r="209" spans="2:44" ht="25.5" customHeight="1"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L209" s="33"/>
      <c r="AM209" s="33"/>
      <c r="AN209" s="33"/>
      <c r="AO209" s="33"/>
      <c r="AP209" s="33"/>
      <c r="AQ209" s="33"/>
      <c r="AR209" s="33"/>
    </row>
    <row r="210" spans="2:44" ht="25.5" customHeight="1"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L210" s="33"/>
      <c r="AM210" s="33"/>
      <c r="AN210" s="33"/>
      <c r="AO210" s="33"/>
      <c r="AP210" s="33"/>
      <c r="AQ210" s="33"/>
      <c r="AR210" s="33"/>
    </row>
    <row r="211" spans="2:44" ht="25.5" customHeight="1"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L211" s="33"/>
      <c r="AM211" s="33"/>
      <c r="AN211" s="33"/>
      <c r="AO211" s="33"/>
      <c r="AP211" s="33"/>
      <c r="AQ211" s="33"/>
      <c r="AR211" s="33"/>
    </row>
    <row r="212" spans="2:44" ht="25.5" customHeight="1"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L212" s="33"/>
      <c r="AM212" s="33"/>
      <c r="AN212" s="33"/>
      <c r="AO212" s="33"/>
      <c r="AP212" s="33"/>
      <c r="AQ212" s="33"/>
      <c r="AR212" s="33"/>
    </row>
    <row r="213" spans="2:44" ht="25.5" customHeight="1"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L213" s="33"/>
      <c r="AM213" s="33"/>
      <c r="AN213" s="33"/>
      <c r="AO213" s="33"/>
      <c r="AP213" s="33"/>
      <c r="AQ213" s="33"/>
      <c r="AR213" s="33"/>
    </row>
    <row r="214" spans="2:44" ht="25.5" customHeight="1"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L214" s="33"/>
      <c r="AM214" s="33"/>
      <c r="AN214" s="33"/>
      <c r="AO214" s="33"/>
      <c r="AP214" s="33"/>
      <c r="AQ214" s="33"/>
      <c r="AR214" s="33"/>
    </row>
    <row r="215" spans="2:44" ht="25.5" customHeight="1"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L215" s="33"/>
      <c r="AM215" s="33"/>
      <c r="AN215" s="33"/>
      <c r="AO215" s="33"/>
      <c r="AP215" s="33"/>
      <c r="AQ215" s="33"/>
      <c r="AR215" s="33"/>
    </row>
    <row r="216" spans="2:44" ht="25.5" customHeight="1"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L216" s="33"/>
      <c r="AM216" s="33"/>
      <c r="AN216" s="33"/>
      <c r="AO216" s="33"/>
      <c r="AP216" s="33"/>
      <c r="AQ216" s="33"/>
      <c r="AR216" s="33"/>
    </row>
    <row r="217" spans="2:44" ht="25.5" customHeight="1"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L217" s="33"/>
      <c r="AM217" s="33"/>
      <c r="AN217" s="33"/>
      <c r="AO217" s="33"/>
      <c r="AP217" s="33"/>
      <c r="AQ217" s="33"/>
      <c r="AR217" s="33"/>
    </row>
    <row r="218" spans="2:44" ht="25.5" customHeight="1"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L218" s="33"/>
      <c r="AM218" s="33"/>
      <c r="AN218" s="33"/>
      <c r="AO218" s="33"/>
      <c r="AP218" s="33"/>
      <c r="AQ218" s="33"/>
      <c r="AR218" s="33"/>
    </row>
    <row r="219" spans="2:44" ht="25.5" customHeight="1"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L219" s="33"/>
      <c r="AM219" s="33"/>
      <c r="AN219" s="33"/>
      <c r="AO219" s="33"/>
      <c r="AP219" s="33"/>
      <c r="AQ219" s="33"/>
      <c r="AR219" s="33"/>
    </row>
    <row r="220" spans="2:44" ht="25.5" customHeight="1"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L220" s="33"/>
      <c r="AM220" s="33"/>
      <c r="AN220" s="33"/>
      <c r="AO220" s="33"/>
      <c r="AP220" s="33"/>
      <c r="AQ220" s="33"/>
      <c r="AR220" s="33"/>
    </row>
    <row r="221" spans="2:44" ht="25.5" customHeight="1"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L221" s="33"/>
      <c r="AM221" s="33"/>
      <c r="AN221" s="33"/>
      <c r="AO221" s="33"/>
      <c r="AP221" s="33"/>
      <c r="AQ221" s="33"/>
      <c r="AR221" s="33"/>
    </row>
    <row r="222" spans="2:44" ht="25.5" customHeight="1"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L222" s="33"/>
      <c r="AM222" s="33"/>
      <c r="AN222" s="33"/>
      <c r="AO222" s="33"/>
      <c r="AP222" s="33"/>
      <c r="AQ222" s="33"/>
      <c r="AR222" s="33"/>
    </row>
    <row r="223" spans="2:44" ht="25.5" customHeight="1"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L223" s="33"/>
      <c r="AM223" s="33"/>
      <c r="AN223" s="33"/>
      <c r="AO223" s="33"/>
      <c r="AP223" s="33"/>
      <c r="AQ223" s="33"/>
      <c r="AR223" s="33"/>
    </row>
    <row r="224" spans="2:44" ht="25.5" customHeight="1"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L224" s="33"/>
      <c r="AM224" s="33"/>
      <c r="AN224" s="33"/>
      <c r="AO224" s="33"/>
      <c r="AP224" s="33"/>
      <c r="AQ224" s="33"/>
      <c r="AR224" s="33"/>
    </row>
    <row r="225" spans="2:44" ht="25.5" customHeight="1"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L225" s="33"/>
      <c r="AM225" s="33"/>
      <c r="AN225" s="33"/>
      <c r="AO225" s="33"/>
      <c r="AP225" s="33"/>
      <c r="AQ225" s="33"/>
      <c r="AR225" s="33"/>
    </row>
    <row r="226" spans="2:44" ht="25.5" customHeight="1"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L226" s="33"/>
      <c r="AM226" s="33"/>
      <c r="AN226" s="33"/>
      <c r="AO226" s="33"/>
      <c r="AP226" s="33"/>
      <c r="AQ226" s="33"/>
      <c r="AR226" s="33"/>
    </row>
    <row r="227" spans="2:44" ht="25.5" customHeight="1"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L227" s="33"/>
      <c r="AM227" s="33"/>
      <c r="AN227" s="33"/>
      <c r="AO227" s="33"/>
      <c r="AP227" s="33"/>
      <c r="AQ227" s="33"/>
      <c r="AR227" s="33"/>
    </row>
    <row r="228" spans="2:44" ht="25.5" customHeight="1"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L228" s="33"/>
      <c r="AM228" s="33"/>
      <c r="AN228" s="33"/>
      <c r="AO228" s="33"/>
      <c r="AP228" s="33"/>
      <c r="AQ228" s="33"/>
      <c r="AR228" s="33"/>
    </row>
    <row r="229" spans="2:44" ht="25.5" customHeight="1"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L229" s="33"/>
      <c r="AM229" s="33"/>
      <c r="AN229" s="33"/>
      <c r="AO229" s="33"/>
      <c r="AP229" s="33"/>
      <c r="AQ229" s="33"/>
      <c r="AR229" s="33"/>
    </row>
    <row r="230" spans="2:44" ht="25.5" customHeight="1"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L230" s="33"/>
      <c r="AM230" s="33"/>
      <c r="AN230" s="33"/>
      <c r="AO230" s="33"/>
      <c r="AP230" s="33"/>
      <c r="AQ230" s="33"/>
      <c r="AR230" s="33"/>
    </row>
    <row r="231" spans="2:44" ht="25.5" customHeight="1"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L231" s="33"/>
      <c r="AM231" s="33"/>
      <c r="AN231" s="33"/>
      <c r="AO231" s="33"/>
      <c r="AP231" s="33"/>
      <c r="AQ231" s="33"/>
      <c r="AR231" s="33"/>
    </row>
    <row r="232" spans="2:44" ht="25.5" customHeight="1"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L232" s="33"/>
      <c r="AM232" s="33"/>
      <c r="AN232" s="33"/>
      <c r="AO232" s="33"/>
      <c r="AP232" s="33"/>
      <c r="AQ232" s="33"/>
      <c r="AR232" s="33"/>
    </row>
    <row r="233" spans="2:44" ht="25.5" customHeight="1"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L233" s="33"/>
      <c r="AM233" s="33"/>
      <c r="AN233" s="33"/>
      <c r="AO233" s="33"/>
      <c r="AP233" s="33"/>
      <c r="AQ233" s="33"/>
      <c r="AR233" s="33"/>
    </row>
    <row r="234" spans="2:44" ht="25.5" customHeight="1"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L234" s="33"/>
      <c r="AM234" s="33"/>
      <c r="AN234" s="33"/>
      <c r="AO234" s="33"/>
      <c r="AP234" s="33"/>
      <c r="AQ234" s="33"/>
      <c r="AR234" s="33"/>
    </row>
    <row r="235" spans="2:44" ht="25.5" customHeight="1"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L235" s="33"/>
      <c r="AM235" s="33"/>
      <c r="AN235" s="33"/>
      <c r="AO235" s="33"/>
      <c r="AP235" s="33"/>
      <c r="AQ235" s="33"/>
      <c r="AR235" s="33"/>
    </row>
    <row r="236" spans="2:44" ht="25.5" customHeight="1"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L236" s="33"/>
      <c r="AM236" s="33"/>
      <c r="AN236" s="33"/>
      <c r="AO236" s="33"/>
      <c r="AP236" s="33"/>
      <c r="AQ236" s="33"/>
      <c r="AR236" s="33"/>
    </row>
    <row r="237" spans="2:44" ht="25.5" customHeight="1"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L237" s="33"/>
      <c r="AM237" s="33"/>
      <c r="AN237" s="33"/>
      <c r="AO237" s="33"/>
      <c r="AP237" s="33"/>
      <c r="AQ237" s="33"/>
      <c r="AR237" s="33"/>
    </row>
    <row r="238" spans="2:44" ht="25.5" customHeight="1"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L238" s="33"/>
      <c r="AM238" s="33"/>
      <c r="AN238" s="33"/>
      <c r="AO238" s="33"/>
      <c r="AP238" s="33"/>
      <c r="AQ238" s="33"/>
      <c r="AR238" s="33"/>
    </row>
    <row r="239" spans="2:44" ht="25.5" customHeight="1"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L239" s="33"/>
      <c r="AM239" s="33"/>
      <c r="AN239" s="33"/>
      <c r="AO239" s="33"/>
      <c r="AP239" s="33"/>
      <c r="AQ239" s="33"/>
      <c r="AR239" s="33"/>
    </row>
    <row r="240" spans="2:44" ht="25.5" customHeight="1"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L240" s="33"/>
      <c r="AM240" s="33"/>
      <c r="AN240" s="33"/>
      <c r="AO240" s="33"/>
      <c r="AP240" s="33"/>
      <c r="AQ240" s="33"/>
      <c r="AR240" s="33"/>
    </row>
    <row r="241" spans="2:44" ht="25.5" customHeight="1"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L241" s="33"/>
      <c r="AM241" s="33"/>
      <c r="AN241" s="33"/>
      <c r="AO241" s="33"/>
      <c r="AP241" s="33"/>
      <c r="AQ241" s="33"/>
      <c r="AR241" s="33"/>
    </row>
    <row r="242" spans="2:44" ht="25.5" customHeight="1"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L242" s="33"/>
      <c r="AM242" s="33"/>
      <c r="AN242" s="33"/>
      <c r="AO242" s="33"/>
      <c r="AP242" s="33"/>
      <c r="AQ242" s="33"/>
      <c r="AR242" s="33"/>
    </row>
    <row r="243" spans="2:44" ht="25.5" customHeight="1"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L243" s="33"/>
      <c r="AM243" s="33"/>
      <c r="AN243" s="33"/>
      <c r="AO243" s="33"/>
      <c r="AP243" s="33"/>
      <c r="AQ243" s="33"/>
      <c r="AR243" s="33"/>
    </row>
    <row r="244" spans="2:44" ht="25.5" customHeight="1"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L244" s="33"/>
      <c r="AM244" s="33"/>
      <c r="AN244" s="33"/>
      <c r="AO244" s="33"/>
      <c r="AP244" s="33"/>
      <c r="AQ244" s="33"/>
      <c r="AR244" s="33"/>
    </row>
    <row r="245" spans="2:44" ht="25.5" customHeight="1"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L245" s="33"/>
      <c r="AM245" s="33"/>
      <c r="AN245" s="33"/>
      <c r="AO245" s="33"/>
      <c r="AP245" s="33"/>
      <c r="AQ245" s="33"/>
      <c r="AR245" s="33"/>
    </row>
    <row r="246" spans="2:44" ht="25.5" customHeight="1"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L246" s="33"/>
      <c r="AM246" s="33"/>
      <c r="AN246" s="33"/>
      <c r="AO246" s="33"/>
      <c r="AP246" s="33"/>
      <c r="AQ246" s="33"/>
      <c r="AR246" s="33"/>
    </row>
    <row r="247" spans="2:44" ht="25.5" customHeight="1"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L247" s="33"/>
      <c r="AM247" s="33"/>
      <c r="AN247" s="33"/>
      <c r="AO247" s="33"/>
      <c r="AP247" s="33"/>
      <c r="AQ247" s="33"/>
      <c r="AR247" s="33"/>
    </row>
    <row r="248" spans="2:44" ht="25.5" customHeight="1"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L248" s="33"/>
      <c r="AM248" s="33"/>
      <c r="AN248" s="33"/>
      <c r="AO248" s="33"/>
      <c r="AP248" s="33"/>
      <c r="AQ248" s="33"/>
      <c r="AR248" s="33"/>
    </row>
    <row r="249" spans="2:44" ht="25.5" customHeight="1"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L249" s="33"/>
      <c r="AM249" s="33"/>
      <c r="AN249" s="33"/>
      <c r="AO249" s="33"/>
      <c r="AP249" s="33"/>
      <c r="AQ249" s="33"/>
      <c r="AR249" s="33"/>
    </row>
    <row r="250" spans="2:44" ht="25.5" customHeight="1"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L250" s="33"/>
      <c r="AM250" s="33"/>
      <c r="AN250" s="33"/>
      <c r="AO250" s="33"/>
      <c r="AP250" s="33"/>
      <c r="AQ250" s="33"/>
      <c r="AR250" s="33"/>
    </row>
    <row r="251" spans="2:44" ht="25.5" customHeight="1"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L251" s="33"/>
      <c r="AM251" s="33"/>
      <c r="AN251" s="33"/>
      <c r="AO251" s="33"/>
      <c r="AP251" s="33"/>
      <c r="AQ251" s="33"/>
      <c r="AR251" s="33"/>
    </row>
    <row r="252" spans="2:44" ht="25.5" customHeight="1"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L252" s="33"/>
      <c r="AM252" s="33"/>
      <c r="AN252" s="33"/>
      <c r="AO252" s="33"/>
      <c r="AP252" s="33"/>
      <c r="AQ252" s="33"/>
      <c r="AR252" s="33"/>
    </row>
    <row r="253" spans="2:44" ht="25.5" customHeight="1"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L253" s="33"/>
      <c r="AM253" s="33"/>
      <c r="AN253" s="33"/>
      <c r="AO253" s="33"/>
      <c r="AP253" s="33"/>
      <c r="AQ253" s="33"/>
      <c r="AR253" s="33"/>
    </row>
    <row r="254" spans="2:44" ht="25.5" customHeight="1"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L254" s="33"/>
      <c r="AM254" s="33"/>
      <c r="AN254" s="33"/>
      <c r="AO254" s="33"/>
      <c r="AP254" s="33"/>
      <c r="AQ254" s="33"/>
      <c r="AR254" s="33"/>
    </row>
    <row r="255" spans="2:44" ht="25.5" customHeight="1"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L255" s="33"/>
      <c r="AM255" s="33"/>
      <c r="AN255" s="33"/>
      <c r="AO255" s="33"/>
      <c r="AP255" s="33"/>
      <c r="AQ255" s="33"/>
      <c r="AR255" s="33"/>
    </row>
    <row r="256" spans="2:44" ht="25.5" customHeight="1"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L256" s="33"/>
      <c r="AM256" s="33"/>
      <c r="AN256" s="33"/>
      <c r="AO256" s="33"/>
      <c r="AP256" s="33"/>
      <c r="AQ256" s="33"/>
      <c r="AR256" s="33"/>
    </row>
    <row r="257" spans="2:44" ht="25.5" customHeight="1"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L257" s="33"/>
      <c r="AM257" s="33"/>
      <c r="AN257" s="33"/>
      <c r="AO257" s="33"/>
      <c r="AP257" s="33"/>
      <c r="AQ257" s="33"/>
      <c r="AR257" s="33"/>
    </row>
    <row r="258" spans="2:44" ht="25.5" customHeight="1"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L258" s="33"/>
      <c r="AM258" s="33"/>
      <c r="AN258" s="33"/>
      <c r="AO258" s="33"/>
      <c r="AP258" s="33"/>
      <c r="AQ258" s="33"/>
      <c r="AR258" s="33"/>
    </row>
    <row r="259" spans="2:44" ht="25.5" customHeight="1"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L259" s="33"/>
      <c r="AM259" s="33"/>
      <c r="AN259" s="33"/>
      <c r="AO259" s="33"/>
      <c r="AP259" s="33"/>
      <c r="AQ259" s="33"/>
      <c r="AR259" s="33"/>
    </row>
    <row r="260" spans="2:44" ht="25.5" customHeight="1"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L260" s="33"/>
      <c r="AM260" s="33"/>
      <c r="AN260" s="33"/>
      <c r="AO260" s="33"/>
      <c r="AP260" s="33"/>
      <c r="AQ260" s="33"/>
      <c r="AR260" s="33"/>
    </row>
    <row r="261" spans="2:44" ht="25.5" customHeight="1"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L261" s="33"/>
      <c r="AM261" s="33"/>
      <c r="AN261" s="33"/>
      <c r="AO261" s="33"/>
      <c r="AP261" s="33"/>
      <c r="AQ261" s="33"/>
      <c r="AR261" s="33"/>
    </row>
    <row r="262" spans="2:44" ht="25.5" customHeight="1"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L262" s="33"/>
      <c r="AM262" s="33"/>
      <c r="AN262" s="33"/>
      <c r="AO262" s="33"/>
      <c r="AP262" s="33"/>
      <c r="AQ262" s="33"/>
      <c r="AR262" s="33"/>
    </row>
    <row r="263" spans="2:44" ht="25.5" customHeight="1"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L263" s="33"/>
      <c r="AM263" s="33"/>
      <c r="AN263" s="33"/>
      <c r="AO263" s="33"/>
      <c r="AP263" s="33"/>
      <c r="AQ263" s="33"/>
      <c r="AR263" s="33"/>
    </row>
    <row r="264" spans="2:44" ht="25.5" customHeight="1"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L264" s="33"/>
      <c r="AM264" s="33"/>
      <c r="AN264" s="33"/>
      <c r="AO264" s="33"/>
      <c r="AP264" s="33"/>
      <c r="AQ264" s="33"/>
      <c r="AR264" s="33"/>
    </row>
    <row r="265" spans="2:44" ht="25.5" customHeight="1"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L265" s="33"/>
      <c r="AM265" s="33"/>
      <c r="AN265" s="33"/>
      <c r="AO265" s="33"/>
      <c r="AP265" s="33"/>
      <c r="AQ265" s="33"/>
      <c r="AR265" s="33"/>
    </row>
    <row r="266" spans="2:44" ht="25.5" customHeight="1"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L266" s="33"/>
      <c r="AM266" s="33"/>
      <c r="AN266" s="33"/>
      <c r="AO266" s="33"/>
      <c r="AP266" s="33"/>
      <c r="AQ266" s="33"/>
      <c r="AR266" s="33"/>
    </row>
    <row r="267" spans="2:44" ht="25.5" customHeight="1"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L267" s="33"/>
      <c r="AM267" s="33"/>
      <c r="AN267" s="33"/>
      <c r="AO267" s="33"/>
      <c r="AP267" s="33"/>
      <c r="AQ267" s="33"/>
      <c r="AR267" s="33"/>
    </row>
    <row r="268" spans="2:44" ht="25.5" customHeight="1"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L268" s="33"/>
      <c r="AM268" s="33"/>
      <c r="AN268" s="33"/>
      <c r="AO268" s="33"/>
      <c r="AP268" s="33"/>
      <c r="AQ268" s="33"/>
      <c r="AR268" s="33"/>
    </row>
    <row r="269" spans="2:44" ht="25.5" customHeight="1"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L269" s="33"/>
      <c r="AM269" s="33"/>
      <c r="AN269" s="33"/>
      <c r="AO269" s="33"/>
      <c r="AP269" s="33"/>
      <c r="AQ269" s="33"/>
      <c r="AR269" s="33"/>
    </row>
    <row r="270" spans="2:44" ht="25.5" customHeight="1"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L270" s="33"/>
      <c r="AM270" s="33"/>
      <c r="AN270" s="33"/>
      <c r="AO270" s="33"/>
      <c r="AP270" s="33"/>
      <c r="AQ270" s="33"/>
      <c r="AR270" s="33"/>
    </row>
    <row r="271" spans="2:44" ht="25.5" customHeight="1"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L271" s="33"/>
      <c r="AM271" s="33"/>
      <c r="AN271" s="33"/>
      <c r="AO271" s="33"/>
      <c r="AP271" s="33"/>
      <c r="AQ271" s="33"/>
      <c r="AR271" s="33"/>
    </row>
    <row r="272" spans="2:44" ht="25.5" customHeight="1"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L272" s="33"/>
      <c r="AM272" s="33"/>
      <c r="AN272" s="33"/>
      <c r="AO272" s="33"/>
      <c r="AP272" s="33"/>
      <c r="AQ272" s="33"/>
      <c r="AR272" s="33"/>
    </row>
    <row r="273" spans="2:44" ht="25.5" customHeight="1"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L273" s="33"/>
      <c r="AM273" s="33"/>
      <c r="AN273" s="33"/>
      <c r="AO273" s="33"/>
      <c r="AP273" s="33"/>
      <c r="AQ273" s="33"/>
      <c r="AR273" s="33"/>
    </row>
    <row r="274" spans="2:44" ht="25.5" customHeight="1"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L274" s="33"/>
      <c r="AM274" s="33"/>
      <c r="AN274" s="33"/>
      <c r="AO274" s="33"/>
      <c r="AP274" s="33"/>
      <c r="AQ274" s="33"/>
      <c r="AR274" s="33"/>
    </row>
    <row r="275" spans="2:44" ht="25.5" customHeight="1"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L275" s="33"/>
      <c r="AM275" s="33"/>
      <c r="AN275" s="33"/>
      <c r="AO275" s="33"/>
      <c r="AP275" s="33"/>
      <c r="AQ275" s="33"/>
      <c r="AR275" s="33"/>
    </row>
    <row r="276" spans="2:44" ht="25.5" customHeight="1"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L276" s="33"/>
      <c r="AM276" s="33"/>
      <c r="AN276" s="33"/>
      <c r="AO276" s="33"/>
      <c r="AP276" s="33"/>
      <c r="AQ276" s="33"/>
      <c r="AR276" s="33"/>
    </row>
    <row r="277" spans="2:44" ht="25.5" customHeight="1"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L277" s="33"/>
      <c r="AM277" s="33"/>
      <c r="AN277" s="33"/>
      <c r="AO277" s="33"/>
      <c r="AP277" s="33"/>
      <c r="AQ277" s="33"/>
      <c r="AR277" s="33"/>
    </row>
    <row r="278" spans="2:44" ht="25.5" customHeight="1"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L278" s="33"/>
      <c r="AM278" s="33"/>
      <c r="AN278" s="33"/>
      <c r="AO278" s="33"/>
      <c r="AP278" s="33"/>
      <c r="AQ278" s="33"/>
      <c r="AR278" s="33"/>
    </row>
    <row r="279" spans="2:44" ht="25.5" customHeight="1"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L279" s="33"/>
      <c r="AM279" s="33"/>
      <c r="AN279" s="33"/>
      <c r="AO279" s="33"/>
      <c r="AP279" s="33"/>
      <c r="AQ279" s="33"/>
      <c r="AR279" s="33"/>
    </row>
    <row r="280" spans="2:44" ht="25.5" customHeight="1"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L280" s="33"/>
      <c r="AM280" s="33"/>
      <c r="AN280" s="33"/>
      <c r="AO280" s="33"/>
      <c r="AP280" s="33"/>
      <c r="AQ280" s="33"/>
      <c r="AR280" s="33"/>
    </row>
    <row r="281" spans="2:44" ht="25.5" customHeight="1"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L281" s="33"/>
      <c r="AM281" s="33"/>
      <c r="AN281" s="33"/>
      <c r="AO281" s="33"/>
      <c r="AP281" s="33"/>
      <c r="AQ281" s="33"/>
      <c r="AR281" s="33"/>
    </row>
    <row r="282" spans="2:44" ht="25.5" customHeight="1"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L282" s="33"/>
      <c r="AM282" s="33"/>
      <c r="AN282" s="33"/>
      <c r="AO282" s="33"/>
      <c r="AP282" s="33"/>
      <c r="AQ282" s="33"/>
      <c r="AR282" s="33"/>
    </row>
    <row r="283" spans="2:44" ht="25.5" customHeight="1"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L283" s="33"/>
      <c r="AM283" s="33"/>
      <c r="AN283" s="33"/>
      <c r="AO283" s="33"/>
      <c r="AP283" s="33"/>
      <c r="AQ283" s="33"/>
      <c r="AR283" s="33"/>
    </row>
    <row r="284" spans="2:44" ht="25.5" customHeight="1"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L284" s="33"/>
      <c r="AM284" s="33"/>
      <c r="AN284" s="33"/>
      <c r="AO284" s="33"/>
      <c r="AP284" s="33"/>
      <c r="AQ284" s="33"/>
      <c r="AR284" s="33"/>
    </row>
    <row r="285" spans="2:44" ht="25.5" customHeight="1"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L285" s="33"/>
      <c r="AM285" s="33"/>
      <c r="AN285" s="33"/>
      <c r="AO285" s="33"/>
      <c r="AP285" s="33"/>
      <c r="AQ285" s="33"/>
      <c r="AR285" s="33"/>
    </row>
    <row r="286" spans="2:44" ht="25.5" customHeight="1"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L286" s="33"/>
      <c r="AM286" s="33"/>
      <c r="AN286" s="33"/>
      <c r="AO286" s="33"/>
      <c r="AP286" s="33"/>
      <c r="AQ286" s="33"/>
      <c r="AR286" s="33"/>
    </row>
    <row r="287" spans="2:44" ht="25.5" customHeight="1"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L287" s="33"/>
      <c r="AM287" s="33"/>
      <c r="AN287" s="33"/>
      <c r="AO287" s="33"/>
      <c r="AP287" s="33"/>
      <c r="AQ287" s="33"/>
      <c r="AR287" s="33"/>
    </row>
    <row r="288" spans="2:44" ht="25.5" customHeight="1"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L288" s="33"/>
      <c r="AM288" s="33"/>
      <c r="AN288" s="33"/>
      <c r="AO288" s="33"/>
      <c r="AP288" s="33"/>
      <c r="AQ288" s="33"/>
      <c r="AR288" s="33"/>
    </row>
    <row r="289" spans="2:44" ht="25.5" customHeight="1"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L289" s="33"/>
      <c r="AM289" s="33"/>
      <c r="AN289" s="33"/>
      <c r="AO289" s="33"/>
      <c r="AP289" s="33"/>
      <c r="AQ289" s="33"/>
      <c r="AR289" s="33"/>
    </row>
    <row r="290" spans="2:44" ht="25.5" customHeight="1"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L290" s="33"/>
      <c r="AM290" s="33"/>
      <c r="AN290" s="33"/>
      <c r="AO290" s="33"/>
      <c r="AP290" s="33"/>
      <c r="AQ290" s="33"/>
      <c r="AR290" s="33"/>
    </row>
    <row r="291" spans="2:44" ht="25.5" customHeight="1"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L291" s="33"/>
      <c r="AM291" s="33"/>
      <c r="AN291" s="33"/>
      <c r="AO291" s="33"/>
      <c r="AP291" s="33"/>
      <c r="AQ291" s="33"/>
      <c r="AR291" s="33"/>
    </row>
    <row r="292" spans="2:44" ht="25.5" customHeight="1"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L292" s="33"/>
      <c r="AM292" s="33"/>
      <c r="AN292" s="33"/>
      <c r="AO292" s="33"/>
      <c r="AP292" s="33"/>
      <c r="AQ292" s="33"/>
      <c r="AR292" s="33"/>
    </row>
    <row r="293" spans="2:44" ht="25.5" customHeight="1"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L293" s="33"/>
      <c r="AM293" s="33"/>
      <c r="AN293" s="33"/>
      <c r="AO293" s="33"/>
      <c r="AP293" s="33"/>
      <c r="AQ293" s="33"/>
      <c r="AR293" s="33"/>
    </row>
    <row r="294" spans="2:44" ht="25.5" customHeight="1"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L294" s="33"/>
      <c r="AM294" s="33"/>
      <c r="AN294" s="33"/>
      <c r="AO294" s="33"/>
      <c r="AP294" s="33"/>
      <c r="AQ294" s="33"/>
      <c r="AR294" s="33"/>
    </row>
    <row r="295" spans="2:44" ht="25.5" customHeight="1"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L295" s="33"/>
      <c r="AM295" s="33"/>
      <c r="AN295" s="33"/>
      <c r="AO295" s="33"/>
      <c r="AP295" s="33"/>
      <c r="AQ295" s="33"/>
      <c r="AR295" s="33"/>
    </row>
    <row r="296" spans="2:44" ht="25.5" customHeight="1"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L296" s="33"/>
      <c r="AM296" s="33"/>
      <c r="AN296" s="33"/>
      <c r="AO296" s="33"/>
      <c r="AP296" s="33"/>
      <c r="AQ296" s="33"/>
      <c r="AR296" s="33"/>
    </row>
    <row r="297" spans="2:44" ht="25.5" customHeight="1"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L297" s="33"/>
      <c r="AM297" s="33"/>
      <c r="AN297" s="33"/>
      <c r="AO297" s="33"/>
      <c r="AP297" s="33"/>
      <c r="AQ297" s="33"/>
      <c r="AR297" s="33"/>
    </row>
    <row r="298" spans="2:44" ht="25.5" customHeight="1"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L298" s="33"/>
      <c r="AM298" s="33"/>
      <c r="AN298" s="33"/>
      <c r="AO298" s="33"/>
      <c r="AP298" s="33"/>
      <c r="AQ298" s="33"/>
      <c r="AR298" s="33"/>
    </row>
    <row r="299" spans="2:44" ht="25.5" customHeight="1"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L299" s="33"/>
      <c r="AM299" s="33"/>
      <c r="AN299" s="33"/>
      <c r="AO299" s="33"/>
      <c r="AP299" s="33"/>
      <c r="AQ299" s="33"/>
      <c r="AR299" s="33"/>
    </row>
    <row r="300" spans="2:44" ht="25.5" customHeight="1"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L300" s="33"/>
      <c r="AM300" s="33"/>
      <c r="AN300" s="33"/>
      <c r="AO300" s="33"/>
      <c r="AP300" s="33"/>
      <c r="AQ300" s="33"/>
      <c r="AR300" s="33"/>
    </row>
    <row r="301" spans="2:44" ht="25.5" customHeight="1"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L301" s="33"/>
      <c r="AM301" s="33"/>
      <c r="AN301" s="33"/>
      <c r="AO301" s="33"/>
      <c r="AP301" s="33"/>
      <c r="AQ301" s="33"/>
      <c r="AR301" s="33"/>
    </row>
    <row r="302" spans="2:44" ht="25.5" customHeight="1"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L302" s="33"/>
      <c r="AM302" s="33"/>
      <c r="AN302" s="33"/>
      <c r="AO302" s="33"/>
      <c r="AP302" s="33"/>
      <c r="AQ302" s="33"/>
      <c r="AR302" s="33"/>
    </row>
    <row r="303" spans="2:44" ht="25.5" customHeight="1"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L303" s="33"/>
      <c r="AM303" s="33"/>
      <c r="AN303" s="33"/>
      <c r="AO303" s="33"/>
      <c r="AP303" s="33"/>
      <c r="AQ303" s="33"/>
      <c r="AR303" s="33"/>
    </row>
    <row r="304" spans="2:44" ht="25.5" customHeight="1"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L304" s="33"/>
      <c r="AM304" s="33"/>
      <c r="AN304" s="33"/>
      <c r="AO304" s="33"/>
      <c r="AP304" s="33"/>
      <c r="AQ304" s="33"/>
      <c r="AR304" s="33"/>
    </row>
    <row r="305" spans="2:44" ht="25.5" customHeight="1"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L305" s="33"/>
      <c r="AM305" s="33"/>
      <c r="AN305" s="33"/>
      <c r="AO305" s="33"/>
      <c r="AP305" s="33"/>
      <c r="AQ305" s="33"/>
      <c r="AR305" s="33"/>
    </row>
    <row r="306" spans="2:44" ht="25.5" customHeight="1"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L306" s="33"/>
      <c r="AM306" s="33"/>
      <c r="AN306" s="33"/>
      <c r="AO306" s="33"/>
      <c r="AP306" s="33"/>
      <c r="AQ306" s="33"/>
      <c r="AR306" s="33"/>
    </row>
    <row r="307" spans="2:44" ht="25.5" customHeight="1"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L307" s="33"/>
      <c r="AM307" s="33"/>
      <c r="AN307" s="33"/>
      <c r="AO307" s="33"/>
      <c r="AP307" s="33"/>
      <c r="AQ307" s="33"/>
      <c r="AR307" s="33"/>
    </row>
    <row r="308" spans="2:44" ht="25.5" customHeight="1"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L308" s="33"/>
      <c r="AM308" s="33"/>
      <c r="AN308" s="33"/>
      <c r="AO308" s="33"/>
      <c r="AP308" s="33"/>
      <c r="AQ308" s="33"/>
      <c r="AR308" s="33"/>
    </row>
    <row r="309" spans="2:44" ht="25.5" customHeight="1"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L309" s="33"/>
      <c r="AM309" s="33"/>
      <c r="AN309" s="33"/>
      <c r="AO309" s="33"/>
      <c r="AP309" s="33"/>
      <c r="AQ309" s="33"/>
      <c r="AR309" s="33"/>
    </row>
    <row r="310" spans="2:44" ht="25.5" customHeight="1"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L310" s="33"/>
      <c r="AM310" s="33"/>
      <c r="AN310" s="33"/>
      <c r="AO310" s="33"/>
      <c r="AP310" s="33"/>
      <c r="AQ310" s="33"/>
      <c r="AR310" s="33"/>
    </row>
    <row r="311" spans="2:44" ht="25.5" customHeight="1"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L311" s="33"/>
      <c r="AM311" s="33"/>
      <c r="AN311" s="33"/>
      <c r="AO311" s="33"/>
      <c r="AP311" s="33"/>
      <c r="AQ311" s="33"/>
      <c r="AR311" s="33"/>
    </row>
    <row r="312" spans="2:44" ht="25.5" customHeight="1"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L312" s="33"/>
      <c r="AM312" s="33"/>
      <c r="AN312" s="33"/>
      <c r="AO312" s="33"/>
      <c r="AP312" s="33"/>
      <c r="AQ312" s="33"/>
      <c r="AR312" s="33"/>
    </row>
    <row r="313" spans="2:44" ht="25.5" customHeight="1"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L313" s="33"/>
      <c r="AM313" s="33"/>
      <c r="AN313" s="33"/>
      <c r="AO313" s="33"/>
      <c r="AP313" s="33"/>
      <c r="AQ313" s="33"/>
      <c r="AR313" s="33"/>
    </row>
    <row r="314" spans="2:44" ht="25.5" customHeight="1"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L314" s="33"/>
      <c r="AM314" s="33"/>
      <c r="AN314" s="33"/>
      <c r="AO314" s="33"/>
      <c r="AP314" s="33"/>
      <c r="AQ314" s="33"/>
      <c r="AR314" s="33"/>
    </row>
    <row r="315" spans="2:44" ht="25.5" customHeight="1"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L315" s="33"/>
      <c r="AM315" s="33"/>
      <c r="AN315" s="33"/>
      <c r="AO315" s="33"/>
      <c r="AP315" s="33"/>
      <c r="AQ315" s="33"/>
      <c r="AR315" s="33"/>
    </row>
    <row r="316" spans="2:44" ht="25.5" customHeight="1"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L316" s="33"/>
      <c r="AM316" s="33"/>
      <c r="AN316" s="33"/>
      <c r="AO316" s="33"/>
      <c r="AP316" s="33"/>
      <c r="AQ316" s="33"/>
      <c r="AR316" s="33"/>
    </row>
    <row r="317" spans="2:44" ht="25.5" customHeight="1"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L317" s="33"/>
      <c r="AM317" s="33"/>
      <c r="AN317" s="33"/>
      <c r="AO317" s="33"/>
      <c r="AP317" s="33"/>
      <c r="AQ317" s="33"/>
      <c r="AR317" s="33"/>
    </row>
    <row r="318" spans="2:44" ht="25.5" customHeight="1"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L318" s="33"/>
      <c r="AM318" s="33"/>
      <c r="AN318" s="33"/>
      <c r="AO318" s="33"/>
      <c r="AP318" s="33"/>
      <c r="AQ318" s="33"/>
      <c r="AR318" s="33"/>
    </row>
    <row r="319" spans="2:44" ht="25.5" customHeight="1"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L319" s="33"/>
      <c r="AM319" s="33"/>
      <c r="AN319" s="33"/>
      <c r="AO319" s="33"/>
      <c r="AP319" s="33"/>
      <c r="AQ319" s="33"/>
      <c r="AR319" s="33"/>
    </row>
    <row r="320" spans="2:44" ht="25.5" customHeight="1"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L320" s="33"/>
      <c r="AM320" s="33"/>
      <c r="AN320" s="33"/>
      <c r="AO320" s="33"/>
      <c r="AP320" s="33"/>
      <c r="AQ320" s="33"/>
      <c r="AR320" s="33"/>
    </row>
    <row r="321" spans="2:44" ht="25.5" customHeight="1"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L321" s="33"/>
      <c r="AM321" s="33"/>
      <c r="AN321" s="33"/>
      <c r="AO321" s="33"/>
      <c r="AP321" s="33"/>
      <c r="AQ321" s="33"/>
      <c r="AR321" s="33"/>
    </row>
    <row r="322" spans="2:44" ht="25.5" customHeight="1"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L322" s="33"/>
      <c r="AM322" s="33"/>
      <c r="AN322" s="33"/>
      <c r="AO322" s="33"/>
      <c r="AP322" s="33"/>
      <c r="AQ322" s="33"/>
      <c r="AR322" s="33"/>
    </row>
    <row r="323" spans="2:44" ht="25.5" customHeight="1"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L323" s="33"/>
      <c r="AM323" s="33"/>
      <c r="AN323" s="33"/>
      <c r="AO323" s="33"/>
      <c r="AP323" s="33"/>
      <c r="AQ323" s="33"/>
      <c r="AR323" s="33"/>
    </row>
    <row r="324" spans="2:44" ht="25.5" customHeight="1"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L324" s="33"/>
      <c r="AM324" s="33"/>
      <c r="AN324" s="33"/>
      <c r="AO324" s="33"/>
      <c r="AP324" s="33"/>
      <c r="AQ324" s="33"/>
      <c r="AR324" s="33"/>
    </row>
    <row r="325" spans="2:44" ht="25.5" customHeight="1"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L325" s="33"/>
      <c r="AM325" s="33"/>
      <c r="AN325" s="33"/>
      <c r="AO325" s="33"/>
      <c r="AP325" s="33"/>
      <c r="AQ325" s="33"/>
      <c r="AR325" s="33"/>
    </row>
    <row r="326" spans="2:44" ht="25.5" customHeight="1"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L326" s="33"/>
      <c r="AM326" s="33"/>
      <c r="AN326" s="33"/>
      <c r="AO326" s="33"/>
      <c r="AP326" s="33"/>
      <c r="AQ326" s="33"/>
      <c r="AR326" s="33"/>
    </row>
    <row r="327" spans="2:44" ht="25.5" customHeight="1"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L327" s="33"/>
      <c r="AM327" s="33"/>
      <c r="AN327" s="33"/>
      <c r="AO327" s="33"/>
      <c r="AP327" s="33"/>
      <c r="AQ327" s="33"/>
      <c r="AR327" s="33"/>
    </row>
    <row r="328" spans="2:44" ht="25.5" customHeight="1"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L328" s="33"/>
      <c r="AM328" s="33"/>
      <c r="AN328" s="33"/>
      <c r="AO328" s="33"/>
      <c r="AP328" s="33"/>
      <c r="AQ328" s="33"/>
      <c r="AR328" s="33"/>
    </row>
    <row r="329" spans="2:44" ht="25.5" customHeight="1"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L329" s="33"/>
      <c r="AM329" s="33"/>
      <c r="AN329" s="33"/>
      <c r="AO329" s="33"/>
      <c r="AP329" s="33"/>
      <c r="AQ329" s="33"/>
      <c r="AR329" s="33"/>
    </row>
    <row r="330" spans="2:44" ht="25.5" customHeight="1"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L330" s="33"/>
      <c r="AM330" s="33"/>
      <c r="AN330" s="33"/>
      <c r="AO330" s="33"/>
      <c r="AP330" s="33"/>
      <c r="AQ330" s="33"/>
      <c r="AR330" s="33"/>
    </row>
    <row r="331" spans="2:44" ht="25.5" customHeight="1"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L331" s="33"/>
      <c r="AM331" s="33"/>
      <c r="AN331" s="33"/>
      <c r="AO331" s="33"/>
      <c r="AP331" s="33"/>
      <c r="AQ331" s="33"/>
      <c r="AR331" s="33"/>
    </row>
    <row r="332" spans="2:44" ht="25.5" customHeight="1"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L332" s="33"/>
      <c r="AM332" s="33"/>
      <c r="AN332" s="33"/>
      <c r="AO332" s="33"/>
      <c r="AP332" s="33"/>
      <c r="AQ332" s="33"/>
      <c r="AR332" s="33"/>
    </row>
    <row r="333" spans="2:44" ht="25.5" customHeight="1"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L333" s="33"/>
      <c r="AM333" s="33"/>
      <c r="AN333" s="33"/>
      <c r="AO333" s="33"/>
      <c r="AP333" s="33"/>
      <c r="AQ333" s="33"/>
      <c r="AR333" s="33"/>
    </row>
    <row r="334" spans="2:44" ht="25.5" customHeight="1"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L334" s="33"/>
      <c r="AM334" s="33"/>
      <c r="AN334" s="33"/>
      <c r="AO334" s="33"/>
      <c r="AP334" s="33"/>
      <c r="AQ334" s="33"/>
      <c r="AR334" s="33"/>
    </row>
    <row r="335" spans="2:44" ht="25.5" customHeight="1"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L335" s="33"/>
      <c r="AM335" s="33"/>
      <c r="AN335" s="33"/>
      <c r="AO335" s="33"/>
      <c r="AP335" s="33"/>
      <c r="AQ335" s="33"/>
      <c r="AR335" s="33"/>
    </row>
    <row r="336" spans="2:44" ht="25.5" customHeight="1"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L336" s="33"/>
      <c r="AM336" s="33"/>
      <c r="AN336" s="33"/>
      <c r="AO336" s="33"/>
      <c r="AP336" s="33"/>
      <c r="AQ336" s="33"/>
      <c r="AR336" s="33"/>
    </row>
    <row r="337" spans="2:44" ht="25.5" customHeight="1"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L337" s="33"/>
      <c r="AM337" s="33"/>
      <c r="AN337" s="33"/>
      <c r="AO337" s="33"/>
      <c r="AP337" s="33"/>
      <c r="AQ337" s="33"/>
      <c r="AR337" s="33"/>
    </row>
    <row r="338" spans="2:44" ht="25.5" customHeight="1"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L338" s="33"/>
      <c r="AM338" s="33"/>
      <c r="AN338" s="33"/>
      <c r="AO338" s="33"/>
      <c r="AP338" s="33"/>
      <c r="AQ338" s="33"/>
      <c r="AR338" s="33"/>
    </row>
    <row r="339" spans="2:44" ht="25.5" customHeight="1"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L339" s="33"/>
      <c r="AM339" s="33"/>
      <c r="AN339" s="33"/>
      <c r="AO339" s="33"/>
      <c r="AP339" s="33"/>
      <c r="AQ339" s="33"/>
      <c r="AR339" s="33"/>
    </row>
    <row r="340" spans="2:44" ht="25.5" customHeight="1"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L340" s="33"/>
      <c r="AM340" s="33"/>
      <c r="AN340" s="33"/>
      <c r="AO340" s="33"/>
      <c r="AP340" s="33"/>
      <c r="AQ340" s="33"/>
      <c r="AR340" s="33"/>
    </row>
    <row r="341" spans="2:44" ht="25.5" customHeight="1"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L341" s="33"/>
      <c r="AM341" s="33"/>
      <c r="AN341" s="33"/>
      <c r="AO341" s="33"/>
      <c r="AP341" s="33"/>
      <c r="AQ341" s="33"/>
      <c r="AR341" s="33"/>
    </row>
    <row r="342" spans="2:44" ht="25.5" customHeight="1"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L342" s="33"/>
      <c r="AM342" s="33"/>
      <c r="AN342" s="33"/>
      <c r="AO342" s="33"/>
      <c r="AP342" s="33"/>
      <c r="AQ342" s="33"/>
      <c r="AR342" s="33"/>
    </row>
    <row r="343" spans="2:44" ht="25.5" customHeight="1"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L343" s="33"/>
      <c r="AM343" s="33"/>
      <c r="AN343" s="33"/>
      <c r="AO343" s="33"/>
      <c r="AP343" s="33"/>
      <c r="AQ343" s="33"/>
      <c r="AR343" s="33"/>
    </row>
    <row r="344" spans="2:44" ht="25.5" customHeight="1"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L344" s="33"/>
      <c r="AM344" s="33"/>
      <c r="AN344" s="33"/>
      <c r="AO344" s="33"/>
      <c r="AP344" s="33"/>
      <c r="AQ344" s="33"/>
      <c r="AR344" s="33"/>
    </row>
    <row r="345" spans="2:44" ht="25.5" customHeight="1"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L345" s="33"/>
      <c r="AM345" s="33"/>
      <c r="AN345" s="33"/>
      <c r="AO345" s="33"/>
      <c r="AP345" s="33"/>
      <c r="AQ345" s="33"/>
      <c r="AR345" s="33"/>
    </row>
    <row r="346" spans="2:44" ht="25.5" customHeight="1"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L346" s="33"/>
      <c r="AM346" s="33"/>
      <c r="AN346" s="33"/>
      <c r="AO346" s="33"/>
      <c r="AP346" s="33"/>
      <c r="AQ346" s="33"/>
      <c r="AR346" s="33"/>
    </row>
    <row r="347" spans="2:44" ht="25.5" customHeight="1"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L347" s="33"/>
      <c r="AM347" s="33"/>
      <c r="AN347" s="33"/>
      <c r="AO347" s="33"/>
      <c r="AP347" s="33"/>
      <c r="AQ347" s="33"/>
      <c r="AR347" s="33"/>
    </row>
    <row r="348" spans="2:44" ht="25.5" customHeight="1"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L348" s="33"/>
      <c r="AM348" s="33"/>
      <c r="AN348" s="33"/>
      <c r="AO348" s="33"/>
      <c r="AP348" s="33"/>
      <c r="AQ348" s="33"/>
      <c r="AR348" s="33"/>
    </row>
    <row r="349" spans="2:44" ht="25.5" customHeight="1"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L349" s="33"/>
      <c r="AM349" s="33"/>
      <c r="AN349" s="33"/>
      <c r="AO349" s="33"/>
      <c r="AP349" s="33"/>
      <c r="AQ349" s="33"/>
      <c r="AR349" s="33"/>
    </row>
    <row r="350" spans="2:44" ht="25.5" customHeight="1"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L350" s="33"/>
      <c r="AM350" s="33"/>
      <c r="AN350" s="33"/>
      <c r="AO350" s="33"/>
      <c r="AP350" s="33"/>
      <c r="AQ350" s="33"/>
      <c r="AR350" s="33"/>
    </row>
    <row r="351" spans="2:44" ht="25.5" customHeight="1"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L351" s="33"/>
      <c r="AM351" s="33"/>
      <c r="AN351" s="33"/>
      <c r="AO351" s="33"/>
      <c r="AP351" s="33"/>
      <c r="AQ351" s="33"/>
      <c r="AR351" s="33"/>
    </row>
    <row r="352" spans="2:44" ht="25.5" customHeight="1"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L352" s="33"/>
      <c r="AM352" s="33"/>
      <c r="AN352" s="33"/>
      <c r="AO352" s="33"/>
      <c r="AP352" s="33"/>
      <c r="AQ352" s="33"/>
      <c r="AR352" s="33"/>
    </row>
    <row r="353" spans="2:44" ht="25.5" customHeight="1"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L353" s="33"/>
      <c r="AM353" s="33"/>
      <c r="AN353" s="33"/>
      <c r="AO353" s="33"/>
      <c r="AP353" s="33"/>
      <c r="AQ353" s="33"/>
      <c r="AR353" s="33"/>
    </row>
    <row r="354" spans="2:44" ht="25.5" customHeight="1"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L354" s="33"/>
      <c r="AM354" s="33"/>
      <c r="AN354" s="33"/>
      <c r="AO354" s="33"/>
      <c r="AP354" s="33"/>
      <c r="AQ354" s="33"/>
      <c r="AR354" s="33"/>
    </row>
    <row r="355" spans="2:44" ht="25.5" customHeight="1"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L355" s="33"/>
      <c r="AM355" s="33"/>
      <c r="AN355" s="33"/>
      <c r="AO355" s="33"/>
      <c r="AP355" s="33"/>
      <c r="AQ355" s="33"/>
      <c r="AR355" s="33"/>
    </row>
    <row r="356" spans="2:44" ht="25.5" customHeight="1"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L356" s="33"/>
      <c r="AM356" s="33"/>
      <c r="AN356" s="33"/>
      <c r="AO356" s="33"/>
      <c r="AP356" s="33"/>
      <c r="AQ356" s="33"/>
      <c r="AR356" s="33"/>
    </row>
    <row r="357" spans="2:44" ht="25.5" customHeight="1"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L357" s="33"/>
      <c r="AM357" s="33"/>
      <c r="AN357" s="33"/>
      <c r="AO357" s="33"/>
      <c r="AP357" s="33"/>
      <c r="AQ357" s="33"/>
      <c r="AR357" s="33"/>
    </row>
    <row r="358" spans="2:44" ht="25.5" customHeight="1"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L358" s="33"/>
      <c r="AM358" s="33"/>
      <c r="AN358" s="33"/>
      <c r="AO358" s="33"/>
      <c r="AP358" s="33"/>
      <c r="AQ358" s="33"/>
      <c r="AR358" s="33"/>
    </row>
    <row r="359" spans="2:44" ht="25.5" customHeight="1"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L359" s="33"/>
      <c r="AM359" s="33"/>
      <c r="AN359" s="33"/>
      <c r="AO359" s="33"/>
      <c r="AP359" s="33"/>
      <c r="AQ359" s="33"/>
      <c r="AR359" s="33"/>
    </row>
    <row r="360" spans="2:44" ht="25.5" customHeight="1"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L360" s="33"/>
      <c r="AM360" s="33"/>
      <c r="AN360" s="33"/>
      <c r="AO360" s="33"/>
      <c r="AP360" s="33"/>
      <c r="AQ360" s="33"/>
      <c r="AR360" s="33"/>
    </row>
    <row r="361" spans="2:44" ht="25.5" customHeight="1"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L361" s="33"/>
      <c r="AM361" s="33"/>
      <c r="AN361" s="33"/>
      <c r="AO361" s="33"/>
      <c r="AP361" s="33"/>
      <c r="AQ361" s="33"/>
      <c r="AR361" s="33"/>
    </row>
    <row r="362" spans="2:44" ht="25.5" customHeight="1"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L362" s="33"/>
      <c r="AM362" s="33"/>
      <c r="AN362" s="33"/>
      <c r="AO362" s="33"/>
      <c r="AP362" s="33"/>
      <c r="AQ362" s="33"/>
      <c r="AR362" s="33"/>
    </row>
    <row r="363" spans="2:44" ht="25.5" customHeight="1"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L363" s="33"/>
      <c r="AM363" s="33"/>
      <c r="AN363" s="33"/>
      <c r="AO363" s="33"/>
      <c r="AP363" s="33"/>
      <c r="AQ363" s="33"/>
      <c r="AR363" s="33"/>
    </row>
    <row r="364" spans="2:44" ht="25.5" customHeight="1"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L364" s="33"/>
      <c r="AM364" s="33"/>
      <c r="AN364" s="33"/>
      <c r="AO364" s="33"/>
      <c r="AP364" s="33"/>
      <c r="AQ364" s="33"/>
      <c r="AR364" s="33"/>
    </row>
    <row r="365" spans="2:44" ht="25.5" customHeight="1"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L365" s="33"/>
      <c r="AM365" s="33"/>
      <c r="AN365" s="33"/>
      <c r="AO365" s="33"/>
      <c r="AP365" s="33"/>
      <c r="AQ365" s="33"/>
      <c r="AR365" s="33"/>
    </row>
    <row r="366" spans="2:44" ht="25.5" customHeight="1"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L366" s="33"/>
      <c r="AM366" s="33"/>
      <c r="AN366" s="33"/>
      <c r="AO366" s="33"/>
      <c r="AP366" s="33"/>
      <c r="AQ366" s="33"/>
      <c r="AR366" s="33"/>
    </row>
    <row r="367" spans="2:44" ht="25.5" customHeight="1"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L367" s="33"/>
      <c r="AM367" s="33"/>
      <c r="AN367" s="33"/>
      <c r="AO367" s="33"/>
      <c r="AP367" s="33"/>
      <c r="AQ367" s="33"/>
      <c r="AR367" s="33"/>
    </row>
    <row r="368" spans="2:44" ht="25.5" customHeight="1"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L368" s="33"/>
      <c r="AM368" s="33"/>
      <c r="AN368" s="33"/>
      <c r="AO368" s="33"/>
      <c r="AP368" s="33"/>
      <c r="AQ368" s="33"/>
      <c r="AR368" s="33"/>
    </row>
    <row r="369" spans="2:44" ht="25.5" customHeight="1"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L369" s="33"/>
      <c r="AM369" s="33"/>
      <c r="AN369" s="33"/>
      <c r="AO369" s="33"/>
      <c r="AP369" s="33"/>
      <c r="AQ369" s="33"/>
      <c r="AR369" s="33"/>
    </row>
    <row r="370" spans="2:44" ht="25.5" customHeight="1"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L370" s="33"/>
      <c r="AM370" s="33"/>
      <c r="AN370" s="33"/>
      <c r="AO370" s="33"/>
      <c r="AP370" s="33"/>
      <c r="AQ370" s="33"/>
      <c r="AR370" s="33"/>
    </row>
    <row r="371" spans="2:44" ht="25.5" customHeight="1"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L371" s="33"/>
      <c r="AM371" s="33"/>
      <c r="AN371" s="33"/>
      <c r="AO371" s="33"/>
      <c r="AP371" s="33"/>
      <c r="AQ371" s="33"/>
      <c r="AR371" s="33"/>
    </row>
    <row r="372" spans="2:44" ht="25.5" customHeight="1"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L372" s="33"/>
      <c r="AM372" s="33"/>
      <c r="AN372" s="33"/>
      <c r="AO372" s="33"/>
      <c r="AP372" s="33"/>
      <c r="AQ372" s="33"/>
      <c r="AR372" s="33"/>
    </row>
    <row r="373" spans="2:44" ht="25.5" customHeight="1"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L373" s="33"/>
      <c r="AM373" s="33"/>
      <c r="AN373" s="33"/>
      <c r="AO373" s="33"/>
      <c r="AP373" s="33"/>
      <c r="AQ373" s="33"/>
      <c r="AR373" s="33"/>
    </row>
    <row r="374" spans="2:44" ht="25.5" customHeight="1"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L374" s="33"/>
      <c r="AM374" s="33"/>
      <c r="AN374" s="33"/>
      <c r="AO374" s="33"/>
      <c r="AP374" s="33"/>
      <c r="AQ374" s="33"/>
      <c r="AR374" s="33"/>
    </row>
    <row r="375" spans="2:44" ht="25.5" customHeight="1"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L375" s="33"/>
      <c r="AM375" s="33"/>
      <c r="AN375" s="33"/>
      <c r="AO375" s="33"/>
      <c r="AP375" s="33"/>
      <c r="AQ375" s="33"/>
      <c r="AR375" s="33"/>
    </row>
    <row r="376" spans="2:44" ht="25.5" customHeight="1"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L376" s="33"/>
      <c r="AM376" s="33"/>
      <c r="AN376" s="33"/>
      <c r="AO376" s="33"/>
      <c r="AP376" s="33"/>
      <c r="AQ376" s="33"/>
      <c r="AR376" s="33"/>
    </row>
    <row r="377" spans="2:44" ht="25.5" customHeight="1"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L377" s="33"/>
      <c r="AM377" s="33"/>
      <c r="AN377" s="33"/>
      <c r="AO377" s="33"/>
      <c r="AP377" s="33"/>
      <c r="AQ377" s="33"/>
      <c r="AR377" s="33"/>
    </row>
    <row r="378" spans="2:44" ht="25.5" customHeight="1"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L378" s="33"/>
      <c r="AM378" s="33"/>
      <c r="AN378" s="33"/>
      <c r="AO378" s="33"/>
      <c r="AP378" s="33"/>
      <c r="AQ378" s="33"/>
      <c r="AR378" s="33"/>
    </row>
    <row r="379" spans="2:44" ht="25.5" customHeight="1"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L379" s="33"/>
      <c r="AM379" s="33"/>
      <c r="AN379" s="33"/>
      <c r="AO379" s="33"/>
      <c r="AP379" s="33"/>
      <c r="AQ379" s="33"/>
      <c r="AR379" s="33"/>
    </row>
    <row r="380" spans="2:44" ht="25.5" customHeight="1"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L380" s="33"/>
      <c r="AM380" s="33"/>
      <c r="AN380" s="33"/>
      <c r="AO380" s="33"/>
      <c r="AP380" s="33"/>
      <c r="AQ380" s="33"/>
      <c r="AR380" s="33"/>
    </row>
    <row r="381" spans="2:44" ht="25.5" customHeight="1"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L381" s="33"/>
      <c r="AM381" s="33"/>
      <c r="AN381" s="33"/>
      <c r="AO381" s="33"/>
      <c r="AP381" s="33"/>
      <c r="AQ381" s="33"/>
      <c r="AR381" s="33"/>
    </row>
    <row r="382" spans="2:44" ht="25.5" customHeight="1"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L382" s="33"/>
      <c r="AM382" s="33"/>
      <c r="AN382" s="33"/>
      <c r="AO382" s="33"/>
      <c r="AP382" s="33"/>
      <c r="AQ382" s="33"/>
      <c r="AR382" s="33"/>
    </row>
    <row r="383" spans="2:44" ht="25.5" customHeight="1"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L383" s="33"/>
      <c r="AM383" s="33"/>
      <c r="AN383" s="33"/>
      <c r="AO383" s="33"/>
      <c r="AP383" s="33"/>
      <c r="AQ383" s="33"/>
      <c r="AR383" s="33"/>
    </row>
    <row r="384" spans="2:44" ht="25.5" customHeight="1"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L384" s="33"/>
      <c r="AM384" s="33"/>
      <c r="AN384" s="33"/>
      <c r="AO384" s="33"/>
      <c r="AP384" s="33"/>
      <c r="AQ384" s="33"/>
      <c r="AR384" s="33"/>
    </row>
    <row r="385" spans="2:44" ht="25.5" customHeight="1"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L385" s="33"/>
      <c r="AM385" s="33"/>
      <c r="AN385" s="33"/>
      <c r="AO385" s="33"/>
      <c r="AP385" s="33"/>
      <c r="AQ385" s="33"/>
      <c r="AR385" s="33"/>
    </row>
    <row r="386" spans="2:44" ht="25.5" customHeight="1"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L386" s="33"/>
      <c r="AM386" s="33"/>
      <c r="AN386" s="33"/>
      <c r="AO386" s="33"/>
      <c r="AP386" s="33"/>
      <c r="AQ386" s="33"/>
      <c r="AR386" s="33"/>
    </row>
    <row r="387" spans="2:44" ht="25.5" customHeight="1"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L387" s="33"/>
      <c r="AM387" s="33"/>
      <c r="AN387" s="33"/>
      <c r="AO387" s="33"/>
      <c r="AP387" s="33"/>
      <c r="AQ387" s="33"/>
      <c r="AR387" s="33"/>
    </row>
    <row r="388" spans="2:44" ht="25.5" customHeight="1"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L388" s="33"/>
      <c r="AM388" s="33"/>
      <c r="AN388" s="33"/>
      <c r="AO388" s="33"/>
      <c r="AP388" s="33"/>
      <c r="AQ388" s="33"/>
      <c r="AR388" s="33"/>
    </row>
    <row r="389" spans="2:44" ht="25.5" customHeight="1"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L389" s="33"/>
      <c r="AM389" s="33"/>
      <c r="AN389" s="33"/>
      <c r="AO389" s="33"/>
      <c r="AP389" s="33"/>
      <c r="AQ389" s="33"/>
      <c r="AR389" s="33"/>
    </row>
    <row r="390" spans="2:44" ht="25.5" customHeight="1"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L390" s="33"/>
      <c r="AM390" s="33"/>
      <c r="AN390" s="33"/>
      <c r="AO390" s="33"/>
      <c r="AP390" s="33"/>
      <c r="AQ390" s="33"/>
      <c r="AR390" s="33"/>
    </row>
    <row r="391" spans="2:44" ht="25.5" customHeight="1"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L391" s="33"/>
      <c r="AM391" s="33"/>
      <c r="AN391" s="33"/>
      <c r="AO391" s="33"/>
      <c r="AP391" s="33"/>
      <c r="AQ391" s="33"/>
      <c r="AR391" s="33"/>
    </row>
    <row r="392" spans="2:44" ht="25.5" customHeight="1"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L392" s="33"/>
      <c r="AM392" s="33"/>
      <c r="AN392" s="33"/>
      <c r="AO392" s="33"/>
      <c r="AP392" s="33"/>
      <c r="AQ392" s="33"/>
      <c r="AR392" s="33"/>
    </row>
    <row r="393" spans="2:44" ht="25.5" customHeight="1"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L393" s="33"/>
      <c r="AM393" s="33"/>
      <c r="AN393" s="33"/>
      <c r="AO393" s="33"/>
      <c r="AP393" s="33"/>
      <c r="AQ393" s="33"/>
      <c r="AR393" s="33"/>
    </row>
    <row r="394" spans="2:44" ht="25.5" customHeight="1"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L394" s="33"/>
      <c r="AM394" s="33"/>
      <c r="AN394" s="33"/>
      <c r="AO394" s="33"/>
      <c r="AP394" s="33"/>
      <c r="AQ394" s="33"/>
      <c r="AR394" s="33"/>
    </row>
    <row r="395" spans="2:44" ht="25.5" customHeight="1"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L395" s="33"/>
      <c r="AM395" s="33"/>
      <c r="AN395" s="33"/>
      <c r="AO395" s="33"/>
      <c r="AP395" s="33"/>
      <c r="AQ395" s="33"/>
      <c r="AR395" s="33"/>
    </row>
    <row r="396" spans="2:44" ht="25.5" customHeight="1"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L396" s="33"/>
      <c r="AM396" s="33"/>
      <c r="AN396" s="33"/>
      <c r="AO396" s="33"/>
      <c r="AP396" s="33"/>
      <c r="AQ396" s="33"/>
      <c r="AR396" s="33"/>
    </row>
    <row r="397" spans="2:44" ht="25.5" customHeight="1"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L397" s="33"/>
      <c r="AM397" s="33"/>
      <c r="AN397" s="33"/>
      <c r="AO397" s="33"/>
      <c r="AP397" s="33"/>
      <c r="AQ397" s="33"/>
      <c r="AR397" s="33"/>
    </row>
    <row r="398" spans="2:44" ht="25.5" customHeight="1"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L398" s="33"/>
      <c r="AM398" s="33"/>
      <c r="AN398" s="33"/>
      <c r="AO398" s="33"/>
      <c r="AP398" s="33"/>
      <c r="AQ398" s="33"/>
      <c r="AR398" s="33"/>
    </row>
    <row r="399" spans="2:44" ht="25.5" customHeight="1"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L399" s="33"/>
      <c r="AM399" s="33"/>
      <c r="AN399" s="33"/>
      <c r="AO399" s="33"/>
      <c r="AP399" s="33"/>
      <c r="AQ399" s="33"/>
      <c r="AR399" s="33"/>
    </row>
    <row r="400" spans="2:44" ht="25.5" customHeight="1"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L400" s="33"/>
      <c r="AM400" s="33"/>
      <c r="AN400" s="33"/>
      <c r="AO400" s="33"/>
      <c r="AP400" s="33"/>
      <c r="AQ400" s="33"/>
      <c r="AR400" s="33"/>
    </row>
    <row r="401" spans="2:44" ht="25.5" customHeight="1"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L401" s="33"/>
      <c r="AM401" s="33"/>
      <c r="AN401" s="33"/>
      <c r="AO401" s="33"/>
      <c r="AP401" s="33"/>
      <c r="AQ401" s="33"/>
      <c r="AR401" s="33"/>
    </row>
    <row r="402" spans="2:44" ht="25.5" customHeight="1"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L402" s="33"/>
      <c r="AM402" s="33"/>
      <c r="AN402" s="33"/>
      <c r="AO402" s="33"/>
      <c r="AP402" s="33"/>
      <c r="AQ402" s="33"/>
      <c r="AR402" s="33"/>
    </row>
    <row r="403" spans="2:44" ht="25.5" customHeight="1"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L403" s="33"/>
      <c r="AM403" s="33"/>
      <c r="AN403" s="33"/>
      <c r="AO403" s="33"/>
      <c r="AP403" s="33"/>
      <c r="AQ403" s="33"/>
      <c r="AR403" s="33"/>
    </row>
    <row r="404" spans="2:44" ht="25.5" customHeight="1"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L404" s="33"/>
      <c r="AM404" s="33"/>
      <c r="AN404" s="33"/>
      <c r="AO404" s="33"/>
      <c r="AP404" s="33"/>
      <c r="AQ404" s="33"/>
      <c r="AR404" s="33"/>
    </row>
    <row r="405" spans="2:44" ht="25.5" customHeight="1"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L405" s="33"/>
      <c r="AM405" s="33"/>
      <c r="AN405" s="33"/>
      <c r="AO405" s="33"/>
      <c r="AP405" s="33"/>
      <c r="AQ405" s="33"/>
      <c r="AR405" s="33"/>
    </row>
    <row r="406" spans="2:44" ht="25.5" customHeight="1"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L406" s="33"/>
      <c r="AM406" s="33"/>
      <c r="AN406" s="33"/>
      <c r="AO406" s="33"/>
      <c r="AP406" s="33"/>
      <c r="AQ406" s="33"/>
      <c r="AR406" s="33"/>
    </row>
    <row r="407" spans="2:44" ht="25.5" customHeight="1"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L407" s="33"/>
      <c r="AM407" s="33"/>
      <c r="AN407" s="33"/>
      <c r="AO407" s="33"/>
      <c r="AP407" s="33"/>
      <c r="AQ407" s="33"/>
      <c r="AR407" s="33"/>
    </row>
    <row r="408" spans="2:44" ht="25.5" customHeight="1"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L408" s="33"/>
      <c r="AM408" s="33"/>
      <c r="AN408" s="33"/>
      <c r="AO408" s="33"/>
      <c r="AP408" s="33"/>
      <c r="AQ408" s="33"/>
      <c r="AR408" s="33"/>
    </row>
    <row r="409" spans="2:44" ht="25.5" customHeight="1"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L409" s="33"/>
      <c r="AM409" s="33"/>
      <c r="AN409" s="33"/>
      <c r="AO409" s="33"/>
      <c r="AP409" s="33"/>
      <c r="AQ409" s="33"/>
      <c r="AR409" s="33"/>
    </row>
    <row r="410" spans="2:44" ht="25.5" customHeight="1"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L410" s="33"/>
      <c r="AM410" s="33"/>
      <c r="AN410" s="33"/>
      <c r="AO410" s="33"/>
      <c r="AP410" s="33"/>
      <c r="AQ410" s="33"/>
      <c r="AR410" s="33"/>
    </row>
    <row r="411" spans="2:44" ht="25.5" customHeight="1"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L411" s="33"/>
      <c r="AM411" s="33"/>
      <c r="AN411" s="33"/>
      <c r="AO411" s="33"/>
      <c r="AP411" s="33"/>
      <c r="AQ411" s="33"/>
      <c r="AR411" s="33"/>
    </row>
    <row r="412" spans="2:44" ht="25.5" customHeight="1"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L412" s="33"/>
      <c r="AM412" s="33"/>
      <c r="AN412" s="33"/>
      <c r="AO412" s="33"/>
      <c r="AP412" s="33"/>
      <c r="AQ412" s="33"/>
      <c r="AR412" s="33"/>
    </row>
    <row r="413" spans="2:44" ht="25.5" customHeight="1"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L413" s="33"/>
      <c r="AM413" s="33"/>
      <c r="AN413" s="33"/>
      <c r="AO413" s="33"/>
      <c r="AP413" s="33"/>
      <c r="AQ413" s="33"/>
      <c r="AR413" s="33"/>
    </row>
    <row r="414" spans="2:44" ht="25.5" customHeight="1"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L414" s="33"/>
      <c r="AM414" s="33"/>
      <c r="AN414" s="33"/>
      <c r="AO414" s="33"/>
      <c r="AP414" s="33"/>
      <c r="AQ414" s="33"/>
      <c r="AR414" s="33"/>
    </row>
    <row r="415" spans="2:44" ht="25.5" customHeight="1"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L415" s="33"/>
      <c r="AM415" s="33"/>
      <c r="AN415" s="33"/>
      <c r="AO415" s="33"/>
      <c r="AP415" s="33"/>
      <c r="AQ415" s="33"/>
      <c r="AR415" s="33"/>
    </row>
    <row r="416" spans="2:44" ht="25.5" customHeight="1"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L416" s="33"/>
      <c r="AM416" s="33"/>
      <c r="AN416" s="33"/>
      <c r="AO416" s="33"/>
      <c r="AP416" s="33"/>
      <c r="AQ416" s="33"/>
      <c r="AR416" s="33"/>
    </row>
    <row r="417" spans="2:44" ht="25.5" customHeight="1"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L417" s="33"/>
      <c r="AM417" s="33"/>
      <c r="AN417" s="33"/>
      <c r="AO417" s="33"/>
      <c r="AP417" s="33"/>
      <c r="AQ417" s="33"/>
      <c r="AR417" s="33"/>
    </row>
    <row r="418" spans="2:44" ht="25.5" customHeight="1"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L418" s="33"/>
      <c r="AM418" s="33"/>
      <c r="AN418" s="33"/>
      <c r="AO418" s="33"/>
      <c r="AP418" s="33"/>
      <c r="AQ418" s="33"/>
      <c r="AR418" s="33"/>
    </row>
    <row r="419" spans="2:44" ht="25.5" customHeight="1"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L419" s="33"/>
      <c r="AM419" s="33"/>
      <c r="AN419" s="33"/>
      <c r="AO419" s="33"/>
      <c r="AP419" s="33"/>
      <c r="AQ419" s="33"/>
      <c r="AR419" s="33"/>
    </row>
    <row r="420" spans="2:44" ht="25.5" customHeight="1"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L420" s="33"/>
      <c r="AM420" s="33"/>
      <c r="AN420" s="33"/>
      <c r="AO420" s="33"/>
      <c r="AP420" s="33"/>
      <c r="AQ420" s="33"/>
      <c r="AR420" s="33"/>
    </row>
    <row r="421" spans="2:44" ht="25.5" customHeight="1"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L421" s="33"/>
      <c r="AM421" s="33"/>
      <c r="AN421" s="33"/>
      <c r="AO421" s="33"/>
      <c r="AP421" s="33"/>
      <c r="AQ421" s="33"/>
      <c r="AR421" s="33"/>
    </row>
    <row r="422" spans="2:44" ht="25.5" customHeight="1"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L422" s="33"/>
      <c r="AM422" s="33"/>
      <c r="AN422" s="33"/>
      <c r="AO422" s="33"/>
      <c r="AP422" s="33"/>
      <c r="AQ422" s="33"/>
      <c r="AR422" s="33"/>
    </row>
    <row r="423" spans="2:44" ht="25.5" customHeight="1"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L423" s="33"/>
      <c r="AM423" s="33"/>
      <c r="AN423" s="33"/>
      <c r="AO423" s="33"/>
      <c r="AP423" s="33"/>
      <c r="AQ423" s="33"/>
      <c r="AR423" s="33"/>
    </row>
    <row r="424" spans="2:44" ht="25.5" customHeight="1"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L424" s="33"/>
      <c r="AM424" s="33"/>
      <c r="AN424" s="33"/>
      <c r="AO424" s="33"/>
      <c r="AP424" s="33"/>
      <c r="AQ424" s="33"/>
      <c r="AR424" s="33"/>
    </row>
    <row r="425" spans="2:44" ht="25.5" customHeight="1"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L425" s="33"/>
      <c r="AM425" s="33"/>
      <c r="AN425" s="33"/>
      <c r="AO425" s="33"/>
      <c r="AP425" s="33"/>
      <c r="AQ425" s="33"/>
      <c r="AR425" s="33"/>
    </row>
    <row r="426" spans="2:44" ht="25.5" customHeight="1"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L426" s="33"/>
      <c r="AM426" s="33"/>
      <c r="AN426" s="33"/>
      <c r="AO426" s="33"/>
      <c r="AP426" s="33"/>
      <c r="AQ426" s="33"/>
      <c r="AR426" s="33"/>
    </row>
    <row r="427" spans="2:44" ht="25.5" customHeight="1"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L427" s="33"/>
      <c r="AM427" s="33"/>
      <c r="AN427" s="33"/>
      <c r="AO427" s="33"/>
      <c r="AP427" s="33"/>
      <c r="AQ427" s="33"/>
      <c r="AR427" s="33"/>
    </row>
    <row r="428" spans="2:44" ht="25.5" customHeight="1"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L428" s="33"/>
      <c r="AM428" s="33"/>
      <c r="AN428" s="33"/>
      <c r="AO428" s="33"/>
      <c r="AP428" s="33"/>
      <c r="AQ428" s="33"/>
      <c r="AR428" s="33"/>
    </row>
    <row r="429" spans="2:44" ht="25.5" customHeight="1"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L429" s="33"/>
      <c r="AM429" s="33"/>
      <c r="AN429" s="33"/>
      <c r="AO429" s="33"/>
      <c r="AP429" s="33"/>
      <c r="AQ429" s="33"/>
      <c r="AR429" s="33"/>
    </row>
    <row r="430" spans="2:44" ht="25.5" customHeight="1"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L430" s="33"/>
      <c r="AM430" s="33"/>
      <c r="AN430" s="33"/>
      <c r="AO430" s="33"/>
      <c r="AP430" s="33"/>
      <c r="AQ430" s="33"/>
      <c r="AR430" s="33"/>
    </row>
    <row r="431" spans="2:44" ht="25.5" customHeight="1"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L431" s="33"/>
      <c r="AM431" s="33"/>
      <c r="AN431" s="33"/>
      <c r="AO431" s="33"/>
      <c r="AP431" s="33"/>
      <c r="AQ431" s="33"/>
      <c r="AR431" s="33"/>
    </row>
    <row r="432" spans="2:44" ht="25.5" customHeight="1"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L432" s="33"/>
      <c r="AM432" s="33"/>
      <c r="AN432" s="33"/>
      <c r="AO432" s="33"/>
      <c r="AP432" s="33"/>
      <c r="AQ432" s="33"/>
      <c r="AR432" s="33"/>
    </row>
    <row r="433" spans="2:44" ht="25.5" customHeight="1"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L433" s="33"/>
      <c r="AM433" s="33"/>
      <c r="AN433" s="33"/>
      <c r="AO433" s="33"/>
      <c r="AP433" s="33"/>
      <c r="AQ433" s="33"/>
      <c r="AR433" s="33"/>
    </row>
    <row r="434" spans="2:44" ht="25.5" customHeight="1"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L434" s="33"/>
      <c r="AM434" s="33"/>
      <c r="AN434" s="33"/>
      <c r="AO434" s="33"/>
      <c r="AP434" s="33"/>
      <c r="AQ434" s="33"/>
      <c r="AR434" s="33"/>
    </row>
    <row r="435" spans="2:44" ht="25.5" customHeight="1"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L435" s="33"/>
      <c r="AM435" s="33"/>
      <c r="AN435" s="33"/>
      <c r="AO435" s="33"/>
      <c r="AP435" s="33"/>
      <c r="AQ435" s="33"/>
      <c r="AR435" s="33"/>
    </row>
    <row r="436" spans="2:44" ht="25.5" customHeight="1"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L436" s="33"/>
      <c r="AM436" s="33"/>
      <c r="AN436" s="33"/>
      <c r="AO436" s="33"/>
      <c r="AP436" s="33"/>
      <c r="AQ436" s="33"/>
      <c r="AR436" s="33"/>
    </row>
    <row r="437" spans="2:44" ht="25.5" customHeight="1"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L437" s="33"/>
      <c r="AM437" s="33"/>
      <c r="AN437" s="33"/>
      <c r="AO437" s="33"/>
      <c r="AP437" s="33"/>
      <c r="AQ437" s="33"/>
      <c r="AR437" s="33"/>
    </row>
    <row r="438" spans="2:44" ht="25.5" customHeight="1"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L438" s="33"/>
      <c r="AM438" s="33"/>
      <c r="AN438" s="33"/>
      <c r="AO438" s="33"/>
      <c r="AP438" s="33"/>
      <c r="AQ438" s="33"/>
      <c r="AR438" s="33"/>
    </row>
    <row r="439" spans="2:44" ht="25.5" customHeight="1"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L439" s="33"/>
      <c r="AM439" s="33"/>
      <c r="AN439" s="33"/>
      <c r="AO439" s="33"/>
      <c r="AP439" s="33"/>
      <c r="AQ439" s="33"/>
      <c r="AR439" s="33"/>
    </row>
    <row r="440" spans="2:44" ht="25.5" customHeight="1"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L440" s="33"/>
      <c r="AM440" s="33"/>
      <c r="AN440" s="33"/>
      <c r="AO440" s="33"/>
      <c r="AP440" s="33"/>
      <c r="AQ440" s="33"/>
      <c r="AR440" s="33"/>
    </row>
    <row r="441" spans="2:44" ht="25.5" customHeight="1"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L441" s="33"/>
      <c r="AM441" s="33"/>
      <c r="AN441" s="33"/>
      <c r="AO441" s="33"/>
      <c r="AP441" s="33"/>
      <c r="AQ441" s="33"/>
      <c r="AR441" s="33"/>
    </row>
    <row r="442" spans="2:44" ht="25.5" customHeight="1"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L442" s="33"/>
      <c r="AM442" s="33"/>
      <c r="AN442" s="33"/>
      <c r="AO442" s="33"/>
      <c r="AP442" s="33"/>
      <c r="AQ442" s="33"/>
      <c r="AR442" s="33"/>
    </row>
    <row r="443" spans="2:44" ht="25.5" customHeight="1"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L443" s="33"/>
      <c r="AM443" s="33"/>
      <c r="AN443" s="33"/>
      <c r="AO443" s="33"/>
      <c r="AP443" s="33"/>
      <c r="AQ443" s="33"/>
      <c r="AR443" s="33"/>
    </row>
    <row r="444" spans="2:44" ht="25.5" customHeight="1"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L444" s="33"/>
      <c r="AM444" s="33"/>
      <c r="AN444" s="33"/>
      <c r="AO444" s="33"/>
      <c r="AP444" s="33"/>
      <c r="AQ444" s="33"/>
      <c r="AR444" s="33"/>
    </row>
    <row r="445" spans="2:44" ht="25.5" customHeight="1"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L445" s="33"/>
      <c r="AM445" s="33"/>
      <c r="AN445" s="33"/>
      <c r="AO445" s="33"/>
      <c r="AP445" s="33"/>
      <c r="AQ445" s="33"/>
      <c r="AR445" s="33"/>
    </row>
    <row r="446" spans="2:44" ht="25.5" customHeight="1"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L446" s="33"/>
      <c r="AM446" s="33"/>
      <c r="AN446" s="33"/>
      <c r="AO446" s="33"/>
      <c r="AP446" s="33"/>
      <c r="AQ446" s="33"/>
      <c r="AR446" s="33"/>
    </row>
    <row r="447" spans="2:44" ht="25.5" customHeight="1"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L447" s="33"/>
      <c r="AM447" s="33"/>
      <c r="AN447" s="33"/>
      <c r="AO447" s="33"/>
      <c r="AP447" s="33"/>
      <c r="AQ447" s="33"/>
      <c r="AR447" s="33"/>
    </row>
    <row r="448" spans="2:44" ht="25.5" customHeight="1"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L448" s="33"/>
      <c r="AM448" s="33"/>
      <c r="AN448" s="33"/>
      <c r="AO448" s="33"/>
      <c r="AP448" s="33"/>
      <c r="AQ448" s="33"/>
      <c r="AR448" s="33"/>
    </row>
    <row r="449" spans="2:44" ht="25.5" customHeight="1"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L449" s="33"/>
      <c r="AM449" s="33"/>
      <c r="AN449" s="33"/>
      <c r="AO449" s="33"/>
      <c r="AP449" s="33"/>
      <c r="AQ449" s="33"/>
      <c r="AR449" s="33"/>
    </row>
    <row r="450" spans="2:44" ht="25.5" customHeight="1"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L450" s="33"/>
      <c r="AM450" s="33"/>
      <c r="AN450" s="33"/>
      <c r="AO450" s="33"/>
      <c r="AP450" s="33"/>
      <c r="AQ450" s="33"/>
      <c r="AR450" s="33"/>
    </row>
    <row r="451" spans="2:44" ht="25.5" customHeight="1"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L451" s="33"/>
      <c r="AM451" s="33"/>
      <c r="AN451" s="33"/>
      <c r="AO451" s="33"/>
      <c r="AP451" s="33"/>
      <c r="AQ451" s="33"/>
      <c r="AR451" s="33"/>
    </row>
    <row r="452" spans="2:44" ht="25.5" customHeight="1"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L452" s="33"/>
      <c r="AM452" s="33"/>
      <c r="AN452" s="33"/>
      <c r="AO452" s="33"/>
      <c r="AP452" s="33"/>
      <c r="AQ452" s="33"/>
      <c r="AR452" s="33"/>
    </row>
    <row r="453" spans="2:44" ht="25.5" customHeight="1"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L453" s="33"/>
      <c r="AM453" s="33"/>
      <c r="AN453" s="33"/>
      <c r="AO453" s="33"/>
      <c r="AP453" s="33"/>
      <c r="AQ453" s="33"/>
      <c r="AR453" s="33"/>
    </row>
    <row r="454" spans="2:44" ht="25.5" customHeight="1"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L454" s="33"/>
      <c r="AM454" s="33"/>
      <c r="AN454" s="33"/>
      <c r="AO454" s="33"/>
      <c r="AP454" s="33"/>
      <c r="AQ454" s="33"/>
      <c r="AR454" s="33"/>
    </row>
    <row r="455" spans="2:44" ht="25.5" customHeight="1"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L455" s="33"/>
      <c r="AM455" s="33"/>
      <c r="AN455" s="33"/>
      <c r="AO455" s="33"/>
      <c r="AP455" s="33"/>
      <c r="AQ455" s="33"/>
      <c r="AR455" s="33"/>
    </row>
    <row r="456" spans="2:44" ht="25.5" customHeight="1"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L456" s="33"/>
      <c r="AM456" s="33"/>
      <c r="AN456" s="33"/>
      <c r="AO456" s="33"/>
      <c r="AP456" s="33"/>
      <c r="AQ456" s="33"/>
      <c r="AR456" s="33"/>
    </row>
    <row r="457" spans="2:44" ht="25.5" customHeight="1"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L457" s="33"/>
      <c r="AM457" s="33"/>
      <c r="AN457" s="33"/>
      <c r="AO457" s="33"/>
      <c r="AP457" s="33"/>
      <c r="AQ457" s="33"/>
      <c r="AR457" s="33"/>
    </row>
    <row r="458" spans="2:44" ht="25.5" customHeight="1"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L458" s="33"/>
      <c r="AM458" s="33"/>
      <c r="AN458" s="33"/>
      <c r="AO458" s="33"/>
      <c r="AP458" s="33"/>
      <c r="AQ458" s="33"/>
      <c r="AR458" s="33"/>
    </row>
    <row r="459" spans="2:44" ht="25.5" customHeight="1"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L459" s="33"/>
      <c r="AM459" s="33"/>
      <c r="AN459" s="33"/>
      <c r="AO459" s="33"/>
      <c r="AP459" s="33"/>
      <c r="AQ459" s="33"/>
      <c r="AR459" s="33"/>
    </row>
    <row r="460" spans="2:44" ht="25.5" customHeight="1"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L460" s="33"/>
      <c r="AM460" s="33"/>
      <c r="AN460" s="33"/>
      <c r="AO460" s="33"/>
      <c r="AP460" s="33"/>
      <c r="AQ460" s="33"/>
      <c r="AR460" s="33"/>
    </row>
    <row r="461" spans="2:44" ht="25.5" customHeight="1"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L461" s="33"/>
      <c r="AM461" s="33"/>
      <c r="AN461" s="33"/>
      <c r="AO461" s="33"/>
      <c r="AP461" s="33"/>
      <c r="AQ461" s="33"/>
      <c r="AR461" s="33"/>
    </row>
    <row r="462" spans="2:44" ht="25.5" customHeight="1"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L462" s="33"/>
      <c r="AM462" s="33"/>
      <c r="AN462" s="33"/>
      <c r="AO462" s="33"/>
      <c r="AP462" s="33"/>
      <c r="AQ462" s="33"/>
      <c r="AR462" s="33"/>
    </row>
    <row r="463" spans="2:44" ht="25.5" customHeight="1"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L463" s="33"/>
      <c r="AM463" s="33"/>
      <c r="AN463" s="33"/>
      <c r="AO463" s="33"/>
      <c r="AP463" s="33"/>
      <c r="AQ463" s="33"/>
      <c r="AR463" s="33"/>
    </row>
    <row r="464" spans="2:44" ht="25.5" customHeight="1"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L464" s="33"/>
      <c r="AM464" s="33"/>
      <c r="AN464" s="33"/>
      <c r="AO464" s="33"/>
      <c r="AP464" s="33"/>
      <c r="AQ464" s="33"/>
      <c r="AR464" s="33"/>
    </row>
    <row r="465" spans="2:44" ht="25.5" customHeight="1"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L465" s="33"/>
      <c r="AM465" s="33"/>
      <c r="AN465" s="33"/>
      <c r="AO465" s="33"/>
      <c r="AP465" s="33"/>
      <c r="AQ465" s="33"/>
      <c r="AR465" s="33"/>
    </row>
    <row r="466" spans="2:44" ht="25.5" customHeight="1"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L466" s="33"/>
      <c r="AM466" s="33"/>
      <c r="AN466" s="33"/>
      <c r="AO466" s="33"/>
      <c r="AP466" s="33"/>
      <c r="AQ466" s="33"/>
      <c r="AR466" s="33"/>
    </row>
    <row r="467" spans="2:44" ht="25.5" customHeight="1"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L467" s="33"/>
      <c r="AM467" s="33"/>
      <c r="AN467" s="33"/>
      <c r="AO467" s="33"/>
      <c r="AP467" s="33"/>
      <c r="AQ467" s="33"/>
      <c r="AR467" s="33"/>
    </row>
    <row r="468" spans="2:44" ht="25.5" customHeight="1"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L468" s="33"/>
      <c r="AM468" s="33"/>
      <c r="AN468" s="33"/>
      <c r="AO468" s="33"/>
      <c r="AP468" s="33"/>
      <c r="AQ468" s="33"/>
      <c r="AR468" s="33"/>
    </row>
    <row r="469" spans="2:44" ht="25.5" customHeight="1"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L469" s="33"/>
      <c r="AM469" s="33"/>
      <c r="AN469" s="33"/>
      <c r="AO469" s="33"/>
      <c r="AP469" s="33"/>
      <c r="AQ469" s="33"/>
      <c r="AR469" s="33"/>
    </row>
    <row r="470" spans="2:44" ht="25.5" customHeight="1"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L470" s="33"/>
      <c r="AM470" s="33"/>
      <c r="AN470" s="33"/>
      <c r="AO470" s="33"/>
      <c r="AP470" s="33"/>
      <c r="AQ470" s="33"/>
      <c r="AR470" s="33"/>
    </row>
    <row r="471" spans="2:44" ht="25.5" customHeight="1"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L471" s="33"/>
      <c r="AM471" s="33"/>
      <c r="AN471" s="33"/>
      <c r="AO471" s="33"/>
      <c r="AP471" s="33"/>
      <c r="AQ471" s="33"/>
      <c r="AR471" s="33"/>
    </row>
    <row r="472" spans="2:44" ht="25.5" customHeight="1"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L472" s="33"/>
      <c r="AM472" s="33"/>
      <c r="AN472" s="33"/>
      <c r="AO472" s="33"/>
      <c r="AP472" s="33"/>
      <c r="AQ472" s="33"/>
      <c r="AR472" s="33"/>
    </row>
    <row r="473" spans="2:44" ht="25.5" customHeight="1"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L473" s="33"/>
      <c r="AM473" s="33"/>
      <c r="AN473" s="33"/>
      <c r="AO473" s="33"/>
      <c r="AP473" s="33"/>
      <c r="AQ473" s="33"/>
      <c r="AR473" s="33"/>
    </row>
    <row r="474" spans="2:44" ht="25.5" customHeight="1"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L474" s="33"/>
      <c r="AM474" s="33"/>
      <c r="AN474" s="33"/>
      <c r="AO474" s="33"/>
      <c r="AP474" s="33"/>
      <c r="AQ474" s="33"/>
      <c r="AR474" s="33"/>
    </row>
    <row r="475" spans="2:44" ht="25.5" customHeight="1"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L475" s="33"/>
      <c r="AM475" s="33"/>
      <c r="AN475" s="33"/>
      <c r="AO475" s="33"/>
      <c r="AP475" s="33"/>
      <c r="AQ475" s="33"/>
      <c r="AR475" s="33"/>
    </row>
    <row r="476" spans="2:44" ht="25.5" customHeight="1"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L476" s="33"/>
      <c r="AM476" s="33"/>
      <c r="AN476" s="33"/>
      <c r="AO476" s="33"/>
      <c r="AP476" s="33"/>
      <c r="AQ476" s="33"/>
      <c r="AR476" s="33"/>
    </row>
    <row r="477" spans="2:44" ht="25.5" customHeight="1"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L477" s="33"/>
      <c r="AM477" s="33"/>
      <c r="AN477" s="33"/>
      <c r="AO477" s="33"/>
      <c r="AP477" s="33"/>
      <c r="AQ477" s="33"/>
      <c r="AR477" s="33"/>
    </row>
    <row r="478" spans="2:44" ht="25.5" customHeight="1"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L478" s="33"/>
      <c r="AM478" s="33"/>
      <c r="AN478" s="33"/>
      <c r="AO478" s="33"/>
      <c r="AP478" s="33"/>
      <c r="AQ478" s="33"/>
      <c r="AR478" s="33"/>
    </row>
    <row r="479" spans="2:44" ht="25.5" customHeight="1"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L479" s="33"/>
      <c r="AM479" s="33"/>
      <c r="AN479" s="33"/>
      <c r="AO479" s="33"/>
      <c r="AP479" s="33"/>
      <c r="AQ479" s="33"/>
      <c r="AR479" s="33"/>
    </row>
    <row r="480" spans="2:44" ht="25.5" customHeight="1"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L480" s="33"/>
      <c r="AM480" s="33"/>
      <c r="AN480" s="33"/>
      <c r="AO480" s="33"/>
      <c r="AP480" s="33"/>
      <c r="AQ480" s="33"/>
      <c r="AR480" s="33"/>
    </row>
    <row r="481" spans="2:44" ht="25.5" customHeight="1"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L481" s="33"/>
      <c r="AM481" s="33"/>
      <c r="AN481" s="33"/>
      <c r="AO481" s="33"/>
      <c r="AP481" s="33"/>
      <c r="AQ481" s="33"/>
      <c r="AR481" s="33"/>
    </row>
    <row r="482" spans="2:44" ht="25.5" customHeight="1"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L482" s="33"/>
      <c r="AM482" s="33"/>
      <c r="AN482" s="33"/>
      <c r="AO482" s="33"/>
      <c r="AP482" s="33"/>
      <c r="AQ482" s="33"/>
      <c r="AR482" s="33"/>
    </row>
    <row r="483" spans="2:44" ht="25.5" customHeight="1"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L483" s="33"/>
      <c r="AM483" s="33"/>
      <c r="AN483" s="33"/>
      <c r="AO483" s="33"/>
      <c r="AP483" s="33"/>
      <c r="AQ483" s="33"/>
      <c r="AR483" s="33"/>
    </row>
    <row r="484" spans="2:44" ht="25.5" customHeight="1"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L484" s="33"/>
      <c r="AM484" s="33"/>
      <c r="AN484" s="33"/>
      <c r="AO484" s="33"/>
      <c r="AP484" s="33"/>
      <c r="AQ484" s="33"/>
      <c r="AR484" s="33"/>
    </row>
    <row r="485" spans="2:44" ht="25.5" customHeight="1"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L485" s="33"/>
      <c r="AM485" s="33"/>
      <c r="AN485" s="33"/>
      <c r="AO485" s="33"/>
      <c r="AP485" s="33"/>
      <c r="AQ485" s="33"/>
      <c r="AR485" s="33"/>
    </row>
    <row r="486" spans="2:44" ht="25.5" customHeight="1"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L486" s="33"/>
      <c r="AM486" s="33"/>
      <c r="AN486" s="33"/>
      <c r="AO486" s="33"/>
      <c r="AP486" s="33"/>
      <c r="AQ486" s="33"/>
      <c r="AR486" s="33"/>
    </row>
    <row r="487" spans="2:44" ht="25.5" customHeight="1"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L487" s="33"/>
      <c r="AM487" s="33"/>
      <c r="AN487" s="33"/>
      <c r="AO487" s="33"/>
      <c r="AP487" s="33"/>
      <c r="AQ487" s="33"/>
      <c r="AR487" s="33"/>
    </row>
    <row r="488" spans="2:44" ht="25.5" customHeight="1"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L488" s="33"/>
      <c r="AM488" s="33"/>
      <c r="AN488" s="33"/>
      <c r="AO488" s="33"/>
      <c r="AP488" s="33"/>
      <c r="AQ488" s="33"/>
      <c r="AR488" s="33"/>
    </row>
    <row r="489" spans="2:44" ht="25.5" customHeight="1"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L489" s="33"/>
      <c r="AM489" s="33"/>
      <c r="AN489" s="33"/>
      <c r="AO489" s="33"/>
      <c r="AP489" s="33"/>
      <c r="AQ489" s="33"/>
      <c r="AR489" s="33"/>
    </row>
    <row r="490" spans="2:44" ht="25.5" customHeight="1"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L490" s="33"/>
      <c r="AM490" s="33"/>
      <c r="AN490" s="33"/>
      <c r="AO490" s="33"/>
      <c r="AP490" s="33"/>
      <c r="AQ490" s="33"/>
      <c r="AR490" s="33"/>
    </row>
    <row r="491" spans="2:44" ht="25.5" customHeight="1"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L491" s="33"/>
      <c r="AM491" s="33"/>
      <c r="AN491" s="33"/>
      <c r="AO491" s="33"/>
      <c r="AP491" s="33"/>
      <c r="AQ491" s="33"/>
      <c r="AR491" s="33"/>
    </row>
    <row r="492" spans="2:44" ht="25.5" customHeight="1"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L492" s="33"/>
      <c r="AM492" s="33"/>
      <c r="AN492" s="33"/>
      <c r="AO492" s="33"/>
      <c r="AP492" s="33"/>
      <c r="AQ492" s="33"/>
      <c r="AR492" s="33"/>
    </row>
    <row r="493" spans="2:44" ht="25.5" customHeight="1"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L493" s="33"/>
      <c r="AM493" s="33"/>
      <c r="AN493" s="33"/>
      <c r="AO493" s="33"/>
      <c r="AP493" s="33"/>
      <c r="AQ493" s="33"/>
      <c r="AR493" s="33"/>
    </row>
    <row r="494" spans="2:44" ht="25.5" customHeight="1"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L494" s="33"/>
      <c r="AM494" s="33"/>
      <c r="AN494" s="33"/>
      <c r="AO494" s="33"/>
      <c r="AP494" s="33"/>
      <c r="AQ494" s="33"/>
      <c r="AR494" s="33"/>
    </row>
    <row r="495" spans="2:44" ht="25.5" customHeight="1"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L495" s="33"/>
      <c r="AM495" s="33"/>
      <c r="AN495" s="33"/>
      <c r="AO495" s="33"/>
      <c r="AP495" s="33"/>
      <c r="AQ495" s="33"/>
      <c r="AR495" s="33"/>
    </row>
    <row r="496" spans="2:44" ht="25.5" customHeight="1"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L496" s="33"/>
      <c r="AM496" s="33"/>
      <c r="AN496" s="33"/>
      <c r="AO496" s="33"/>
      <c r="AP496" s="33"/>
      <c r="AQ496" s="33"/>
      <c r="AR496" s="33"/>
    </row>
    <row r="497" spans="2:44" ht="25.5" customHeight="1"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L497" s="33"/>
      <c r="AM497" s="33"/>
      <c r="AN497" s="33"/>
      <c r="AO497" s="33"/>
      <c r="AP497" s="33"/>
      <c r="AQ497" s="33"/>
      <c r="AR497" s="33"/>
    </row>
    <row r="498" spans="2:44" ht="25.5" customHeight="1"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L498" s="33"/>
      <c r="AM498" s="33"/>
      <c r="AN498" s="33"/>
      <c r="AO498" s="33"/>
      <c r="AP498" s="33"/>
      <c r="AQ498" s="33"/>
      <c r="AR498" s="33"/>
    </row>
    <row r="499" spans="2:44" ht="25.5" customHeight="1"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L499" s="33"/>
      <c r="AM499" s="33"/>
      <c r="AN499" s="33"/>
      <c r="AO499" s="33"/>
      <c r="AP499" s="33"/>
      <c r="AQ499" s="33"/>
      <c r="AR499" s="33"/>
    </row>
    <row r="500" spans="2:44" ht="25.5" customHeight="1"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L500" s="33"/>
      <c r="AM500" s="33"/>
      <c r="AN500" s="33"/>
      <c r="AO500" s="33"/>
      <c r="AP500" s="33"/>
      <c r="AQ500" s="33"/>
      <c r="AR500" s="33"/>
    </row>
    <row r="501" spans="2:44" ht="25.5" customHeight="1"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L501" s="33"/>
      <c r="AM501" s="33"/>
      <c r="AN501" s="33"/>
      <c r="AO501" s="33"/>
      <c r="AP501" s="33"/>
      <c r="AQ501" s="33"/>
      <c r="AR501" s="33"/>
    </row>
    <row r="502" spans="2:44" ht="25.5" customHeight="1"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L502" s="33"/>
      <c r="AM502" s="33"/>
      <c r="AN502" s="33"/>
      <c r="AO502" s="33"/>
      <c r="AP502" s="33"/>
      <c r="AQ502" s="33"/>
      <c r="AR502" s="33"/>
    </row>
    <row r="503" spans="2:44" ht="25.5" customHeight="1"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L503" s="33"/>
      <c r="AM503" s="33"/>
      <c r="AN503" s="33"/>
      <c r="AO503" s="33"/>
      <c r="AP503" s="33"/>
      <c r="AQ503" s="33"/>
      <c r="AR503" s="33"/>
    </row>
    <row r="504" spans="2:44" ht="25.5" customHeight="1"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L504" s="33"/>
      <c r="AM504" s="33"/>
      <c r="AN504" s="33"/>
      <c r="AO504" s="33"/>
      <c r="AP504" s="33"/>
      <c r="AQ504" s="33"/>
      <c r="AR504" s="33"/>
    </row>
    <row r="505" spans="2:44" ht="25.5" customHeight="1"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L505" s="33"/>
      <c r="AM505" s="33"/>
      <c r="AN505" s="33"/>
      <c r="AO505" s="33"/>
      <c r="AP505" s="33"/>
      <c r="AQ505" s="33"/>
      <c r="AR505" s="33"/>
    </row>
    <row r="506" spans="2:44" ht="25.5" customHeight="1"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L506" s="33"/>
      <c r="AM506" s="33"/>
      <c r="AN506" s="33"/>
      <c r="AO506" s="33"/>
      <c r="AP506" s="33"/>
      <c r="AQ506" s="33"/>
      <c r="AR506" s="33"/>
    </row>
    <row r="507" spans="2:44" ht="25.5" customHeight="1"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L507" s="33"/>
      <c r="AM507" s="33"/>
      <c r="AN507" s="33"/>
      <c r="AO507" s="33"/>
      <c r="AP507" s="33"/>
      <c r="AQ507" s="33"/>
      <c r="AR507" s="33"/>
    </row>
    <row r="508" spans="2:44" ht="25.5" customHeight="1"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L508" s="33"/>
      <c r="AM508" s="33"/>
      <c r="AN508" s="33"/>
      <c r="AO508" s="33"/>
      <c r="AP508" s="33"/>
      <c r="AQ508" s="33"/>
      <c r="AR508" s="33"/>
    </row>
    <row r="509" spans="2:44" ht="25.5" customHeight="1"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L509" s="33"/>
      <c r="AM509" s="33"/>
      <c r="AN509" s="33"/>
      <c r="AO509" s="33"/>
      <c r="AP509" s="33"/>
      <c r="AQ509" s="33"/>
      <c r="AR509" s="33"/>
    </row>
    <row r="510" spans="2:44" ht="25.5" customHeight="1"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L510" s="33"/>
      <c r="AM510" s="33"/>
      <c r="AN510" s="33"/>
      <c r="AO510" s="33"/>
      <c r="AP510" s="33"/>
      <c r="AQ510" s="33"/>
      <c r="AR510" s="33"/>
    </row>
    <row r="511" spans="2:44" ht="25.5" customHeight="1"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L511" s="33"/>
      <c r="AM511" s="33"/>
      <c r="AN511" s="33"/>
      <c r="AO511" s="33"/>
      <c r="AP511" s="33"/>
      <c r="AQ511" s="33"/>
      <c r="AR511" s="33"/>
    </row>
    <row r="512" spans="2:44" ht="25.5" customHeight="1"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L512" s="33"/>
      <c r="AM512" s="33"/>
      <c r="AN512" s="33"/>
      <c r="AO512" s="33"/>
      <c r="AP512" s="33"/>
      <c r="AQ512" s="33"/>
      <c r="AR512" s="33"/>
    </row>
    <row r="513" spans="2:44" ht="25.5" customHeight="1"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L513" s="33"/>
      <c r="AM513" s="33"/>
      <c r="AN513" s="33"/>
      <c r="AO513" s="33"/>
      <c r="AP513" s="33"/>
      <c r="AQ513" s="33"/>
      <c r="AR513" s="33"/>
    </row>
    <row r="514" spans="2:44" ht="25.5" customHeight="1"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L514" s="33"/>
      <c r="AM514" s="33"/>
      <c r="AN514" s="33"/>
      <c r="AO514" s="33"/>
      <c r="AP514" s="33"/>
      <c r="AQ514" s="33"/>
      <c r="AR514" s="33"/>
    </row>
    <row r="515" spans="2:44" ht="25.5" customHeight="1"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L515" s="33"/>
      <c r="AM515" s="33"/>
      <c r="AN515" s="33"/>
      <c r="AO515" s="33"/>
      <c r="AP515" s="33"/>
      <c r="AQ515" s="33"/>
      <c r="AR515" s="33"/>
    </row>
    <row r="516" spans="2:44" ht="25.5" customHeight="1"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L516" s="33"/>
      <c r="AM516" s="33"/>
      <c r="AN516" s="33"/>
      <c r="AO516" s="33"/>
      <c r="AP516" s="33"/>
      <c r="AQ516" s="33"/>
      <c r="AR516" s="33"/>
    </row>
    <row r="517" spans="2:44" ht="25.5" customHeight="1"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L517" s="33"/>
      <c r="AM517" s="33"/>
      <c r="AN517" s="33"/>
      <c r="AO517" s="33"/>
      <c r="AP517" s="33"/>
      <c r="AQ517" s="33"/>
      <c r="AR517" s="33"/>
    </row>
    <row r="518" spans="2:44" ht="25.5" customHeight="1"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L518" s="33"/>
      <c r="AM518" s="33"/>
      <c r="AN518" s="33"/>
      <c r="AO518" s="33"/>
      <c r="AP518" s="33"/>
      <c r="AQ518" s="33"/>
      <c r="AR518" s="33"/>
    </row>
    <row r="519" spans="2:44" ht="25.5" customHeight="1"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L519" s="33"/>
      <c r="AM519" s="33"/>
      <c r="AN519" s="33"/>
      <c r="AO519" s="33"/>
      <c r="AP519" s="33"/>
      <c r="AQ519" s="33"/>
      <c r="AR519" s="33"/>
    </row>
    <row r="520" spans="2:44" ht="25.5" customHeight="1"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L520" s="33"/>
      <c r="AM520" s="33"/>
      <c r="AN520" s="33"/>
      <c r="AO520" s="33"/>
      <c r="AP520" s="33"/>
      <c r="AQ520" s="33"/>
      <c r="AR520" s="33"/>
    </row>
    <row r="521" spans="2:44" ht="25.5" customHeight="1"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L521" s="33"/>
      <c r="AM521" s="33"/>
      <c r="AN521" s="33"/>
      <c r="AO521" s="33"/>
      <c r="AP521" s="33"/>
      <c r="AQ521" s="33"/>
      <c r="AR521" s="33"/>
    </row>
    <row r="522" spans="2:44" ht="25.5" customHeight="1"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L522" s="33"/>
      <c r="AM522" s="33"/>
      <c r="AN522" s="33"/>
      <c r="AO522" s="33"/>
      <c r="AP522" s="33"/>
      <c r="AQ522" s="33"/>
      <c r="AR522" s="33"/>
    </row>
    <row r="523" spans="2:44" ht="25.5" customHeight="1"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L523" s="33"/>
      <c r="AM523" s="33"/>
      <c r="AN523" s="33"/>
      <c r="AO523" s="33"/>
      <c r="AP523" s="33"/>
      <c r="AQ523" s="33"/>
      <c r="AR523" s="33"/>
    </row>
    <row r="524" spans="2:44" ht="25.5" customHeight="1"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L524" s="33"/>
      <c r="AM524" s="33"/>
      <c r="AN524" s="33"/>
      <c r="AO524" s="33"/>
      <c r="AP524" s="33"/>
      <c r="AQ524" s="33"/>
      <c r="AR524" s="33"/>
    </row>
    <row r="525" spans="2:44" ht="25.5" customHeight="1"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L525" s="33"/>
      <c r="AM525" s="33"/>
      <c r="AN525" s="33"/>
      <c r="AO525" s="33"/>
      <c r="AP525" s="33"/>
      <c r="AQ525" s="33"/>
      <c r="AR525" s="33"/>
    </row>
    <row r="526" spans="2:44" ht="25.5" customHeight="1"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L526" s="33"/>
      <c r="AM526" s="33"/>
      <c r="AN526" s="33"/>
      <c r="AO526" s="33"/>
      <c r="AP526" s="33"/>
      <c r="AQ526" s="33"/>
      <c r="AR526" s="33"/>
    </row>
    <row r="527" spans="2:44" ht="25.5" customHeight="1"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L527" s="33"/>
      <c r="AM527" s="33"/>
      <c r="AN527" s="33"/>
      <c r="AO527" s="33"/>
      <c r="AP527" s="33"/>
      <c r="AQ527" s="33"/>
      <c r="AR527" s="33"/>
    </row>
    <row r="528" spans="2:44" ht="25.5" customHeight="1"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L528" s="33"/>
      <c r="AM528" s="33"/>
      <c r="AN528" s="33"/>
      <c r="AO528" s="33"/>
      <c r="AP528" s="33"/>
      <c r="AQ528" s="33"/>
      <c r="AR528" s="33"/>
    </row>
    <row r="529" spans="2:44" ht="25.5" customHeight="1"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L529" s="33"/>
      <c r="AM529" s="33"/>
      <c r="AN529" s="33"/>
      <c r="AO529" s="33"/>
      <c r="AP529" s="33"/>
      <c r="AQ529" s="33"/>
      <c r="AR529" s="33"/>
    </row>
    <row r="530" spans="2:44" ht="25.5" customHeight="1"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L530" s="33"/>
      <c r="AM530" s="33"/>
      <c r="AN530" s="33"/>
      <c r="AO530" s="33"/>
      <c r="AP530" s="33"/>
      <c r="AQ530" s="33"/>
      <c r="AR530" s="33"/>
    </row>
    <row r="531" spans="2:44" ht="25.5" customHeight="1"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L531" s="33"/>
      <c r="AM531" s="33"/>
      <c r="AN531" s="33"/>
      <c r="AO531" s="33"/>
      <c r="AP531" s="33"/>
      <c r="AQ531" s="33"/>
      <c r="AR531" s="33"/>
    </row>
    <row r="532" spans="2:44" ht="25.5" customHeight="1"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L532" s="33"/>
      <c r="AM532" s="33"/>
      <c r="AN532" s="33"/>
      <c r="AO532" s="33"/>
      <c r="AP532" s="33"/>
      <c r="AQ532" s="33"/>
      <c r="AR532" s="33"/>
    </row>
    <row r="533" spans="2:44" ht="25.5" customHeight="1"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L533" s="33"/>
      <c r="AM533" s="33"/>
      <c r="AN533" s="33"/>
      <c r="AO533" s="33"/>
      <c r="AP533" s="33"/>
      <c r="AQ533" s="33"/>
      <c r="AR533" s="33"/>
    </row>
    <row r="534" spans="2:44" ht="25.5" customHeight="1"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L534" s="33"/>
      <c r="AM534" s="33"/>
      <c r="AN534" s="33"/>
      <c r="AO534" s="33"/>
      <c r="AP534" s="33"/>
      <c r="AQ534" s="33"/>
      <c r="AR534" s="33"/>
    </row>
    <row r="535" spans="2:44" ht="25.5" customHeight="1"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L535" s="33"/>
      <c r="AM535" s="33"/>
      <c r="AN535" s="33"/>
      <c r="AO535" s="33"/>
      <c r="AP535" s="33"/>
      <c r="AQ535" s="33"/>
      <c r="AR535" s="33"/>
    </row>
    <row r="536" spans="2:44" ht="25.5" customHeight="1"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L536" s="33"/>
      <c r="AM536" s="33"/>
      <c r="AN536" s="33"/>
      <c r="AO536" s="33"/>
      <c r="AP536" s="33"/>
      <c r="AQ536" s="33"/>
      <c r="AR536" s="33"/>
    </row>
    <row r="537" spans="2:44" ht="25.5" customHeight="1"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L537" s="33"/>
      <c r="AM537" s="33"/>
      <c r="AN537" s="33"/>
      <c r="AO537" s="33"/>
      <c r="AP537" s="33"/>
      <c r="AQ537" s="33"/>
      <c r="AR537" s="33"/>
    </row>
    <row r="538" spans="2:44" ht="25.5" customHeight="1"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L538" s="33"/>
      <c r="AM538" s="33"/>
      <c r="AN538" s="33"/>
      <c r="AO538" s="33"/>
      <c r="AP538" s="33"/>
      <c r="AQ538" s="33"/>
      <c r="AR538" s="33"/>
    </row>
    <row r="539" spans="2:44" ht="25.5" customHeight="1"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L539" s="33"/>
      <c r="AM539" s="33"/>
      <c r="AN539" s="33"/>
      <c r="AO539" s="33"/>
      <c r="AP539" s="33"/>
      <c r="AQ539" s="33"/>
      <c r="AR539" s="33"/>
    </row>
    <row r="540" spans="2:44" ht="25.5" customHeight="1"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L540" s="33"/>
      <c r="AM540" s="33"/>
      <c r="AN540" s="33"/>
      <c r="AO540" s="33"/>
      <c r="AP540" s="33"/>
      <c r="AQ540" s="33"/>
      <c r="AR540" s="33"/>
    </row>
    <row r="541" spans="2:44" ht="25.5" customHeight="1"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L541" s="33"/>
      <c r="AM541" s="33"/>
      <c r="AN541" s="33"/>
      <c r="AO541" s="33"/>
      <c r="AP541" s="33"/>
      <c r="AQ541" s="33"/>
      <c r="AR541" s="33"/>
    </row>
    <row r="542" spans="2:44" ht="25.5" customHeight="1"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L542" s="33"/>
      <c r="AM542" s="33"/>
      <c r="AN542" s="33"/>
      <c r="AO542" s="33"/>
      <c r="AP542" s="33"/>
      <c r="AQ542" s="33"/>
      <c r="AR542" s="33"/>
    </row>
    <row r="543" spans="2:44" ht="25.5" customHeight="1"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L543" s="33"/>
      <c r="AM543" s="33"/>
      <c r="AN543" s="33"/>
      <c r="AO543" s="33"/>
      <c r="AP543" s="33"/>
      <c r="AQ543" s="33"/>
      <c r="AR543" s="33"/>
    </row>
    <row r="544" spans="2:44" ht="25.5" customHeight="1"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L544" s="33"/>
      <c r="AM544" s="33"/>
      <c r="AN544" s="33"/>
      <c r="AO544" s="33"/>
      <c r="AP544" s="33"/>
      <c r="AQ544" s="33"/>
      <c r="AR544" s="33"/>
    </row>
    <row r="545" spans="2:44" ht="25.5" customHeight="1"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L545" s="33"/>
      <c r="AM545" s="33"/>
      <c r="AN545" s="33"/>
      <c r="AO545" s="33"/>
      <c r="AP545" s="33"/>
      <c r="AQ545" s="33"/>
      <c r="AR545" s="33"/>
    </row>
    <row r="546" spans="2:44" ht="25.5" customHeight="1"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L546" s="33"/>
      <c r="AM546" s="33"/>
      <c r="AN546" s="33"/>
      <c r="AO546" s="33"/>
      <c r="AP546" s="33"/>
      <c r="AQ546" s="33"/>
      <c r="AR546" s="33"/>
    </row>
    <row r="547" spans="2:44" ht="25.5" customHeight="1"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L547" s="33"/>
      <c r="AM547" s="33"/>
      <c r="AN547" s="33"/>
      <c r="AO547" s="33"/>
      <c r="AP547" s="33"/>
      <c r="AQ547" s="33"/>
      <c r="AR547" s="33"/>
    </row>
    <row r="548" spans="2:44" ht="25.5" customHeight="1"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L548" s="33"/>
      <c r="AM548" s="33"/>
      <c r="AN548" s="33"/>
      <c r="AO548" s="33"/>
      <c r="AP548" s="33"/>
      <c r="AQ548" s="33"/>
      <c r="AR548" s="33"/>
    </row>
    <row r="549" spans="2:44" ht="25.5" customHeight="1"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L549" s="33"/>
      <c r="AM549" s="33"/>
      <c r="AN549" s="33"/>
      <c r="AO549" s="33"/>
      <c r="AP549" s="33"/>
      <c r="AQ549" s="33"/>
      <c r="AR549" s="33"/>
    </row>
    <row r="550" spans="2:44" ht="25.5" customHeight="1"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L550" s="33"/>
      <c r="AM550" s="33"/>
      <c r="AN550" s="33"/>
      <c r="AO550" s="33"/>
      <c r="AP550" s="33"/>
      <c r="AQ550" s="33"/>
      <c r="AR550" s="33"/>
    </row>
    <row r="551" spans="2:44" ht="25.5" customHeight="1"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L551" s="33"/>
      <c r="AM551" s="33"/>
      <c r="AN551" s="33"/>
      <c r="AO551" s="33"/>
      <c r="AP551" s="33"/>
      <c r="AQ551" s="33"/>
      <c r="AR551" s="33"/>
    </row>
    <row r="552" spans="2:44" ht="25.5" customHeight="1"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L552" s="33"/>
      <c r="AM552" s="33"/>
      <c r="AN552" s="33"/>
      <c r="AO552" s="33"/>
      <c r="AP552" s="33"/>
      <c r="AQ552" s="33"/>
      <c r="AR552" s="33"/>
    </row>
    <row r="553" spans="2:44" ht="25.5" customHeight="1"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L553" s="33"/>
      <c r="AM553" s="33"/>
      <c r="AN553" s="33"/>
      <c r="AO553" s="33"/>
      <c r="AP553" s="33"/>
      <c r="AQ553" s="33"/>
      <c r="AR553" s="33"/>
    </row>
    <row r="554" spans="2:44" ht="25.5" customHeight="1"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L554" s="33"/>
      <c r="AM554" s="33"/>
      <c r="AN554" s="33"/>
      <c r="AO554" s="33"/>
      <c r="AP554" s="33"/>
      <c r="AQ554" s="33"/>
      <c r="AR554" s="33"/>
    </row>
    <row r="555" spans="2:44" ht="25.5" customHeight="1"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L555" s="33"/>
      <c r="AM555" s="33"/>
      <c r="AN555" s="33"/>
      <c r="AO555" s="33"/>
      <c r="AP555" s="33"/>
      <c r="AQ555" s="33"/>
      <c r="AR555" s="33"/>
    </row>
    <row r="556" spans="2:44" ht="25.5" customHeight="1"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L556" s="33"/>
      <c r="AM556" s="33"/>
      <c r="AN556" s="33"/>
      <c r="AO556" s="33"/>
      <c r="AP556" s="33"/>
      <c r="AQ556" s="33"/>
      <c r="AR556" s="33"/>
    </row>
    <row r="557" spans="2:44" ht="25.5" customHeight="1"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L557" s="33"/>
      <c r="AM557" s="33"/>
      <c r="AN557" s="33"/>
      <c r="AO557" s="33"/>
      <c r="AP557" s="33"/>
      <c r="AQ557" s="33"/>
      <c r="AR557" s="33"/>
    </row>
    <row r="558" spans="2:44" ht="25.5" customHeight="1"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L558" s="33"/>
      <c r="AM558" s="33"/>
      <c r="AN558" s="33"/>
      <c r="AO558" s="33"/>
      <c r="AP558" s="33"/>
      <c r="AQ558" s="33"/>
      <c r="AR558" s="33"/>
    </row>
    <row r="559" spans="2:44" ht="25.5" customHeight="1"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L559" s="33"/>
      <c r="AM559" s="33"/>
      <c r="AN559" s="33"/>
      <c r="AO559" s="33"/>
      <c r="AP559" s="33"/>
      <c r="AQ559" s="33"/>
      <c r="AR559" s="33"/>
    </row>
    <row r="560" spans="2:44" ht="25.5" customHeight="1"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L560" s="33"/>
      <c r="AM560" s="33"/>
      <c r="AN560" s="33"/>
      <c r="AO560" s="33"/>
      <c r="AP560" s="33"/>
      <c r="AQ560" s="33"/>
      <c r="AR560" s="33"/>
    </row>
    <row r="561" spans="2:44" ht="25.5" customHeight="1"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L561" s="33"/>
      <c r="AM561" s="33"/>
      <c r="AN561" s="33"/>
      <c r="AO561" s="33"/>
      <c r="AP561" s="33"/>
      <c r="AQ561" s="33"/>
      <c r="AR561" s="33"/>
    </row>
    <row r="562" spans="2:44" ht="25.5" customHeight="1"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L562" s="33"/>
      <c r="AM562" s="33"/>
      <c r="AN562" s="33"/>
      <c r="AO562" s="33"/>
      <c r="AP562" s="33"/>
      <c r="AQ562" s="33"/>
      <c r="AR562" s="33"/>
    </row>
    <row r="563" spans="2:44" ht="25.5" customHeight="1"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L563" s="33"/>
      <c r="AM563" s="33"/>
      <c r="AN563" s="33"/>
      <c r="AO563" s="33"/>
      <c r="AP563" s="33"/>
      <c r="AQ563" s="33"/>
      <c r="AR563" s="33"/>
    </row>
    <row r="564" spans="2:44" ht="25.5" customHeight="1"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L564" s="33"/>
      <c r="AM564" s="33"/>
      <c r="AN564" s="33"/>
      <c r="AO564" s="33"/>
      <c r="AP564" s="33"/>
      <c r="AQ564" s="33"/>
      <c r="AR564" s="33"/>
    </row>
    <row r="565" spans="2:44" ht="25.5" customHeight="1"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L565" s="33"/>
      <c r="AM565" s="33"/>
      <c r="AN565" s="33"/>
      <c r="AO565" s="33"/>
      <c r="AP565" s="33"/>
      <c r="AQ565" s="33"/>
      <c r="AR565" s="33"/>
    </row>
    <row r="566" spans="2:44" ht="25.5" customHeight="1"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L566" s="33"/>
      <c r="AM566" s="33"/>
      <c r="AN566" s="33"/>
      <c r="AO566" s="33"/>
      <c r="AP566" s="33"/>
      <c r="AQ566" s="33"/>
      <c r="AR566" s="33"/>
    </row>
    <row r="567" spans="2:44" ht="25.5" customHeight="1"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L567" s="33"/>
      <c r="AM567" s="33"/>
      <c r="AN567" s="33"/>
      <c r="AO567" s="33"/>
      <c r="AP567" s="33"/>
      <c r="AQ567" s="33"/>
      <c r="AR567" s="33"/>
    </row>
    <row r="568" spans="2:44" ht="25.5" customHeight="1"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L568" s="33"/>
      <c r="AM568" s="33"/>
      <c r="AN568" s="33"/>
      <c r="AO568" s="33"/>
      <c r="AP568" s="33"/>
      <c r="AQ568" s="33"/>
      <c r="AR568" s="33"/>
    </row>
    <row r="569" spans="2:44" ht="25.5" customHeight="1"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L569" s="33"/>
      <c r="AM569" s="33"/>
      <c r="AN569" s="33"/>
      <c r="AO569" s="33"/>
      <c r="AP569" s="33"/>
      <c r="AQ569" s="33"/>
      <c r="AR569" s="33"/>
    </row>
    <row r="570" spans="2:44" ht="25.5" customHeight="1"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L570" s="33"/>
      <c r="AM570" s="33"/>
      <c r="AN570" s="33"/>
      <c r="AO570" s="33"/>
      <c r="AP570" s="33"/>
      <c r="AQ570" s="33"/>
      <c r="AR570" s="33"/>
    </row>
    <row r="571" spans="2:44" ht="25.5" customHeight="1"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L571" s="33"/>
      <c r="AM571" s="33"/>
      <c r="AN571" s="33"/>
      <c r="AO571" s="33"/>
      <c r="AP571" s="33"/>
      <c r="AQ571" s="33"/>
      <c r="AR571" s="33"/>
    </row>
    <row r="572" spans="2:44" ht="25.5" customHeight="1"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L572" s="33"/>
      <c r="AM572" s="33"/>
      <c r="AN572" s="33"/>
      <c r="AO572" s="33"/>
      <c r="AP572" s="33"/>
      <c r="AQ572" s="33"/>
      <c r="AR572" s="33"/>
    </row>
    <row r="573" spans="2:44" ht="25.5" customHeight="1"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L573" s="33"/>
      <c r="AM573" s="33"/>
      <c r="AN573" s="33"/>
      <c r="AO573" s="33"/>
      <c r="AP573" s="33"/>
      <c r="AQ573" s="33"/>
      <c r="AR573" s="33"/>
    </row>
    <row r="574" spans="2:44" ht="25.5" customHeight="1"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L574" s="33"/>
      <c r="AM574" s="33"/>
      <c r="AN574" s="33"/>
      <c r="AO574" s="33"/>
      <c r="AP574" s="33"/>
      <c r="AQ574" s="33"/>
      <c r="AR574" s="33"/>
    </row>
    <row r="575" spans="2:44" ht="25.5" customHeight="1"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L575" s="33"/>
      <c r="AM575" s="33"/>
      <c r="AN575" s="33"/>
      <c r="AO575" s="33"/>
      <c r="AP575" s="33"/>
      <c r="AQ575" s="33"/>
      <c r="AR575" s="33"/>
    </row>
    <row r="576" spans="2:44" ht="25.5" customHeight="1"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L576" s="33"/>
      <c r="AM576" s="33"/>
      <c r="AN576" s="33"/>
      <c r="AO576" s="33"/>
      <c r="AP576" s="33"/>
      <c r="AQ576" s="33"/>
      <c r="AR576" s="33"/>
    </row>
    <row r="577" spans="2:44" ht="25.5" customHeight="1"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L577" s="33"/>
      <c r="AM577" s="33"/>
      <c r="AN577" s="33"/>
      <c r="AO577" s="33"/>
      <c r="AP577" s="33"/>
      <c r="AQ577" s="33"/>
      <c r="AR577" s="33"/>
    </row>
    <row r="578" spans="2:44" ht="25.5" customHeight="1"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L578" s="33"/>
      <c r="AM578" s="33"/>
      <c r="AN578" s="33"/>
      <c r="AO578" s="33"/>
      <c r="AP578" s="33"/>
      <c r="AQ578" s="33"/>
      <c r="AR578" s="33"/>
    </row>
    <row r="579" spans="2:44" ht="25.5" customHeight="1"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L579" s="33"/>
      <c r="AM579" s="33"/>
      <c r="AN579" s="33"/>
      <c r="AO579" s="33"/>
      <c r="AP579" s="33"/>
      <c r="AQ579" s="33"/>
      <c r="AR579" s="33"/>
    </row>
    <row r="580" spans="2:44" ht="25.5" customHeight="1"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L580" s="33"/>
      <c r="AM580" s="33"/>
      <c r="AN580" s="33"/>
      <c r="AO580" s="33"/>
      <c r="AP580" s="33"/>
      <c r="AQ580" s="33"/>
      <c r="AR580" s="33"/>
    </row>
    <row r="581" spans="2:44" ht="25.5" customHeight="1"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L581" s="33"/>
      <c r="AM581" s="33"/>
      <c r="AN581" s="33"/>
      <c r="AO581" s="33"/>
      <c r="AP581" s="33"/>
      <c r="AQ581" s="33"/>
      <c r="AR581" s="33"/>
    </row>
    <row r="582" spans="2:44" ht="25.5" customHeight="1"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L582" s="33"/>
      <c r="AM582" s="33"/>
      <c r="AN582" s="33"/>
      <c r="AO582" s="33"/>
      <c r="AP582" s="33"/>
      <c r="AQ582" s="33"/>
      <c r="AR582" s="33"/>
    </row>
    <row r="583" spans="2:44" ht="25.5" customHeight="1"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L583" s="33"/>
      <c r="AM583" s="33"/>
      <c r="AN583" s="33"/>
      <c r="AO583" s="33"/>
      <c r="AP583" s="33"/>
      <c r="AQ583" s="33"/>
      <c r="AR583" s="33"/>
    </row>
    <row r="584" spans="2:44" ht="25.5" customHeight="1"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L584" s="33"/>
      <c r="AM584" s="33"/>
      <c r="AN584" s="33"/>
      <c r="AO584" s="33"/>
      <c r="AP584" s="33"/>
      <c r="AQ584" s="33"/>
      <c r="AR584" s="33"/>
    </row>
    <row r="585" spans="2:44" ht="25.5" customHeight="1"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L585" s="33"/>
      <c r="AM585" s="33"/>
      <c r="AN585" s="33"/>
      <c r="AO585" s="33"/>
      <c r="AP585" s="33"/>
      <c r="AQ585" s="33"/>
      <c r="AR585" s="33"/>
    </row>
    <row r="586" spans="2:44" ht="25.5" customHeight="1"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L586" s="33"/>
      <c r="AM586" s="33"/>
      <c r="AN586" s="33"/>
      <c r="AO586" s="33"/>
      <c r="AP586" s="33"/>
      <c r="AQ586" s="33"/>
      <c r="AR586" s="33"/>
    </row>
    <row r="587" spans="2:44" ht="25.5" customHeight="1"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L587" s="33"/>
      <c r="AM587" s="33"/>
      <c r="AN587" s="33"/>
      <c r="AO587" s="33"/>
      <c r="AP587" s="33"/>
      <c r="AQ587" s="33"/>
      <c r="AR587" s="33"/>
    </row>
    <row r="588" spans="2:44" ht="25.5" customHeight="1"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L588" s="33"/>
      <c r="AM588" s="33"/>
      <c r="AN588" s="33"/>
      <c r="AO588" s="33"/>
      <c r="AP588" s="33"/>
      <c r="AQ588" s="33"/>
      <c r="AR588" s="33"/>
    </row>
    <row r="589" spans="2:44" ht="25.5" customHeight="1"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L589" s="33"/>
      <c r="AM589" s="33"/>
      <c r="AN589" s="33"/>
      <c r="AO589" s="33"/>
      <c r="AP589" s="33"/>
      <c r="AQ589" s="33"/>
      <c r="AR589" s="33"/>
    </row>
    <row r="590" spans="2:44" ht="25.5" customHeight="1"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L590" s="33"/>
      <c r="AM590" s="33"/>
      <c r="AN590" s="33"/>
      <c r="AO590" s="33"/>
      <c r="AP590" s="33"/>
      <c r="AQ590" s="33"/>
      <c r="AR590" s="33"/>
    </row>
    <row r="591" spans="2:44" ht="25.5" customHeight="1"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L591" s="33"/>
      <c r="AM591" s="33"/>
      <c r="AN591" s="33"/>
      <c r="AO591" s="33"/>
      <c r="AP591" s="33"/>
      <c r="AQ591" s="33"/>
      <c r="AR591" s="33"/>
    </row>
    <row r="592" spans="2:44" ht="25.5" customHeight="1"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L592" s="33"/>
      <c r="AM592" s="33"/>
      <c r="AN592" s="33"/>
      <c r="AO592" s="33"/>
      <c r="AP592" s="33"/>
      <c r="AQ592" s="33"/>
      <c r="AR592" s="33"/>
    </row>
    <row r="593" spans="2:44" ht="25.5" customHeight="1"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L593" s="33"/>
      <c r="AM593" s="33"/>
      <c r="AN593" s="33"/>
      <c r="AO593" s="33"/>
      <c r="AP593" s="33"/>
      <c r="AQ593" s="33"/>
      <c r="AR593" s="33"/>
    </row>
    <row r="594" spans="2:44" ht="25.5" customHeight="1"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L594" s="33"/>
      <c r="AM594" s="33"/>
      <c r="AN594" s="33"/>
      <c r="AO594" s="33"/>
      <c r="AP594" s="33"/>
      <c r="AQ594" s="33"/>
      <c r="AR594" s="33"/>
    </row>
    <row r="595" spans="2:44" ht="25.5" customHeight="1"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L595" s="33"/>
      <c r="AM595" s="33"/>
      <c r="AN595" s="33"/>
      <c r="AO595" s="33"/>
      <c r="AP595" s="33"/>
      <c r="AQ595" s="33"/>
      <c r="AR595" s="33"/>
    </row>
    <row r="596" spans="2:44" ht="25.5" customHeight="1"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L596" s="33"/>
      <c r="AM596" s="33"/>
      <c r="AN596" s="33"/>
      <c r="AO596" s="33"/>
      <c r="AP596" s="33"/>
      <c r="AQ596" s="33"/>
      <c r="AR596" s="33"/>
    </row>
    <row r="597" spans="2:44" ht="25.5" customHeight="1"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L597" s="33"/>
      <c r="AM597" s="33"/>
      <c r="AN597" s="33"/>
      <c r="AO597" s="33"/>
      <c r="AP597" s="33"/>
      <c r="AQ597" s="33"/>
      <c r="AR597" s="33"/>
    </row>
    <row r="598" spans="2:44" ht="25.5" customHeight="1"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L598" s="33"/>
      <c r="AM598" s="33"/>
      <c r="AN598" s="33"/>
      <c r="AO598" s="33"/>
      <c r="AP598" s="33"/>
      <c r="AQ598" s="33"/>
      <c r="AR598" s="33"/>
    </row>
    <row r="599" spans="2:44" ht="25.5" customHeight="1"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L599" s="33"/>
      <c r="AM599" s="33"/>
      <c r="AN599" s="33"/>
      <c r="AO599" s="33"/>
      <c r="AP599" s="33"/>
      <c r="AQ599" s="33"/>
      <c r="AR599" s="33"/>
    </row>
    <row r="600" spans="2:44" ht="25.5" customHeight="1"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L600" s="33"/>
      <c r="AM600" s="33"/>
      <c r="AN600" s="33"/>
      <c r="AO600" s="33"/>
      <c r="AP600" s="33"/>
      <c r="AQ600" s="33"/>
      <c r="AR600" s="33"/>
    </row>
    <row r="601" spans="2:44" ht="25.5" customHeight="1"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L601" s="33"/>
      <c r="AM601" s="33"/>
      <c r="AN601" s="33"/>
      <c r="AO601" s="33"/>
      <c r="AP601" s="33"/>
      <c r="AQ601" s="33"/>
      <c r="AR601" s="33"/>
    </row>
    <row r="602" spans="2:44" ht="25.5" customHeight="1"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L602" s="33"/>
      <c r="AM602" s="33"/>
      <c r="AN602" s="33"/>
      <c r="AO602" s="33"/>
      <c r="AP602" s="33"/>
      <c r="AQ602" s="33"/>
      <c r="AR602" s="33"/>
    </row>
    <row r="603" spans="2:44" ht="25.5" customHeight="1"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L603" s="33"/>
      <c r="AM603" s="33"/>
      <c r="AN603" s="33"/>
      <c r="AO603" s="33"/>
      <c r="AP603" s="33"/>
      <c r="AQ603" s="33"/>
      <c r="AR603" s="33"/>
    </row>
    <row r="604" spans="2:44" ht="25.5" customHeight="1"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L604" s="33"/>
      <c r="AM604" s="33"/>
      <c r="AN604" s="33"/>
      <c r="AO604" s="33"/>
      <c r="AP604" s="33"/>
      <c r="AQ604" s="33"/>
      <c r="AR604" s="33"/>
    </row>
    <row r="605" spans="2:44" ht="25.5" customHeight="1"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L605" s="33"/>
      <c r="AM605" s="33"/>
      <c r="AN605" s="33"/>
      <c r="AO605" s="33"/>
      <c r="AP605" s="33"/>
      <c r="AQ605" s="33"/>
      <c r="AR605" s="33"/>
    </row>
    <row r="606" spans="2:44" ht="25.5" customHeight="1"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L606" s="33"/>
      <c r="AM606" s="33"/>
      <c r="AN606" s="33"/>
      <c r="AO606" s="33"/>
      <c r="AP606" s="33"/>
      <c r="AQ606" s="33"/>
      <c r="AR606" s="33"/>
    </row>
    <row r="607" spans="2:44" ht="25.5" customHeight="1"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L607" s="33"/>
      <c r="AM607" s="33"/>
      <c r="AN607" s="33"/>
      <c r="AO607" s="33"/>
      <c r="AP607" s="33"/>
      <c r="AQ607" s="33"/>
      <c r="AR607" s="33"/>
    </row>
    <row r="608" spans="2:44" ht="25.5" customHeight="1"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L608" s="33"/>
      <c r="AM608" s="33"/>
      <c r="AN608" s="33"/>
      <c r="AO608" s="33"/>
      <c r="AP608" s="33"/>
      <c r="AQ608" s="33"/>
      <c r="AR608" s="33"/>
    </row>
    <row r="609" spans="2:44" ht="25.5" customHeight="1"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L609" s="33"/>
      <c r="AM609" s="33"/>
      <c r="AN609" s="33"/>
      <c r="AO609" s="33"/>
      <c r="AP609" s="33"/>
      <c r="AQ609" s="33"/>
      <c r="AR609" s="33"/>
    </row>
    <row r="610" spans="2:44" ht="25.5" customHeight="1"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L610" s="33"/>
      <c r="AM610" s="33"/>
      <c r="AN610" s="33"/>
      <c r="AO610" s="33"/>
      <c r="AP610" s="33"/>
      <c r="AQ610" s="33"/>
      <c r="AR610" s="33"/>
    </row>
    <row r="611" spans="2:44" ht="25.5" customHeight="1"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L611" s="33"/>
      <c r="AM611" s="33"/>
      <c r="AN611" s="33"/>
      <c r="AO611" s="33"/>
      <c r="AP611" s="33"/>
      <c r="AQ611" s="33"/>
      <c r="AR611" s="33"/>
    </row>
    <row r="612" spans="2:44" ht="25.5" customHeight="1"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L612" s="33"/>
      <c r="AM612" s="33"/>
      <c r="AN612" s="33"/>
      <c r="AO612" s="33"/>
      <c r="AP612" s="33"/>
      <c r="AQ612" s="33"/>
      <c r="AR612" s="33"/>
    </row>
    <row r="613" spans="2:44" ht="25.5" customHeight="1"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L613" s="33"/>
      <c r="AM613" s="33"/>
      <c r="AN613" s="33"/>
      <c r="AO613" s="33"/>
      <c r="AP613" s="33"/>
      <c r="AQ613" s="33"/>
      <c r="AR613" s="33"/>
    </row>
    <row r="614" spans="2:44" ht="25.5" customHeight="1"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L614" s="33"/>
      <c r="AM614" s="33"/>
      <c r="AN614" s="33"/>
      <c r="AO614" s="33"/>
      <c r="AP614" s="33"/>
      <c r="AQ614" s="33"/>
      <c r="AR614" s="33"/>
    </row>
    <row r="615" spans="2:44" ht="25.5" customHeight="1"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L615" s="33"/>
      <c r="AM615" s="33"/>
      <c r="AN615" s="33"/>
      <c r="AO615" s="33"/>
      <c r="AP615" s="33"/>
      <c r="AQ615" s="33"/>
      <c r="AR615" s="33"/>
    </row>
    <row r="616" spans="2:44" ht="25.5" customHeight="1"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L616" s="33"/>
      <c r="AM616" s="33"/>
      <c r="AN616" s="33"/>
      <c r="AO616" s="33"/>
      <c r="AP616" s="33"/>
      <c r="AQ616" s="33"/>
      <c r="AR616" s="33"/>
    </row>
    <row r="617" spans="2:44" ht="25.5" customHeight="1"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L617" s="33"/>
      <c r="AM617" s="33"/>
      <c r="AN617" s="33"/>
      <c r="AO617" s="33"/>
      <c r="AP617" s="33"/>
      <c r="AQ617" s="33"/>
      <c r="AR617" s="33"/>
    </row>
    <row r="618" spans="2:44" ht="25.5" customHeight="1"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L618" s="33"/>
      <c r="AM618" s="33"/>
      <c r="AN618" s="33"/>
      <c r="AO618" s="33"/>
      <c r="AP618" s="33"/>
      <c r="AQ618" s="33"/>
      <c r="AR618" s="33"/>
    </row>
    <row r="619" spans="2:44" ht="25.5" customHeight="1"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L619" s="33"/>
      <c r="AM619" s="33"/>
      <c r="AN619" s="33"/>
      <c r="AO619" s="33"/>
      <c r="AP619" s="33"/>
      <c r="AQ619" s="33"/>
      <c r="AR619" s="33"/>
    </row>
    <row r="620" spans="2:44" ht="25.5" customHeight="1"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L620" s="33"/>
      <c r="AM620" s="33"/>
      <c r="AN620" s="33"/>
      <c r="AO620" s="33"/>
      <c r="AP620" s="33"/>
      <c r="AQ620" s="33"/>
      <c r="AR620" s="33"/>
    </row>
    <row r="621" spans="2:44" ht="25.5" customHeight="1"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L621" s="33"/>
      <c r="AM621" s="33"/>
      <c r="AN621" s="33"/>
      <c r="AO621" s="33"/>
      <c r="AP621" s="33"/>
      <c r="AQ621" s="33"/>
      <c r="AR621" s="33"/>
    </row>
    <row r="622" spans="2:44" ht="25.5" customHeight="1"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L622" s="33"/>
      <c r="AM622" s="33"/>
      <c r="AN622" s="33"/>
      <c r="AO622" s="33"/>
      <c r="AP622" s="33"/>
      <c r="AQ622" s="33"/>
      <c r="AR622" s="33"/>
    </row>
    <row r="623" spans="2:44" ht="25.5" customHeight="1"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L623" s="33"/>
      <c r="AM623" s="33"/>
      <c r="AN623" s="33"/>
      <c r="AO623" s="33"/>
      <c r="AP623" s="33"/>
      <c r="AQ623" s="33"/>
      <c r="AR623" s="33"/>
    </row>
    <row r="624" spans="2:44" ht="25.5" customHeight="1"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L624" s="33"/>
      <c r="AM624" s="33"/>
      <c r="AN624" s="33"/>
      <c r="AO624" s="33"/>
      <c r="AP624" s="33"/>
      <c r="AQ624" s="33"/>
      <c r="AR624" s="33"/>
    </row>
    <row r="625" spans="2:44" ht="25.5" customHeight="1"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L625" s="33"/>
      <c r="AM625" s="33"/>
      <c r="AN625" s="33"/>
      <c r="AO625" s="33"/>
      <c r="AP625" s="33"/>
      <c r="AQ625" s="33"/>
      <c r="AR625" s="33"/>
    </row>
    <row r="626" spans="2:44" ht="25.5" customHeight="1"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L626" s="33"/>
      <c r="AM626" s="33"/>
      <c r="AN626" s="33"/>
      <c r="AO626" s="33"/>
      <c r="AP626" s="33"/>
      <c r="AQ626" s="33"/>
      <c r="AR626" s="33"/>
    </row>
    <row r="627" spans="2:44" ht="25.5" customHeight="1"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L627" s="33"/>
      <c r="AM627" s="33"/>
      <c r="AN627" s="33"/>
      <c r="AO627" s="33"/>
      <c r="AP627" s="33"/>
      <c r="AQ627" s="33"/>
      <c r="AR627" s="33"/>
    </row>
    <row r="628" spans="2:44" ht="25.5" customHeight="1"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L628" s="33"/>
      <c r="AM628" s="33"/>
      <c r="AN628" s="33"/>
      <c r="AO628" s="33"/>
      <c r="AP628" s="33"/>
      <c r="AQ628" s="33"/>
      <c r="AR628" s="33"/>
    </row>
    <row r="629" spans="2:44" ht="25.5" customHeight="1"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L629" s="33"/>
      <c r="AM629" s="33"/>
      <c r="AN629" s="33"/>
      <c r="AO629" s="33"/>
      <c r="AP629" s="33"/>
      <c r="AQ629" s="33"/>
      <c r="AR629" s="33"/>
    </row>
    <row r="630" spans="2:44" ht="25.5" customHeight="1"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L630" s="33"/>
      <c r="AM630" s="33"/>
      <c r="AN630" s="33"/>
      <c r="AO630" s="33"/>
      <c r="AP630" s="33"/>
      <c r="AQ630" s="33"/>
      <c r="AR630" s="33"/>
    </row>
    <row r="631" spans="2:44" ht="25.5" customHeight="1"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L631" s="33"/>
      <c r="AM631" s="33"/>
      <c r="AN631" s="33"/>
      <c r="AO631" s="33"/>
      <c r="AP631" s="33"/>
      <c r="AQ631" s="33"/>
      <c r="AR631" s="33"/>
    </row>
    <row r="632" spans="2:44" ht="25.5" customHeight="1"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L632" s="33"/>
      <c r="AM632" s="33"/>
      <c r="AN632" s="33"/>
      <c r="AO632" s="33"/>
      <c r="AP632" s="33"/>
      <c r="AQ632" s="33"/>
      <c r="AR632" s="33"/>
    </row>
    <row r="633" spans="2:44" ht="25.5" customHeight="1"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L633" s="33"/>
      <c r="AM633" s="33"/>
      <c r="AN633" s="33"/>
      <c r="AO633" s="33"/>
      <c r="AP633" s="33"/>
      <c r="AQ633" s="33"/>
      <c r="AR633" s="33"/>
    </row>
    <row r="634" spans="2:44" ht="25.5" customHeight="1"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L634" s="33"/>
      <c r="AM634" s="33"/>
      <c r="AN634" s="33"/>
      <c r="AO634" s="33"/>
      <c r="AP634" s="33"/>
      <c r="AQ634" s="33"/>
      <c r="AR634" s="33"/>
    </row>
    <row r="635" spans="2:44" ht="25.5" customHeight="1"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L635" s="33"/>
      <c r="AM635" s="33"/>
      <c r="AN635" s="33"/>
      <c r="AO635" s="33"/>
      <c r="AP635" s="33"/>
      <c r="AQ635" s="33"/>
      <c r="AR635" s="33"/>
    </row>
    <row r="636" spans="2:44" ht="25.5" customHeight="1"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L636" s="33"/>
      <c r="AM636" s="33"/>
      <c r="AN636" s="33"/>
      <c r="AO636" s="33"/>
      <c r="AP636" s="33"/>
      <c r="AQ636" s="33"/>
      <c r="AR636" s="33"/>
    </row>
    <row r="637" spans="2:44" ht="25.5" customHeight="1"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L637" s="33"/>
      <c r="AM637" s="33"/>
      <c r="AN637" s="33"/>
      <c r="AO637" s="33"/>
      <c r="AP637" s="33"/>
      <c r="AQ637" s="33"/>
      <c r="AR637" s="33"/>
    </row>
    <row r="638" spans="2:44" ht="25.5" customHeight="1"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L638" s="33"/>
      <c r="AM638" s="33"/>
      <c r="AN638" s="33"/>
      <c r="AO638" s="33"/>
      <c r="AP638" s="33"/>
      <c r="AQ638" s="33"/>
      <c r="AR638" s="33"/>
    </row>
    <row r="639" spans="2:44" ht="25.5" customHeight="1"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L639" s="33"/>
      <c r="AM639" s="33"/>
      <c r="AN639" s="33"/>
      <c r="AO639" s="33"/>
      <c r="AP639" s="33"/>
      <c r="AQ639" s="33"/>
      <c r="AR639" s="33"/>
    </row>
    <row r="640" spans="2:44" ht="25.5" customHeight="1"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L640" s="33"/>
      <c r="AM640" s="33"/>
      <c r="AN640" s="33"/>
      <c r="AO640" s="33"/>
      <c r="AP640" s="33"/>
      <c r="AQ640" s="33"/>
      <c r="AR640" s="33"/>
    </row>
    <row r="641" spans="2:44" ht="25.5" customHeight="1"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L641" s="33"/>
      <c r="AM641" s="33"/>
      <c r="AN641" s="33"/>
      <c r="AO641" s="33"/>
      <c r="AP641" s="33"/>
      <c r="AQ641" s="33"/>
      <c r="AR641" s="33"/>
    </row>
    <row r="642" spans="2:44" ht="25.5" customHeight="1"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L642" s="33"/>
      <c r="AM642" s="33"/>
      <c r="AN642" s="33"/>
      <c r="AO642" s="33"/>
      <c r="AP642" s="33"/>
      <c r="AQ642" s="33"/>
      <c r="AR642" s="33"/>
    </row>
    <row r="643" spans="2:44" ht="25.5" customHeight="1"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L643" s="33"/>
      <c r="AM643" s="33"/>
      <c r="AN643" s="33"/>
      <c r="AO643" s="33"/>
      <c r="AP643" s="33"/>
      <c r="AQ643" s="33"/>
      <c r="AR643" s="33"/>
    </row>
    <row r="644" spans="2:44" ht="25.5" customHeight="1"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L644" s="33"/>
      <c r="AM644" s="33"/>
      <c r="AN644" s="33"/>
      <c r="AO644" s="33"/>
      <c r="AP644" s="33"/>
      <c r="AQ644" s="33"/>
      <c r="AR644" s="33"/>
    </row>
    <row r="645" spans="2:44" ht="25.5" customHeight="1"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L645" s="33"/>
      <c r="AM645" s="33"/>
      <c r="AN645" s="33"/>
      <c r="AO645" s="33"/>
      <c r="AP645" s="33"/>
      <c r="AQ645" s="33"/>
      <c r="AR645" s="33"/>
    </row>
    <row r="646" spans="2:44" ht="25.5" customHeight="1"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L646" s="33"/>
      <c r="AM646" s="33"/>
      <c r="AN646" s="33"/>
      <c r="AO646" s="33"/>
      <c r="AP646" s="33"/>
      <c r="AQ646" s="33"/>
      <c r="AR646" s="33"/>
    </row>
    <row r="647" spans="2:44" ht="25.5" customHeight="1"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L647" s="33"/>
      <c r="AM647" s="33"/>
      <c r="AN647" s="33"/>
      <c r="AO647" s="33"/>
      <c r="AP647" s="33"/>
      <c r="AQ647" s="33"/>
      <c r="AR647" s="33"/>
    </row>
    <row r="648" spans="2:44" ht="25.5" customHeight="1"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L648" s="33"/>
      <c r="AM648" s="33"/>
      <c r="AN648" s="33"/>
      <c r="AO648" s="33"/>
      <c r="AP648" s="33"/>
      <c r="AQ648" s="33"/>
      <c r="AR648" s="33"/>
    </row>
    <row r="649" spans="2:44" ht="25.5" customHeight="1"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L649" s="33"/>
      <c r="AM649" s="33"/>
      <c r="AN649" s="33"/>
      <c r="AO649" s="33"/>
      <c r="AP649" s="33"/>
      <c r="AQ649" s="33"/>
      <c r="AR649" s="33"/>
    </row>
    <row r="650" spans="2:44" ht="25.5" customHeight="1"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L650" s="33"/>
      <c r="AM650" s="33"/>
      <c r="AN650" s="33"/>
      <c r="AO650" s="33"/>
      <c r="AP650" s="33"/>
      <c r="AQ650" s="33"/>
      <c r="AR650" s="33"/>
    </row>
    <row r="651" spans="2:44" ht="25.5" customHeight="1"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L651" s="33"/>
      <c r="AM651" s="33"/>
      <c r="AN651" s="33"/>
      <c r="AO651" s="33"/>
      <c r="AP651" s="33"/>
      <c r="AQ651" s="33"/>
      <c r="AR651" s="33"/>
    </row>
    <row r="652" spans="2:44" ht="25.5" customHeight="1"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L652" s="33"/>
      <c r="AM652" s="33"/>
      <c r="AN652" s="33"/>
      <c r="AO652" s="33"/>
      <c r="AP652" s="33"/>
      <c r="AQ652" s="33"/>
      <c r="AR652" s="33"/>
    </row>
    <row r="653" spans="2:44" ht="25.5" customHeight="1"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L653" s="33"/>
      <c r="AM653" s="33"/>
      <c r="AN653" s="33"/>
      <c r="AO653" s="33"/>
      <c r="AP653" s="33"/>
      <c r="AQ653" s="33"/>
      <c r="AR653" s="33"/>
    </row>
    <row r="654" spans="2:44" ht="25.5" customHeight="1"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L654" s="33"/>
      <c r="AM654" s="33"/>
      <c r="AN654" s="33"/>
      <c r="AO654" s="33"/>
      <c r="AP654" s="33"/>
      <c r="AQ654" s="33"/>
      <c r="AR654" s="33"/>
    </row>
    <row r="655" spans="2:44" ht="25.5" customHeight="1"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L655" s="33"/>
      <c r="AM655" s="33"/>
      <c r="AN655" s="33"/>
      <c r="AO655" s="33"/>
      <c r="AP655" s="33"/>
      <c r="AQ655" s="33"/>
      <c r="AR655" s="33"/>
    </row>
    <row r="656" spans="2:44" ht="25.5" customHeight="1"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L656" s="33"/>
      <c r="AM656" s="33"/>
      <c r="AN656" s="33"/>
      <c r="AO656" s="33"/>
      <c r="AP656" s="33"/>
      <c r="AQ656" s="33"/>
      <c r="AR656" s="33"/>
    </row>
    <row r="657" spans="2:44" ht="25.5" customHeight="1"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L657" s="33"/>
      <c r="AM657" s="33"/>
      <c r="AN657" s="33"/>
      <c r="AO657" s="33"/>
      <c r="AP657" s="33"/>
      <c r="AQ657" s="33"/>
      <c r="AR657" s="33"/>
    </row>
    <row r="658" spans="2:44" ht="25.5" customHeight="1"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L658" s="33"/>
      <c r="AM658" s="33"/>
      <c r="AN658" s="33"/>
      <c r="AO658" s="33"/>
      <c r="AP658" s="33"/>
      <c r="AQ658" s="33"/>
      <c r="AR658" s="33"/>
    </row>
    <row r="659" spans="2:44" ht="25.5" customHeight="1"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L659" s="33"/>
      <c r="AM659" s="33"/>
      <c r="AN659" s="33"/>
      <c r="AO659" s="33"/>
      <c r="AP659" s="33"/>
      <c r="AQ659" s="33"/>
      <c r="AR659" s="33"/>
    </row>
    <row r="660" spans="2:44" ht="25.5" customHeight="1"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L660" s="33"/>
      <c r="AM660" s="33"/>
      <c r="AN660" s="33"/>
      <c r="AO660" s="33"/>
      <c r="AP660" s="33"/>
      <c r="AQ660" s="33"/>
      <c r="AR660" s="33"/>
    </row>
    <row r="661" spans="2:44" ht="25.5" customHeight="1"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L661" s="33"/>
      <c r="AM661" s="33"/>
      <c r="AN661" s="33"/>
      <c r="AO661" s="33"/>
      <c r="AP661" s="33"/>
      <c r="AQ661" s="33"/>
      <c r="AR661" s="33"/>
    </row>
    <row r="662" spans="2:44" ht="25.5" customHeight="1"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L662" s="33"/>
      <c r="AM662" s="33"/>
      <c r="AN662" s="33"/>
      <c r="AO662" s="33"/>
      <c r="AP662" s="33"/>
      <c r="AQ662" s="33"/>
      <c r="AR662" s="33"/>
    </row>
    <row r="663" spans="2:44" ht="25.5" customHeight="1"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L663" s="33"/>
      <c r="AM663" s="33"/>
      <c r="AN663" s="33"/>
      <c r="AO663" s="33"/>
      <c r="AP663" s="33"/>
      <c r="AQ663" s="33"/>
      <c r="AR663" s="33"/>
    </row>
    <row r="664" spans="2:44" ht="25.5" customHeight="1"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L664" s="33"/>
      <c r="AM664" s="33"/>
      <c r="AN664" s="33"/>
      <c r="AO664" s="33"/>
      <c r="AP664" s="33"/>
      <c r="AQ664" s="33"/>
      <c r="AR664" s="33"/>
    </row>
    <row r="665" spans="2:44" ht="25.5" customHeight="1"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L665" s="33"/>
      <c r="AM665" s="33"/>
      <c r="AN665" s="33"/>
      <c r="AO665" s="33"/>
      <c r="AP665" s="33"/>
      <c r="AQ665" s="33"/>
      <c r="AR665" s="33"/>
    </row>
    <row r="666" spans="2:44" ht="25.5" customHeight="1"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L666" s="33"/>
      <c r="AM666" s="33"/>
      <c r="AN666" s="33"/>
      <c r="AO666" s="33"/>
      <c r="AP666" s="33"/>
      <c r="AQ666" s="33"/>
      <c r="AR666" s="33"/>
    </row>
    <row r="667" spans="2:44" ht="25.5" customHeight="1"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L667" s="33"/>
      <c r="AM667" s="33"/>
      <c r="AN667" s="33"/>
      <c r="AO667" s="33"/>
      <c r="AP667" s="33"/>
      <c r="AQ667" s="33"/>
      <c r="AR667" s="33"/>
    </row>
    <row r="668" spans="2:44" ht="25.5" customHeight="1"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L668" s="33"/>
      <c r="AM668" s="33"/>
      <c r="AN668" s="33"/>
      <c r="AO668" s="33"/>
      <c r="AP668" s="33"/>
      <c r="AQ668" s="33"/>
      <c r="AR668" s="33"/>
    </row>
    <row r="669" spans="2:44" ht="25.5" customHeight="1"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L669" s="33"/>
      <c r="AM669" s="33"/>
      <c r="AN669" s="33"/>
      <c r="AO669" s="33"/>
      <c r="AP669" s="33"/>
      <c r="AQ669" s="33"/>
      <c r="AR669" s="33"/>
    </row>
    <row r="670" spans="2:44" ht="25.5" customHeight="1"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L670" s="33"/>
      <c r="AM670" s="33"/>
      <c r="AN670" s="33"/>
      <c r="AO670" s="33"/>
      <c r="AP670" s="33"/>
      <c r="AQ670" s="33"/>
      <c r="AR670" s="33"/>
    </row>
    <row r="671" spans="2:44" ht="25.5" customHeight="1"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L671" s="33"/>
      <c r="AM671" s="33"/>
      <c r="AN671" s="33"/>
      <c r="AO671" s="33"/>
      <c r="AP671" s="33"/>
      <c r="AQ671" s="33"/>
      <c r="AR671" s="33"/>
    </row>
    <row r="672" spans="2:44" ht="25.5" customHeight="1"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L672" s="33"/>
      <c r="AM672" s="33"/>
      <c r="AN672" s="33"/>
      <c r="AO672" s="33"/>
      <c r="AP672" s="33"/>
      <c r="AQ672" s="33"/>
      <c r="AR672" s="33"/>
    </row>
    <row r="673" spans="2:44" ht="25.5" customHeight="1"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L673" s="33"/>
      <c r="AM673" s="33"/>
      <c r="AN673" s="33"/>
      <c r="AO673" s="33"/>
      <c r="AP673" s="33"/>
      <c r="AQ673" s="33"/>
      <c r="AR673" s="33"/>
    </row>
    <row r="674" spans="2:44" ht="25.5" customHeight="1"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L674" s="33"/>
      <c r="AM674" s="33"/>
      <c r="AN674" s="33"/>
      <c r="AO674" s="33"/>
      <c r="AP674" s="33"/>
      <c r="AQ674" s="33"/>
      <c r="AR674" s="33"/>
    </row>
    <row r="675" spans="2:44" ht="25.5" customHeight="1"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L675" s="33"/>
      <c r="AM675" s="33"/>
      <c r="AN675" s="33"/>
      <c r="AO675" s="33"/>
      <c r="AP675" s="33"/>
      <c r="AQ675" s="33"/>
      <c r="AR675" s="33"/>
    </row>
    <row r="676" spans="2:44" ht="25.5" customHeight="1"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L676" s="33"/>
      <c r="AM676" s="33"/>
      <c r="AN676" s="33"/>
      <c r="AO676" s="33"/>
      <c r="AP676" s="33"/>
      <c r="AQ676" s="33"/>
      <c r="AR676" s="33"/>
    </row>
    <row r="677" spans="2:44" ht="25.5" customHeight="1"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L677" s="33"/>
      <c r="AM677" s="33"/>
      <c r="AN677" s="33"/>
      <c r="AO677" s="33"/>
      <c r="AP677" s="33"/>
      <c r="AQ677" s="33"/>
      <c r="AR677" s="33"/>
    </row>
    <row r="678" spans="2:44" ht="25.5" customHeight="1"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L678" s="33"/>
      <c r="AM678" s="33"/>
      <c r="AN678" s="33"/>
      <c r="AO678" s="33"/>
      <c r="AP678" s="33"/>
      <c r="AQ678" s="33"/>
      <c r="AR678" s="33"/>
    </row>
    <row r="679" spans="2:44" ht="25.5" customHeight="1"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L679" s="33"/>
      <c r="AM679" s="33"/>
      <c r="AN679" s="33"/>
      <c r="AO679" s="33"/>
      <c r="AP679" s="33"/>
      <c r="AQ679" s="33"/>
      <c r="AR679" s="33"/>
    </row>
    <row r="680" spans="2:44" ht="25.5" customHeight="1"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L680" s="33"/>
      <c r="AM680" s="33"/>
      <c r="AN680" s="33"/>
      <c r="AO680" s="33"/>
      <c r="AP680" s="33"/>
      <c r="AQ680" s="33"/>
      <c r="AR680" s="33"/>
    </row>
    <row r="681" spans="2:44" ht="25.5" customHeight="1"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L681" s="33"/>
      <c r="AM681" s="33"/>
      <c r="AN681" s="33"/>
      <c r="AO681" s="33"/>
      <c r="AP681" s="33"/>
      <c r="AQ681" s="33"/>
      <c r="AR681" s="33"/>
    </row>
    <row r="682" spans="2:44" ht="25.5" customHeight="1"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L682" s="33"/>
      <c r="AM682" s="33"/>
      <c r="AN682" s="33"/>
      <c r="AO682" s="33"/>
      <c r="AP682" s="33"/>
      <c r="AQ682" s="33"/>
      <c r="AR682" s="33"/>
    </row>
    <row r="683" spans="2:44" ht="25.5" customHeight="1"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L683" s="33"/>
      <c r="AM683" s="33"/>
      <c r="AN683" s="33"/>
      <c r="AO683" s="33"/>
      <c r="AP683" s="33"/>
      <c r="AQ683" s="33"/>
      <c r="AR683" s="33"/>
    </row>
    <row r="684" spans="2:44" ht="25.5" customHeight="1"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L684" s="33"/>
      <c r="AM684" s="33"/>
      <c r="AN684" s="33"/>
      <c r="AO684" s="33"/>
      <c r="AP684" s="33"/>
      <c r="AQ684" s="33"/>
      <c r="AR684" s="33"/>
    </row>
    <row r="685" spans="2:44" ht="25.5" customHeight="1"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L685" s="33"/>
      <c r="AM685" s="33"/>
      <c r="AN685" s="33"/>
      <c r="AO685" s="33"/>
      <c r="AP685" s="33"/>
      <c r="AQ685" s="33"/>
      <c r="AR685" s="33"/>
    </row>
    <row r="686" spans="2:44" ht="25.5" customHeight="1"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L686" s="33"/>
      <c r="AM686" s="33"/>
      <c r="AN686" s="33"/>
      <c r="AO686" s="33"/>
      <c r="AP686" s="33"/>
      <c r="AQ686" s="33"/>
      <c r="AR686" s="33"/>
    </row>
    <row r="687" spans="2:44" ht="25.5" customHeight="1"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L687" s="33"/>
      <c r="AM687" s="33"/>
      <c r="AN687" s="33"/>
      <c r="AO687" s="33"/>
      <c r="AP687" s="33"/>
      <c r="AQ687" s="33"/>
      <c r="AR687" s="33"/>
    </row>
    <row r="688" spans="2:44" ht="25.5" customHeight="1"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L688" s="33"/>
      <c r="AM688" s="33"/>
      <c r="AN688" s="33"/>
      <c r="AO688" s="33"/>
      <c r="AP688" s="33"/>
      <c r="AQ688" s="33"/>
      <c r="AR688" s="33"/>
    </row>
    <row r="689" spans="2:44" ht="25.5" customHeight="1"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L689" s="33"/>
      <c r="AM689" s="33"/>
      <c r="AN689" s="33"/>
      <c r="AO689" s="33"/>
      <c r="AP689" s="33"/>
      <c r="AQ689" s="33"/>
      <c r="AR689" s="33"/>
    </row>
    <row r="690" spans="2:44" ht="25.5" customHeight="1"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L690" s="33"/>
      <c r="AM690" s="33"/>
      <c r="AN690" s="33"/>
      <c r="AO690" s="33"/>
      <c r="AP690" s="33"/>
      <c r="AQ690" s="33"/>
      <c r="AR690" s="33"/>
    </row>
    <row r="691" spans="2:44" ht="25.5" customHeight="1"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L691" s="33"/>
      <c r="AM691" s="33"/>
      <c r="AN691" s="33"/>
      <c r="AO691" s="33"/>
      <c r="AP691" s="33"/>
      <c r="AQ691" s="33"/>
      <c r="AR691" s="33"/>
    </row>
    <row r="692" spans="2:44" ht="25.5" customHeight="1"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L692" s="33"/>
      <c r="AM692" s="33"/>
      <c r="AN692" s="33"/>
      <c r="AO692" s="33"/>
      <c r="AP692" s="33"/>
      <c r="AQ692" s="33"/>
      <c r="AR692" s="33"/>
    </row>
    <row r="693" spans="2:44" ht="25.5" customHeight="1"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L693" s="33"/>
      <c r="AM693" s="33"/>
      <c r="AN693" s="33"/>
      <c r="AO693" s="33"/>
      <c r="AP693" s="33"/>
      <c r="AQ693" s="33"/>
      <c r="AR693" s="33"/>
    </row>
    <row r="694" spans="2:44" ht="25.5" customHeight="1"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L694" s="33"/>
      <c r="AM694" s="33"/>
      <c r="AN694" s="33"/>
      <c r="AO694" s="33"/>
      <c r="AP694" s="33"/>
      <c r="AQ694" s="33"/>
      <c r="AR694" s="33"/>
    </row>
    <row r="695" spans="2:44" ht="25.5" customHeight="1"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L695" s="33"/>
      <c r="AM695" s="33"/>
      <c r="AN695" s="33"/>
      <c r="AO695" s="33"/>
      <c r="AP695" s="33"/>
      <c r="AQ695" s="33"/>
      <c r="AR695" s="33"/>
    </row>
    <row r="696" spans="2:44" ht="25.5" customHeight="1"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L696" s="33"/>
      <c r="AM696" s="33"/>
      <c r="AN696" s="33"/>
      <c r="AO696" s="33"/>
      <c r="AP696" s="33"/>
      <c r="AQ696" s="33"/>
      <c r="AR696" s="33"/>
    </row>
    <row r="697" spans="2:44" ht="25.5" customHeight="1"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L697" s="33"/>
      <c r="AM697" s="33"/>
      <c r="AN697" s="33"/>
      <c r="AO697" s="33"/>
      <c r="AP697" s="33"/>
      <c r="AQ697" s="33"/>
      <c r="AR697" s="33"/>
    </row>
    <row r="698" spans="2:44" ht="25.5" customHeight="1"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L698" s="33"/>
      <c r="AM698" s="33"/>
      <c r="AN698" s="33"/>
      <c r="AO698" s="33"/>
      <c r="AP698" s="33"/>
      <c r="AQ698" s="33"/>
      <c r="AR698" s="33"/>
    </row>
    <row r="699" spans="2:44" ht="25.5" customHeight="1"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L699" s="33"/>
      <c r="AM699" s="33"/>
      <c r="AN699" s="33"/>
      <c r="AO699" s="33"/>
      <c r="AP699" s="33"/>
      <c r="AQ699" s="33"/>
      <c r="AR699" s="33"/>
    </row>
    <row r="700" spans="2:44" ht="25.5" customHeight="1"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L700" s="33"/>
      <c r="AM700" s="33"/>
      <c r="AN700" s="33"/>
      <c r="AO700" s="33"/>
      <c r="AP700" s="33"/>
      <c r="AQ700" s="33"/>
      <c r="AR700" s="33"/>
    </row>
    <row r="701" spans="2:44" ht="25.5" customHeight="1"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L701" s="33"/>
      <c r="AM701" s="33"/>
      <c r="AN701" s="33"/>
      <c r="AO701" s="33"/>
      <c r="AP701" s="33"/>
      <c r="AQ701" s="33"/>
      <c r="AR701" s="33"/>
    </row>
    <row r="702" spans="2:44" ht="25.5" customHeight="1"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L702" s="33"/>
      <c r="AM702" s="33"/>
      <c r="AN702" s="33"/>
      <c r="AO702" s="33"/>
      <c r="AP702" s="33"/>
      <c r="AQ702" s="33"/>
      <c r="AR702" s="33"/>
    </row>
    <row r="703" spans="2:44" ht="25.5" customHeight="1"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L703" s="33"/>
      <c r="AM703" s="33"/>
      <c r="AN703" s="33"/>
      <c r="AO703" s="33"/>
      <c r="AP703" s="33"/>
      <c r="AQ703" s="33"/>
      <c r="AR703" s="33"/>
    </row>
    <row r="704" spans="2:44" ht="25.5" customHeight="1"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L704" s="33"/>
      <c r="AM704" s="33"/>
      <c r="AN704" s="33"/>
      <c r="AO704" s="33"/>
      <c r="AP704" s="33"/>
      <c r="AQ704" s="33"/>
      <c r="AR704" s="33"/>
    </row>
    <row r="705" spans="2:44" ht="25.5" customHeight="1"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L705" s="33"/>
      <c r="AM705" s="33"/>
      <c r="AN705" s="33"/>
      <c r="AO705" s="33"/>
      <c r="AP705" s="33"/>
      <c r="AQ705" s="33"/>
      <c r="AR705" s="33"/>
    </row>
    <row r="706" spans="2:44" ht="25.5" customHeight="1"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L706" s="33"/>
      <c r="AM706" s="33"/>
      <c r="AN706" s="33"/>
      <c r="AO706" s="33"/>
      <c r="AP706" s="33"/>
      <c r="AQ706" s="33"/>
      <c r="AR706" s="33"/>
    </row>
    <row r="707" spans="2:44" ht="25.5" customHeight="1"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L707" s="33"/>
      <c r="AM707" s="33"/>
      <c r="AN707" s="33"/>
      <c r="AO707" s="33"/>
      <c r="AP707" s="33"/>
      <c r="AQ707" s="33"/>
      <c r="AR707" s="33"/>
    </row>
    <row r="708" spans="2:44" ht="25.5" customHeight="1"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L708" s="33"/>
      <c r="AM708" s="33"/>
      <c r="AN708" s="33"/>
      <c r="AO708" s="33"/>
      <c r="AP708" s="33"/>
      <c r="AQ708" s="33"/>
      <c r="AR708" s="33"/>
    </row>
    <row r="709" spans="2:44" ht="25.5" customHeight="1"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L709" s="33"/>
      <c r="AM709" s="33"/>
      <c r="AN709" s="33"/>
      <c r="AO709" s="33"/>
      <c r="AP709" s="33"/>
      <c r="AQ709" s="33"/>
      <c r="AR709" s="33"/>
    </row>
    <row r="710" spans="2:44" ht="25.5" customHeight="1"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L710" s="33"/>
      <c r="AM710" s="33"/>
      <c r="AN710" s="33"/>
      <c r="AO710" s="33"/>
      <c r="AP710" s="33"/>
      <c r="AQ710" s="33"/>
      <c r="AR710" s="33"/>
    </row>
    <row r="711" spans="2:44" ht="25.5" customHeight="1"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L711" s="33"/>
      <c r="AM711" s="33"/>
      <c r="AN711" s="33"/>
      <c r="AO711" s="33"/>
      <c r="AP711" s="33"/>
      <c r="AQ711" s="33"/>
      <c r="AR711" s="33"/>
    </row>
    <row r="712" spans="2:44" ht="25.5" customHeight="1"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L712" s="33"/>
      <c r="AM712" s="33"/>
      <c r="AN712" s="33"/>
      <c r="AO712" s="33"/>
      <c r="AP712" s="33"/>
      <c r="AQ712" s="33"/>
      <c r="AR712" s="33"/>
    </row>
    <row r="713" spans="2:44" ht="25.5" customHeight="1"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L713" s="33"/>
      <c r="AM713" s="33"/>
      <c r="AN713" s="33"/>
      <c r="AO713" s="33"/>
      <c r="AP713" s="33"/>
      <c r="AQ713" s="33"/>
      <c r="AR713" s="33"/>
    </row>
    <row r="714" spans="2:44" ht="25.5" customHeight="1"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L714" s="33"/>
      <c r="AM714" s="33"/>
      <c r="AN714" s="33"/>
      <c r="AO714" s="33"/>
      <c r="AP714" s="33"/>
      <c r="AQ714" s="33"/>
      <c r="AR714" s="33"/>
    </row>
    <row r="715" spans="2:44" ht="25.5" customHeight="1"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L715" s="33"/>
      <c r="AM715" s="33"/>
      <c r="AN715" s="33"/>
      <c r="AO715" s="33"/>
      <c r="AP715" s="33"/>
      <c r="AQ715" s="33"/>
      <c r="AR715" s="33"/>
    </row>
    <row r="716" spans="2:44" ht="25.5" customHeight="1"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L716" s="33"/>
      <c r="AM716" s="33"/>
      <c r="AN716" s="33"/>
      <c r="AO716" s="33"/>
      <c r="AP716" s="33"/>
      <c r="AQ716" s="33"/>
      <c r="AR716" s="33"/>
    </row>
    <row r="717" spans="2:44" ht="25.5" customHeight="1"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L717" s="33"/>
      <c r="AM717" s="33"/>
      <c r="AN717" s="33"/>
      <c r="AO717" s="33"/>
      <c r="AP717" s="33"/>
      <c r="AQ717" s="33"/>
      <c r="AR717" s="33"/>
    </row>
    <row r="718" spans="2:44" ht="25.5" customHeight="1"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L718" s="33"/>
      <c r="AM718" s="33"/>
      <c r="AN718" s="33"/>
      <c r="AO718" s="33"/>
      <c r="AP718" s="33"/>
      <c r="AQ718" s="33"/>
      <c r="AR718" s="33"/>
    </row>
    <row r="719" spans="2:44" ht="25.5" customHeight="1"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L719" s="33"/>
      <c r="AM719" s="33"/>
      <c r="AN719" s="33"/>
      <c r="AO719" s="33"/>
      <c r="AP719" s="33"/>
      <c r="AQ719" s="33"/>
      <c r="AR719" s="33"/>
    </row>
    <row r="720" spans="2:44" ht="25.5" customHeight="1"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L720" s="33"/>
      <c r="AM720" s="33"/>
      <c r="AN720" s="33"/>
      <c r="AO720" s="33"/>
      <c r="AP720" s="33"/>
      <c r="AQ720" s="33"/>
      <c r="AR720" s="33"/>
    </row>
    <row r="721" spans="2:44" ht="25.5" customHeight="1"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L721" s="33"/>
      <c r="AM721" s="33"/>
      <c r="AN721" s="33"/>
      <c r="AO721" s="33"/>
      <c r="AP721" s="33"/>
      <c r="AQ721" s="33"/>
      <c r="AR721" s="33"/>
    </row>
    <row r="722" spans="2:44" ht="25.5" customHeight="1"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L722" s="33"/>
      <c r="AM722" s="33"/>
      <c r="AN722" s="33"/>
      <c r="AO722" s="33"/>
      <c r="AP722" s="33"/>
      <c r="AQ722" s="33"/>
      <c r="AR722" s="33"/>
    </row>
    <row r="723" spans="2:44" ht="25.5" customHeight="1"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L723" s="33"/>
      <c r="AM723" s="33"/>
      <c r="AN723" s="33"/>
      <c r="AO723" s="33"/>
      <c r="AP723" s="33"/>
      <c r="AQ723" s="33"/>
      <c r="AR723" s="33"/>
    </row>
    <row r="724" spans="2:44" ht="25.5" customHeight="1"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L724" s="33"/>
      <c r="AM724" s="33"/>
      <c r="AN724" s="33"/>
      <c r="AO724" s="33"/>
      <c r="AP724" s="33"/>
      <c r="AQ724" s="33"/>
      <c r="AR724" s="33"/>
    </row>
    <row r="725" spans="2:44" ht="25.5" customHeight="1"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L725" s="33"/>
      <c r="AM725" s="33"/>
      <c r="AN725" s="33"/>
      <c r="AO725" s="33"/>
      <c r="AP725" s="33"/>
      <c r="AQ725" s="33"/>
      <c r="AR725" s="33"/>
    </row>
    <row r="726" spans="2:44" ht="25.5" customHeight="1"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L726" s="33"/>
      <c r="AM726" s="33"/>
      <c r="AN726" s="33"/>
      <c r="AO726" s="33"/>
      <c r="AP726" s="33"/>
      <c r="AQ726" s="33"/>
      <c r="AR726" s="33"/>
    </row>
    <row r="727" spans="2:44" ht="25.5" customHeight="1"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L727" s="33"/>
      <c r="AM727" s="33"/>
      <c r="AN727" s="33"/>
      <c r="AO727" s="33"/>
      <c r="AP727" s="33"/>
      <c r="AQ727" s="33"/>
      <c r="AR727" s="33"/>
    </row>
    <row r="728" spans="2:44" ht="25.5" customHeight="1"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L728" s="33"/>
      <c r="AM728" s="33"/>
      <c r="AN728" s="33"/>
      <c r="AO728" s="33"/>
      <c r="AP728" s="33"/>
      <c r="AQ728" s="33"/>
      <c r="AR728" s="33"/>
    </row>
    <row r="729" spans="2:44" ht="25.5" customHeight="1"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L729" s="33"/>
      <c r="AM729" s="33"/>
      <c r="AN729" s="33"/>
      <c r="AO729" s="33"/>
      <c r="AP729" s="33"/>
      <c r="AQ729" s="33"/>
      <c r="AR729" s="33"/>
    </row>
    <row r="730" spans="2:44" ht="25.5" customHeight="1"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L730" s="33"/>
      <c r="AM730" s="33"/>
      <c r="AN730" s="33"/>
      <c r="AO730" s="33"/>
      <c r="AP730" s="33"/>
      <c r="AQ730" s="33"/>
      <c r="AR730" s="33"/>
    </row>
    <row r="731" spans="2:44" ht="25.5" customHeight="1"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L731" s="33"/>
      <c r="AM731" s="33"/>
      <c r="AN731" s="33"/>
      <c r="AO731" s="33"/>
      <c r="AP731" s="33"/>
      <c r="AQ731" s="33"/>
      <c r="AR731" s="33"/>
    </row>
    <row r="732" spans="2:44" ht="25.5" customHeight="1"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L732" s="33"/>
      <c r="AM732" s="33"/>
      <c r="AN732" s="33"/>
      <c r="AO732" s="33"/>
      <c r="AP732" s="33"/>
      <c r="AQ732" s="33"/>
      <c r="AR732" s="33"/>
    </row>
    <row r="733" spans="2:44" ht="25.5" customHeight="1"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L733" s="33"/>
      <c r="AM733" s="33"/>
      <c r="AN733" s="33"/>
      <c r="AO733" s="33"/>
      <c r="AP733" s="33"/>
      <c r="AQ733" s="33"/>
      <c r="AR733" s="33"/>
    </row>
    <row r="734" spans="2:44" ht="25.5" customHeight="1"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L734" s="33"/>
      <c r="AM734" s="33"/>
      <c r="AN734" s="33"/>
      <c r="AO734" s="33"/>
      <c r="AP734" s="33"/>
      <c r="AQ734" s="33"/>
      <c r="AR734" s="33"/>
    </row>
    <row r="735" spans="2:44" ht="25.5" customHeight="1"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L735" s="33"/>
      <c r="AM735" s="33"/>
      <c r="AN735" s="33"/>
      <c r="AO735" s="33"/>
      <c r="AP735" s="33"/>
      <c r="AQ735" s="33"/>
      <c r="AR735" s="33"/>
    </row>
    <row r="736" spans="2:44" ht="25.5" customHeight="1"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L736" s="33"/>
      <c r="AM736" s="33"/>
      <c r="AN736" s="33"/>
      <c r="AO736" s="33"/>
      <c r="AP736" s="33"/>
      <c r="AQ736" s="33"/>
      <c r="AR736" s="33"/>
    </row>
    <row r="737" spans="2:44" ht="25.5" customHeight="1"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L737" s="33"/>
      <c r="AM737" s="33"/>
      <c r="AN737" s="33"/>
      <c r="AO737" s="33"/>
      <c r="AP737" s="33"/>
      <c r="AQ737" s="33"/>
      <c r="AR737" s="33"/>
    </row>
    <row r="738" spans="2:44" ht="25.5" customHeight="1"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L738" s="33"/>
      <c r="AM738" s="33"/>
      <c r="AN738" s="33"/>
      <c r="AO738" s="33"/>
      <c r="AP738" s="33"/>
      <c r="AQ738" s="33"/>
      <c r="AR738" s="33"/>
    </row>
    <row r="739" spans="2:44" ht="25.5" customHeight="1"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L739" s="33"/>
      <c r="AM739" s="33"/>
      <c r="AN739" s="33"/>
      <c r="AO739" s="33"/>
      <c r="AP739" s="33"/>
      <c r="AQ739" s="33"/>
      <c r="AR739" s="33"/>
    </row>
    <row r="740" spans="2:44" ht="25.5" customHeight="1"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L740" s="33"/>
      <c r="AM740" s="33"/>
      <c r="AN740" s="33"/>
      <c r="AO740" s="33"/>
      <c r="AP740" s="33"/>
      <c r="AQ740" s="33"/>
      <c r="AR740" s="33"/>
    </row>
    <row r="741" spans="2:44" ht="25.5" customHeight="1"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L741" s="33"/>
      <c r="AM741" s="33"/>
      <c r="AN741" s="33"/>
      <c r="AO741" s="33"/>
      <c r="AP741" s="33"/>
      <c r="AQ741" s="33"/>
      <c r="AR741" s="33"/>
    </row>
    <row r="742" spans="2:44" ht="25.5" customHeight="1"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L742" s="33"/>
      <c r="AM742" s="33"/>
      <c r="AN742" s="33"/>
      <c r="AO742" s="33"/>
      <c r="AP742" s="33"/>
      <c r="AQ742" s="33"/>
      <c r="AR742" s="33"/>
    </row>
    <row r="743" spans="2:44" ht="25.5" customHeight="1"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L743" s="33"/>
      <c r="AM743" s="33"/>
      <c r="AN743" s="33"/>
      <c r="AO743" s="33"/>
      <c r="AP743" s="33"/>
      <c r="AQ743" s="33"/>
      <c r="AR743" s="33"/>
    </row>
    <row r="744" spans="2:44" ht="25.5" customHeight="1"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L744" s="33"/>
      <c r="AM744" s="33"/>
      <c r="AN744" s="33"/>
      <c r="AO744" s="33"/>
      <c r="AP744" s="33"/>
      <c r="AQ744" s="33"/>
      <c r="AR744" s="33"/>
    </row>
    <row r="745" spans="2:44" ht="25.5" customHeight="1"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L745" s="33"/>
      <c r="AM745" s="33"/>
      <c r="AN745" s="33"/>
      <c r="AO745" s="33"/>
      <c r="AP745" s="33"/>
      <c r="AQ745" s="33"/>
      <c r="AR745" s="33"/>
    </row>
    <row r="746" spans="2:44" ht="25.5" customHeight="1"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L746" s="33"/>
      <c r="AM746" s="33"/>
      <c r="AN746" s="33"/>
      <c r="AO746" s="33"/>
      <c r="AP746" s="33"/>
      <c r="AQ746" s="33"/>
      <c r="AR746" s="33"/>
    </row>
    <row r="747" spans="2:44" ht="25.5" customHeight="1"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L747" s="33"/>
      <c r="AM747" s="33"/>
      <c r="AN747" s="33"/>
      <c r="AO747" s="33"/>
      <c r="AP747" s="33"/>
      <c r="AQ747" s="33"/>
      <c r="AR747" s="33"/>
    </row>
    <row r="748" spans="2:44" ht="25.5" customHeight="1"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L748" s="33"/>
      <c r="AM748" s="33"/>
      <c r="AN748" s="33"/>
      <c r="AO748" s="33"/>
      <c r="AP748" s="33"/>
      <c r="AQ748" s="33"/>
      <c r="AR748" s="33"/>
    </row>
    <row r="749" spans="2:44" ht="25.5" customHeight="1"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L749" s="33"/>
      <c r="AM749" s="33"/>
      <c r="AN749" s="33"/>
      <c r="AO749" s="33"/>
      <c r="AP749" s="33"/>
      <c r="AQ749" s="33"/>
      <c r="AR749" s="33"/>
    </row>
    <row r="750" spans="2:44" ht="25.5" customHeight="1"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L750" s="33"/>
      <c r="AM750" s="33"/>
      <c r="AN750" s="33"/>
      <c r="AO750" s="33"/>
      <c r="AP750" s="33"/>
      <c r="AQ750" s="33"/>
      <c r="AR750" s="33"/>
    </row>
    <row r="751" spans="2:44" ht="25.5" customHeight="1"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L751" s="33"/>
      <c r="AM751" s="33"/>
      <c r="AN751" s="33"/>
      <c r="AO751" s="33"/>
      <c r="AP751" s="33"/>
      <c r="AQ751" s="33"/>
      <c r="AR751" s="33"/>
    </row>
    <row r="752" spans="2:44" ht="25.5" customHeight="1"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L752" s="33"/>
      <c r="AM752" s="33"/>
      <c r="AN752" s="33"/>
      <c r="AO752" s="33"/>
      <c r="AP752" s="33"/>
      <c r="AQ752" s="33"/>
      <c r="AR752" s="33"/>
    </row>
    <row r="753" spans="2:44" ht="25.5" customHeight="1"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L753" s="33"/>
      <c r="AM753" s="33"/>
      <c r="AN753" s="33"/>
      <c r="AO753" s="33"/>
      <c r="AP753" s="33"/>
      <c r="AQ753" s="33"/>
      <c r="AR753" s="33"/>
    </row>
    <row r="754" spans="2:44" ht="25.5" customHeight="1"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L754" s="33"/>
      <c r="AM754" s="33"/>
      <c r="AN754" s="33"/>
      <c r="AO754" s="33"/>
      <c r="AP754" s="33"/>
      <c r="AQ754" s="33"/>
      <c r="AR754" s="33"/>
    </row>
    <row r="755" spans="2:44" ht="25.5" customHeight="1"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L755" s="33"/>
      <c r="AM755" s="33"/>
      <c r="AN755" s="33"/>
      <c r="AO755" s="33"/>
      <c r="AP755" s="33"/>
      <c r="AQ755" s="33"/>
      <c r="AR755" s="33"/>
    </row>
    <row r="756" spans="2:44" ht="25.5" customHeight="1"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L756" s="33"/>
      <c r="AM756" s="33"/>
      <c r="AN756" s="33"/>
      <c r="AO756" s="33"/>
      <c r="AP756" s="33"/>
      <c r="AQ756" s="33"/>
      <c r="AR756" s="33"/>
    </row>
    <row r="757" spans="2:44" ht="25.5" customHeight="1"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L757" s="33"/>
      <c r="AM757" s="33"/>
      <c r="AN757" s="33"/>
      <c r="AO757" s="33"/>
      <c r="AP757" s="33"/>
      <c r="AQ757" s="33"/>
      <c r="AR757" s="33"/>
    </row>
    <row r="758" spans="2:44" ht="25.5" customHeight="1"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L758" s="33"/>
      <c r="AM758" s="33"/>
      <c r="AN758" s="33"/>
      <c r="AO758" s="33"/>
      <c r="AP758" s="33"/>
      <c r="AQ758" s="33"/>
      <c r="AR758" s="33"/>
    </row>
    <row r="759" spans="2:44" ht="25.5" customHeight="1"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L759" s="33"/>
      <c r="AM759" s="33"/>
      <c r="AN759" s="33"/>
      <c r="AO759" s="33"/>
      <c r="AP759" s="33"/>
      <c r="AQ759" s="33"/>
      <c r="AR759" s="33"/>
    </row>
    <row r="760" spans="2:44" ht="25.5" customHeight="1"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L760" s="33"/>
      <c r="AM760" s="33"/>
      <c r="AN760" s="33"/>
      <c r="AO760" s="33"/>
      <c r="AP760" s="33"/>
      <c r="AQ760" s="33"/>
      <c r="AR760" s="33"/>
    </row>
    <row r="761" spans="2:44" ht="25.5" customHeight="1"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L761" s="33"/>
      <c r="AM761" s="33"/>
      <c r="AN761" s="33"/>
      <c r="AO761" s="33"/>
      <c r="AP761" s="33"/>
      <c r="AQ761" s="33"/>
      <c r="AR761" s="33"/>
    </row>
    <row r="762" spans="2:44" ht="25.5" customHeight="1"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L762" s="33"/>
      <c r="AM762" s="33"/>
      <c r="AN762" s="33"/>
      <c r="AO762" s="33"/>
      <c r="AP762" s="33"/>
      <c r="AQ762" s="33"/>
      <c r="AR762" s="33"/>
    </row>
    <row r="763" spans="2:44" ht="25.5" customHeight="1"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L763" s="33"/>
      <c r="AM763" s="33"/>
      <c r="AN763" s="33"/>
      <c r="AO763" s="33"/>
      <c r="AP763" s="33"/>
      <c r="AQ763" s="33"/>
      <c r="AR763" s="33"/>
    </row>
    <row r="764" spans="2:44" ht="25.5" customHeight="1"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L764" s="33"/>
      <c r="AM764" s="33"/>
      <c r="AN764" s="33"/>
      <c r="AO764" s="33"/>
      <c r="AP764" s="33"/>
      <c r="AQ764" s="33"/>
      <c r="AR764" s="33"/>
    </row>
    <row r="765" spans="2:44" ht="25.5" customHeight="1"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L765" s="33"/>
      <c r="AM765" s="33"/>
      <c r="AN765" s="33"/>
      <c r="AO765" s="33"/>
      <c r="AP765" s="33"/>
      <c r="AQ765" s="33"/>
      <c r="AR765" s="33"/>
    </row>
    <row r="766" spans="2:44" ht="25.5" customHeight="1"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L766" s="33"/>
      <c r="AM766" s="33"/>
      <c r="AN766" s="33"/>
      <c r="AO766" s="33"/>
      <c r="AP766" s="33"/>
      <c r="AQ766" s="33"/>
      <c r="AR766" s="33"/>
    </row>
    <row r="767" spans="2:44" ht="25.5" customHeight="1"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L767" s="33"/>
      <c r="AM767" s="33"/>
      <c r="AN767" s="33"/>
      <c r="AO767" s="33"/>
      <c r="AP767" s="33"/>
      <c r="AQ767" s="33"/>
      <c r="AR767" s="33"/>
    </row>
    <row r="768" spans="2:44" ht="25.5" customHeight="1"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L768" s="33"/>
      <c r="AM768" s="33"/>
      <c r="AN768" s="33"/>
      <c r="AO768" s="33"/>
      <c r="AP768" s="33"/>
      <c r="AQ768" s="33"/>
      <c r="AR768" s="33"/>
    </row>
    <row r="769" spans="2:44" ht="25.5" customHeight="1"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L769" s="33"/>
      <c r="AM769" s="33"/>
      <c r="AN769" s="33"/>
      <c r="AO769" s="33"/>
      <c r="AP769" s="33"/>
      <c r="AQ769" s="33"/>
      <c r="AR769" s="33"/>
    </row>
    <row r="770" spans="2:44" ht="25.5" customHeight="1"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L770" s="33"/>
      <c r="AM770" s="33"/>
      <c r="AN770" s="33"/>
      <c r="AO770" s="33"/>
      <c r="AP770" s="33"/>
      <c r="AQ770" s="33"/>
      <c r="AR770" s="33"/>
    </row>
    <row r="771" spans="2:44" ht="25.5" customHeight="1"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L771" s="33"/>
      <c r="AM771" s="33"/>
      <c r="AN771" s="33"/>
      <c r="AO771" s="33"/>
      <c r="AP771" s="33"/>
      <c r="AQ771" s="33"/>
      <c r="AR771" s="33"/>
    </row>
    <row r="772" spans="2:44" ht="25.5" customHeight="1"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L772" s="33"/>
      <c r="AM772" s="33"/>
      <c r="AN772" s="33"/>
      <c r="AO772" s="33"/>
      <c r="AP772" s="33"/>
      <c r="AQ772" s="33"/>
      <c r="AR772" s="33"/>
    </row>
    <row r="773" spans="2:44" ht="25.5" customHeight="1"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L773" s="33"/>
      <c r="AM773" s="33"/>
      <c r="AN773" s="33"/>
      <c r="AO773" s="33"/>
      <c r="AP773" s="33"/>
      <c r="AQ773" s="33"/>
      <c r="AR773" s="33"/>
    </row>
    <row r="774" spans="2:44" ht="25.5" customHeight="1"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L774" s="33"/>
      <c r="AM774" s="33"/>
      <c r="AN774" s="33"/>
      <c r="AO774" s="33"/>
      <c r="AP774" s="33"/>
      <c r="AQ774" s="33"/>
      <c r="AR774" s="33"/>
    </row>
    <row r="775" spans="2:44" ht="25.5" customHeight="1"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L775" s="33"/>
      <c r="AM775" s="33"/>
      <c r="AN775" s="33"/>
      <c r="AO775" s="33"/>
      <c r="AP775" s="33"/>
      <c r="AQ775" s="33"/>
      <c r="AR775" s="33"/>
    </row>
    <row r="776" spans="2:44" ht="25.5" customHeight="1"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L776" s="33"/>
      <c r="AM776" s="33"/>
      <c r="AN776" s="33"/>
      <c r="AO776" s="33"/>
      <c r="AP776" s="33"/>
      <c r="AQ776" s="33"/>
      <c r="AR776" s="33"/>
    </row>
    <row r="777" spans="2:44" ht="25.5" customHeight="1"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L777" s="33"/>
      <c r="AM777" s="33"/>
      <c r="AN777" s="33"/>
      <c r="AO777" s="33"/>
      <c r="AP777" s="33"/>
      <c r="AQ777" s="33"/>
      <c r="AR777" s="33"/>
    </row>
    <row r="778" spans="2:44" ht="25.5" customHeight="1"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L778" s="33"/>
      <c r="AM778" s="33"/>
      <c r="AN778" s="33"/>
      <c r="AO778" s="33"/>
      <c r="AP778" s="33"/>
      <c r="AQ778" s="33"/>
      <c r="AR778" s="33"/>
    </row>
    <row r="779" spans="2:44" ht="25.5" customHeight="1"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L779" s="33"/>
      <c r="AM779" s="33"/>
      <c r="AN779" s="33"/>
      <c r="AO779" s="33"/>
      <c r="AP779" s="33"/>
      <c r="AQ779" s="33"/>
      <c r="AR779" s="33"/>
    </row>
    <row r="780" spans="2:44" ht="25.5" customHeight="1"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L780" s="33"/>
      <c r="AM780" s="33"/>
      <c r="AN780" s="33"/>
      <c r="AO780" s="33"/>
      <c r="AP780" s="33"/>
      <c r="AQ780" s="33"/>
      <c r="AR780" s="33"/>
    </row>
    <row r="781" spans="2:44" ht="25.5" customHeight="1"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L781" s="33"/>
      <c r="AM781" s="33"/>
      <c r="AN781" s="33"/>
      <c r="AO781" s="33"/>
      <c r="AP781" s="33"/>
      <c r="AQ781" s="33"/>
      <c r="AR781" s="33"/>
    </row>
    <row r="782" spans="2:44" ht="25.5" customHeight="1"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L782" s="33"/>
      <c r="AM782" s="33"/>
      <c r="AN782" s="33"/>
      <c r="AO782" s="33"/>
      <c r="AP782" s="33"/>
      <c r="AQ782" s="33"/>
      <c r="AR782" s="33"/>
    </row>
    <row r="783" spans="2:44" ht="25.5" customHeight="1"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L783" s="33"/>
      <c r="AM783" s="33"/>
      <c r="AN783" s="33"/>
      <c r="AO783" s="33"/>
      <c r="AP783" s="33"/>
      <c r="AQ783" s="33"/>
      <c r="AR783" s="33"/>
    </row>
    <row r="784" spans="2:44" ht="25.5" customHeight="1"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L784" s="33"/>
      <c r="AM784" s="33"/>
      <c r="AN784" s="33"/>
      <c r="AO784" s="33"/>
      <c r="AP784" s="33"/>
      <c r="AQ784" s="33"/>
      <c r="AR784" s="33"/>
    </row>
    <row r="785" spans="2:44" ht="25.5" customHeight="1"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L785" s="33"/>
      <c r="AM785" s="33"/>
      <c r="AN785" s="33"/>
      <c r="AO785" s="33"/>
      <c r="AP785" s="33"/>
      <c r="AQ785" s="33"/>
      <c r="AR785" s="33"/>
    </row>
    <row r="786" spans="2:44" ht="25.5" customHeight="1"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L786" s="33"/>
      <c r="AM786" s="33"/>
      <c r="AN786" s="33"/>
      <c r="AO786" s="33"/>
      <c r="AP786" s="33"/>
      <c r="AQ786" s="33"/>
      <c r="AR786" s="33"/>
    </row>
    <row r="787" spans="2:44" ht="25.5" customHeight="1"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L787" s="33"/>
      <c r="AM787" s="33"/>
      <c r="AN787" s="33"/>
      <c r="AO787" s="33"/>
      <c r="AP787" s="33"/>
      <c r="AQ787" s="33"/>
      <c r="AR787" s="33"/>
    </row>
    <row r="788" spans="2:44" ht="25.5" customHeight="1"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L788" s="33"/>
      <c r="AM788" s="33"/>
      <c r="AN788" s="33"/>
      <c r="AO788" s="33"/>
      <c r="AP788" s="33"/>
      <c r="AQ788" s="33"/>
      <c r="AR788" s="33"/>
    </row>
    <row r="789" spans="2:44" ht="25.5" customHeight="1"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L789" s="33"/>
      <c r="AM789" s="33"/>
      <c r="AN789" s="33"/>
      <c r="AO789" s="33"/>
      <c r="AP789" s="33"/>
      <c r="AQ789" s="33"/>
      <c r="AR789" s="33"/>
    </row>
    <row r="790" spans="2:44" ht="25.5" customHeight="1"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L790" s="33"/>
      <c r="AM790" s="33"/>
      <c r="AN790" s="33"/>
      <c r="AO790" s="33"/>
      <c r="AP790" s="33"/>
      <c r="AQ790" s="33"/>
      <c r="AR790" s="33"/>
    </row>
    <row r="791" spans="2:44" ht="25.5" customHeight="1"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L791" s="33"/>
      <c r="AM791" s="33"/>
      <c r="AN791" s="33"/>
      <c r="AO791" s="33"/>
      <c r="AP791" s="33"/>
      <c r="AQ791" s="33"/>
      <c r="AR791" s="33"/>
    </row>
    <row r="792" spans="2:44" ht="25.5" customHeight="1"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L792" s="33"/>
      <c r="AM792" s="33"/>
      <c r="AN792" s="33"/>
      <c r="AO792" s="33"/>
      <c r="AP792" s="33"/>
      <c r="AQ792" s="33"/>
      <c r="AR792" s="33"/>
    </row>
    <row r="793" spans="2:44" ht="25.5" customHeight="1"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L793" s="33"/>
      <c r="AM793" s="33"/>
      <c r="AN793" s="33"/>
      <c r="AO793" s="33"/>
      <c r="AP793" s="33"/>
      <c r="AQ793" s="33"/>
      <c r="AR793" s="33"/>
    </row>
    <row r="794" spans="2:44" ht="25.5" customHeight="1"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L794" s="33"/>
      <c r="AM794" s="33"/>
      <c r="AN794" s="33"/>
      <c r="AO794" s="33"/>
      <c r="AP794" s="33"/>
      <c r="AQ794" s="33"/>
      <c r="AR794" s="33"/>
    </row>
    <row r="795" spans="2:44" ht="25.5" customHeight="1"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L795" s="33"/>
      <c r="AM795" s="33"/>
      <c r="AN795" s="33"/>
      <c r="AO795" s="33"/>
      <c r="AP795" s="33"/>
      <c r="AQ795" s="33"/>
      <c r="AR795" s="33"/>
    </row>
    <row r="796" spans="2:44" ht="25.5" customHeight="1"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L796" s="33"/>
      <c r="AM796" s="33"/>
      <c r="AN796" s="33"/>
      <c r="AO796" s="33"/>
      <c r="AP796" s="33"/>
      <c r="AQ796" s="33"/>
      <c r="AR796" s="33"/>
    </row>
    <row r="797" spans="2:44" ht="25.5" customHeight="1"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L797" s="33"/>
      <c r="AM797" s="33"/>
      <c r="AN797" s="33"/>
      <c r="AO797" s="33"/>
      <c r="AP797" s="33"/>
      <c r="AQ797" s="33"/>
      <c r="AR797" s="33"/>
    </row>
    <row r="798" spans="2:44" ht="25.5" customHeight="1"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L798" s="33"/>
      <c r="AM798" s="33"/>
      <c r="AN798" s="33"/>
      <c r="AO798" s="33"/>
      <c r="AP798" s="33"/>
      <c r="AQ798" s="33"/>
      <c r="AR798" s="33"/>
    </row>
    <row r="799" spans="2:44" ht="25.5" customHeight="1"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L799" s="33"/>
      <c r="AM799" s="33"/>
      <c r="AN799" s="33"/>
      <c r="AO799" s="33"/>
      <c r="AP799" s="33"/>
      <c r="AQ799" s="33"/>
      <c r="AR799" s="33"/>
    </row>
    <row r="800" spans="2:44" ht="25.5" customHeight="1"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L800" s="33"/>
      <c r="AM800" s="33"/>
      <c r="AN800" s="33"/>
      <c r="AO800" s="33"/>
      <c r="AP800" s="33"/>
      <c r="AQ800" s="33"/>
      <c r="AR800" s="33"/>
    </row>
    <row r="801" spans="2:44" ht="25.5" customHeight="1"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L801" s="33"/>
      <c r="AM801" s="33"/>
      <c r="AN801" s="33"/>
      <c r="AO801" s="33"/>
      <c r="AP801" s="33"/>
      <c r="AQ801" s="33"/>
      <c r="AR801" s="33"/>
    </row>
    <row r="802" spans="2:44" ht="25.5" customHeight="1"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L802" s="33"/>
      <c r="AM802" s="33"/>
      <c r="AN802" s="33"/>
      <c r="AO802" s="33"/>
      <c r="AP802" s="33"/>
      <c r="AQ802" s="33"/>
      <c r="AR802" s="33"/>
    </row>
    <row r="803" spans="2:44" ht="25.5" customHeight="1"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L803" s="33"/>
      <c r="AM803" s="33"/>
      <c r="AN803" s="33"/>
      <c r="AO803" s="33"/>
      <c r="AP803" s="33"/>
      <c r="AQ803" s="33"/>
      <c r="AR803" s="33"/>
    </row>
    <row r="804" spans="2:44" ht="25.5" customHeight="1"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L804" s="33"/>
      <c r="AM804" s="33"/>
      <c r="AN804" s="33"/>
      <c r="AO804" s="33"/>
      <c r="AP804" s="33"/>
      <c r="AQ804" s="33"/>
      <c r="AR804" s="33"/>
    </row>
    <row r="805" spans="2:44" ht="25.5" customHeight="1"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L805" s="33"/>
      <c r="AM805" s="33"/>
      <c r="AN805" s="33"/>
      <c r="AO805" s="33"/>
      <c r="AP805" s="33"/>
      <c r="AQ805" s="33"/>
      <c r="AR805" s="33"/>
    </row>
    <row r="806" spans="2:44" ht="25.5" customHeight="1"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L806" s="33"/>
      <c r="AM806" s="33"/>
      <c r="AN806" s="33"/>
      <c r="AO806" s="33"/>
      <c r="AP806" s="33"/>
      <c r="AQ806" s="33"/>
      <c r="AR806" s="33"/>
    </row>
    <row r="807" spans="2:44" ht="25.5" customHeight="1"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L807" s="33"/>
      <c r="AM807" s="33"/>
      <c r="AN807" s="33"/>
      <c r="AO807" s="33"/>
      <c r="AP807" s="33"/>
      <c r="AQ807" s="33"/>
      <c r="AR807" s="33"/>
    </row>
    <row r="808" spans="2:44" ht="25.5" customHeight="1"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L808" s="33"/>
      <c r="AM808" s="33"/>
      <c r="AN808" s="33"/>
      <c r="AO808" s="33"/>
      <c r="AP808" s="33"/>
      <c r="AQ808" s="33"/>
      <c r="AR808" s="33"/>
    </row>
    <row r="809" spans="2:44" ht="25.5" customHeight="1"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L809" s="33"/>
      <c r="AM809" s="33"/>
      <c r="AN809" s="33"/>
      <c r="AO809" s="33"/>
      <c r="AP809" s="33"/>
      <c r="AQ809" s="33"/>
      <c r="AR809" s="33"/>
    </row>
    <row r="810" spans="2:44" ht="25.5" customHeight="1"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L810" s="33"/>
      <c r="AM810" s="33"/>
      <c r="AN810" s="33"/>
      <c r="AO810" s="33"/>
      <c r="AP810" s="33"/>
      <c r="AQ810" s="33"/>
      <c r="AR810" s="33"/>
    </row>
    <row r="811" spans="2:44" ht="25.5" customHeight="1"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L811" s="33"/>
      <c r="AM811" s="33"/>
      <c r="AN811" s="33"/>
      <c r="AO811" s="33"/>
      <c r="AP811" s="33"/>
      <c r="AQ811" s="33"/>
      <c r="AR811" s="33"/>
    </row>
    <row r="812" spans="2:44" ht="25.5" customHeight="1"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L812" s="33"/>
      <c r="AM812" s="33"/>
      <c r="AN812" s="33"/>
      <c r="AO812" s="33"/>
      <c r="AP812" s="33"/>
      <c r="AQ812" s="33"/>
      <c r="AR812" s="33"/>
    </row>
    <row r="813" spans="2:44" ht="25.5" customHeight="1"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L813" s="33"/>
      <c r="AM813" s="33"/>
      <c r="AN813" s="33"/>
      <c r="AO813" s="33"/>
      <c r="AP813" s="33"/>
      <c r="AQ813" s="33"/>
      <c r="AR813" s="33"/>
    </row>
    <row r="814" spans="2:44" ht="25.5" customHeight="1"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L814" s="33"/>
      <c r="AM814" s="33"/>
      <c r="AN814" s="33"/>
      <c r="AO814" s="33"/>
      <c r="AP814" s="33"/>
      <c r="AQ814" s="33"/>
      <c r="AR814" s="33"/>
    </row>
    <row r="815" spans="2:44" ht="25.5" customHeight="1"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L815" s="33"/>
      <c r="AM815" s="33"/>
      <c r="AN815" s="33"/>
      <c r="AO815" s="33"/>
      <c r="AP815" s="33"/>
      <c r="AQ815" s="33"/>
      <c r="AR815" s="33"/>
    </row>
    <row r="816" spans="2:44" ht="25.5" customHeight="1"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L816" s="33"/>
      <c r="AM816" s="33"/>
      <c r="AN816" s="33"/>
      <c r="AO816" s="33"/>
      <c r="AP816" s="33"/>
      <c r="AQ816" s="33"/>
      <c r="AR816" s="33"/>
    </row>
    <row r="817" spans="2:44" ht="25.5" customHeight="1"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L817" s="33"/>
      <c r="AM817" s="33"/>
      <c r="AN817" s="33"/>
      <c r="AO817" s="33"/>
      <c r="AP817" s="33"/>
      <c r="AQ817" s="33"/>
      <c r="AR817" s="33"/>
    </row>
    <row r="818" spans="2:44" ht="25.5" customHeight="1"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L818" s="33"/>
      <c r="AM818" s="33"/>
      <c r="AN818" s="33"/>
      <c r="AO818" s="33"/>
      <c r="AP818" s="33"/>
      <c r="AQ818" s="33"/>
      <c r="AR818" s="33"/>
    </row>
    <row r="819" spans="2:44" ht="25.5" customHeight="1"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L819" s="33"/>
      <c r="AM819" s="33"/>
      <c r="AN819" s="33"/>
      <c r="AO819" s="33"/>
      <c r="AP819" s="33"/>
      <c r="AQ819" s="33"/>
      <c r="AR819" s="33"/>
    </row>
    <row r="820" spans="2:44" ht="25.5" customHeight="1"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L820" s="33"/>
      <c r="AM820" s="33"/>
      <c r="AN820" s="33"/>
      <c r="AO820" s="33"/>
      <c r="AP820" s="33"/>
      <c r="AQ820" s="33"/>
      <c r="AR820" s="33"/>
    </row>
    <row r="821" spans="2:44" ht="25.5" customHeight="1"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L821" s="33"/>
      <c r="AM821" s="33"/>
      <c r="AN821" s="33"/>
      <c r="AO821" s="33"/>
      <c r="AP821" s="33"/>
      <c r="AQ821" s="33"/>
      <c r="AR821" s="33"/>
    </row>
    <row r="822" spans="2:44" ht="25.5" customHeight="1"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L822" s="33"/>
      <c r="AM822" s="33"/>
      <c r="AN822" s="33"/>
      <c r="AO822" s="33"/>
      <c r="AP822" s="33"/>
      <c r="AQ822" s="33"/>
      <c r="AR822" s="33"/>
    </row>
    <row r="823" spans="2:44" ht="25.5" customHeight="1"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L823" s="33"/>
      <c r="AM823" s="33"/>
      <c r="AN823" s="33"/>
      <c r="AO823" s="33"/>
      <c r="AP823" s="33"/>
      <c r="AQ823" s="33"/>
      <c r="AR823" s="33"/>
    </row>
    <row r="824" spans="2:44" ht="25.5" customHeight="1"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L824" s="33"/>
      <c r="AM824" s="33"/>
      <c r="AN824" s="33"/>
      <c r="AO824" s="33"/>
      <c r="AP824" s="33"/>
      <c r="AQ824" s="33"/>
      <c r="AR824" s="33"/>
    </row>
    <row r="825" spans="2:44" ht="25.5" customHeight="1"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L825" s="33"/>
      <c r="AM825" s="33"/>
      <c r="AN825" s="33"/>
      <c r="AO825" s="33"/>
      <c r="AP825" s="33"/>
      <c r="AQ825" s="33"/>
      <c r="AR825" s="33"/>
    </row>
    <row r="826" spans="2:44" ht="25.5" customHeight="1"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L826" s="33"/>
      <c r="AM826" s="33"/>
      <c r="AN826" s="33"/>
      <c r="AO826" s="33"/>
      <c r="AP826" s="33"/>
      <c r="AQ826" s="33"/>
      <c r="AR826" s="33"/>
    </row>
    <row r="827" spans="2:44" ht="25.5" customHeight="1"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L827" s="33"/>
      <c r="AM827" s="33"/>
      <c r="AN827" s="33"/>
      <c r="AO827" s="33"/>
      <c r="AP827" s="33"/>
      <c r="AQ827" s="33"/>
      <c r="AR827" s="33"/>
    </row>
    <row r="828" spans="2:44" ht="25.5" customHeight="1"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L828" s="33"/>
      <c r="AM828" s="33"/>
      <c r="AN828" s="33"/>
      <c r="AO828" s="33"/>
      <c r="AP828" s="33"/>
      <c r="AQ828" s="33"/>
      <c r="AR828" s="33"/>
    </row>
    <row r="829" spans="2:44" ht="25.5" customHeight="1"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L829" s="33"/>
      <c r="AM829" s="33"/>
      <c r="AN829" s="33"/>
      <c r="AO829" s="33"/>
      <c r="AP829" s="33"/>
      <c r="AQ829" s="33"/>
      <c r="AR829" s="33"/>
    </row>
    <row r="830" spans="2:44" ht="25.5" customHeight="1"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L830" s="33"/>
      <c r="AM830" s="33"/>
      <c r="AN830" s="33"/>
      <c r="AO830" s="33"/>
      <c r="AP830" s="33"/>
      <c r="AQ830" s="33"/>
      <c r="AR830" s="33"/>
    </row>
    <row r="831" spans="2:44" ht="25.5" customHeight="1"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L831" s="33"/>
      <c r="AM831" s="33"/>
      <c r="AN831" s="33"/>
      <c r="AO831" s="33"/>
      <c r="AP831" s="33"/>
      <c r="AQ831" s="33"/>
      <c r="AR831" s="33"/>
    </row>
    <row r="832" spans="2:44" ht="25.5" customHeight="1"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L832" s="33"/>
      <c r="AM832" s="33"/>
      <c r="AN832" s="33"/>
      <c r="AO832" s="33"/>
      <c r="AP832" s="33"/>
      <c r="AQ832" s="33"/>
      <c r="AR832" s="33"/>
    </row>
    <row r="833" spans="2:44" ht="25.5" customHeight="1"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L833" s="33"/>
      <c r="AM833" s="33"/>
      <c r="AN833" s="33"/>
      <c r="AO833" s="33"/>
      <c r="AP833" s="33"/>
      <c r="AQ833" s="33"/>
      <c r="AR833" s="33"/>
    </row>
    <row r="834" spans="2:44" ht="25.5" customHeight="1"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L834" s="33"/>
      <c r="AM834" s="33"/>
      <c r="AN834" s="33"/>
      <c r="AO834" s="33"/>
      <c r="AP834" s="33"/>
      <c r="AQ834" s="33"/>
      <c r="AR834" s="33"/>
    </row>
    <row r="835" spans="2:44" ht="25.5" customHeight="1"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L835" s="33"/>
      <c r="AM835" s="33"/>
      <c r="AN835" s="33"/>
      <c r="AO835" s="33"/>
      <c r="AP835" s="33"/>
      <c r="AQ835" s="33"/>
      <c r="AR835" s="33"/>
    </row>
    <row r="836" spans="2:44" ht="25.5" customHeight="1"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L836" s="33"/>
      <c r="AM836" s="33"/>
      <c r="AN836" s="33"/>
      <c r="AO836" s="33"/>
      <c r="AP836" s="33"/>
      <c r="AQ836" s="33"/>
      <c r="AR836" s="33"/>
    </row>
    <row r="837" spans="2:44" ht="25.5" customHeight="1"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L837" s="33"/>
      <c r="AM837" s="33"/>
      <c r="AN837" s="33"/>
      <c r="AO837" s="33"/>
      <c r="AP837" s="33"/>
      <c r="AQ837" s="33"/>
      <c r="AR837" s="33"/>
    </row>
    <row r="838" spans="2:44" ht="25.5" customHeight="1"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L838" s="33"/>
      <c r="AM838" s="33"/>
      <c r="AN838" s="33"/>
      <c r="AO838" s="33"/>
      <c r="AP838" s="33"/>
      <c r="AQ838" s="33"/>
      <c r="AR838" s="33"/>
    </row>
    <row r="839" spans="2:44" ht="25.5" customHeight="1"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L839" s="33"/>
      <c r="AM839" s="33"/>
      <c r="AN839" s="33"/>
      <c r="AO839" s="33"/>
      <c r="AP839" s="33"/>
      <c r="AQ839" s="33"/>
      <c r="AR839" s="33"/>
    </row>
    <row r="840" spans="2:44" ht="25.5" customHeight="1"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L840" s="33"/>
      <c r="AM840" s="33"/>
      <c r="AN840" s="33"/>
      <c r="AO840" s="33"/>
      <c r="AP840" s="33"/>
      <c r="AQ840" s="33"/>
      <c r="AR840" s="33"/>
    </row>
    <row r="841" spans="2:44" ht="25.5" customHeight="1"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L841" s="33"/>
      <c r="AM841" s="33"/>
      <c r="AN841" s="33"/>
      <c r="AO841" s="33"/>
      <c r="AP841" s="33"/>
      <c r="AQ841" s="33"/>
      <c r="AR841" s="33"/>
    </row>
    <row r="842" spans="2:44" ht="25.5" customHeight="1"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L842" s="33"/>
      <c r="AM842" s="33"/>
      <c r="AN842" s="33"/>
      <c r="AO842" s="33"/>
      <c r="AP842" s="33"/>
      <c r="AQ842" s="33"/>
      <c r="AR842" s="33"/>
    </row>
    <row r="843" spans="2:44" ht="25.5" customHeight="1"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L843" s="33"/>
      <c r="AM843" s="33"/>
      <c r="AN843" s="33"/>
      <c r="AO843" s="33"/>
      <c r="AP843" s="33"/>
      <c r="AQ843" s="33"/>
      <c r="AR843" s="33"/>
    </row>
    <row r="844" spans="2:44" ht="25.5" customHeight="1"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L844" s="33"/>
      <c r="AM844" s="33"/>
      <c r="AN844" s="33"/>
      <c r="AO844" s="33"/>
      <c r="AP844" s="33"/>
      <c r="AQ844" s="33"/>
      <c r="AR844" s="33"/>
    </row>
    <row r="845" spans="2:44" ht="25.5" customHeight="1"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L845" s="33"/>
      <c r="AM845" s="33"/>
      <c r="AN845" s="33"/>
      <c r="AO845" s="33"/>
      <c r="AP845" s="33"/>
      <c r="AQ845" s="33"/>
      <c r="AR845" s="33"/>
    </row>
    <row r="846" spans="2:44" ht="25.5" customHeight="1"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L846" s="33"/>
      <c r="AM846" s="33"/>
      <c r="AN846" s="33"/>
      <c r="AO846" s="33"/>
      <c r="AP846" s="33"/>
      <c r="AQ846" s="33"/>
      <c r="AR846" s="33"/>
    </row>
    <row r="847" spans="2:44" ht="25.5" customHeight="1"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L847" s="33"/>
      <c r="AM847" s="33"/>
      <c r="AN847" s="33"/>
      <c r="AO847" s="33"/>
      <c r="AP847" s="33"/>
      <c r="AQ847" s="33"/>
      <c r="AR847" s="33"/>
    </row>
    <row r="848" spans="2:44" ht="25.5" customHeight="1"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L848" s="33"/>
      <c r="AM848" s="33"/>
      <c r="AN848" s="33"/>
      <c r="AO848" s="33"/>
      <c r="AP848" s="33"/>
      <c r="AQ848" s="33"/>
      <c r="AR848" s="33"/>
    </row>
    <row r="849" spans="2:44" ht="25.5" customHeight="1"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L849" s="33"/>
      <c r="AM849" s="33"/>
      <c r="AN849" s="33"/>
      <c r="AO849" s="33"/>
      <c r="AP849" s="33"/>
      <c r="AQ849" s="33"/>
      <c r="AR849" s="33"/>
    </row>
    <row r="850" spans="2:44" ht="25.5" customHeight="1"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L850" s="33"/>
      <c r="AM850" s="33"/>
      <c r="AN850" s="33"/>
      <c r="AO850" s="33"/>
      <c r="AP850" s="33"/>
      <c r="AQ850" s="33"/>
      <c r="AR850" s="33"/>
    </row>
    <row r="851" spans="2:44" ht="25.5" customHeight="1"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L851" s="33"/>
      <c r="AM851" s="33"/>
      <c r="AN851" s="33"/>
      <c r="AO851" s="33"/>
      <c r="AP851" s="33"/>
      <c r="AQ851" s="33"/>
      <c r="AR851" s="33"/>
    </row>
    <row r="852" spans="2:44" ht="25.5" customHeight="1"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L852" s="33"/>
      <c r="AM852" s="33"/>
      <c r="AN852" s="33"/>
      <c r="AO852" s="33"/>
      <c r="AP852" s="33"/>
      <c r="AQ852" s="33"/>
      <c r="AR852" s="33"/>
    </row>
    <row r="853" spans="2:44" ht="25.5" customHeight="1"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L853" s="33"/>
      <c r="AM853" s="33"/>
      <c r="AN853" s="33"/>
      <c r="AO853" s="33"/>
      <c r="AP853" s="33"/>
      <c r="AQ853" s="33"/>
      <c r="AR853" s="33"/>
    </row>
    <row r="854" spans="2:44" ht="25.5" customHeight="1"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L854" s="33"/>
      <c r="AM854" s="33"/>
      <c r="AN854" s="33"/>
      <c r="AO854" s="33"/>
      <c r="AP854" s="33"/>
      <c r="AQ854" s="33"/>
      <c r="AR854" s="33"/>
    </row>
    <row r="855" spans="2:44" ht="25.5" customHeight="1"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L855" s="33"/>
      <c r="AM855" s="33"/>
      <c r="AN855" s="33"/>
      <c r="AO855" s="33"/>
      <c r="AP855" s="33"/>
      <c r="AQ855" s="33"/>
      <c r="AR855" s="33"/>
    </row>
    <row r="856" spans="2:44" ht="25.5" customHeight="1"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L856" s="33"/>
      <c r="AM856" s="33"/>
      <c r="AN856" s="33"/>
      <c r="AO856" s="33"/>
      <c r="AP856" s="33"/>
      <c r="AQ856" s="33"/>
      <c r="AR856" s="33"/>
    </row>
    <row r="857" spans="2:44" ht="25.5" customHeight="1"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L857" s="33"/>
      <c r="AM857" s="33"/>
      <c r="AN857" s="33"/>
      <c r="AO857" s="33"/>
      <c r="AP857" s="33"/>
      <c r="AQ857" s="33"/>
      <c r="AR857" s="33"/>
    </row>
    <row r="858" spans="2:44" ht="25.5" customHeight="1"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L858" s="33"/>
      <c r="AM858" s="33"/>
      <c r="AN858" s="33"/>
      <c r="AO858" s="33"/>
      <c r="AP858" s="33"/>
      <c r="AQ858" s="33"/>
      <c r="AR858" s="33"/>
    </row>
    <row r="859" spans="2:44" ht="25.5" customHeight="1"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L859" s="33"/>
      <c r="AM859" s="33"/>
      <c r="AN859" s="33"/>
      <c r="AO859" s="33"/>
      <c r="AP859" s="33"/>
      <c r="AQ859" s="33"/>
      <c r="AR859" s="33"/>
    </row>
    <row r="860" spans="2:44" ht="25.5" customHeight="1"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L860" s="33"/>
      <c r="AM860" s="33"/>
      <c r="AN860" s="33"/>
      <c r="AO860" s="33"/>
      <c r="AP860" s="33"/>
      <c r="AQ860" s="33"/>
      <c r="AR860" s="33"/>
    </row>
    <row r="861" spans="2:44" ht="25.5" customHeight="1"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L861" s="33"/>
      <c r="AM861" s="33"/>
      <c r="AN861" s="33"/>
      <c r="AO861" s="33"/>
      <c r="AP861" s="33"/>
      <c r="AQ861" s="33"/>
      <c r="AR861" s="33"/>
    </row>
    <row r="862" spans="2:44" ht="25.5" customHeight="1"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L862" s="33"/>
      <c r="AM862" s="33"/>
      <c r="AN862" s="33"/>
      <c r="AO862" s="33"/>
      <c r="AP862" s="33"/>
      <c r="AQ862" s="33"/>
      <c r="AR862" s="33"/>
    </row>
    <row r="863" spans="2:44" ht="25.5" customHeight="1"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L863" s="33"/>
      <c r="AM863" s="33"/>
      <c r="AN863" s="33"/>
      <c r="AO863" s="33"/>
      <c r="AP863" s="33"/>
      <c r="AQ863" s="33"/>
      <c r="AR863" s="33"/>
    </row>
    <row r="864" spans="2:44" ht="25.5" customHeight="1"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L864" s="33"/>
      <c r="AM864" s="33"/>
      <c r="AN864" s="33"/>
      <c r="AO864" s="33"/>
      <c r="AP864" s="33"/>
      <c r="AQ864" s="33"/>
      <c r="AR864" s="33"/>
    </row>
    <row r="865" spans="2:44" ht="25.5" customHeight="1"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L865" s="33"/>
      <c r="AM865" s="33"/>
      <c r="AN865" s="33"/>
      <c r="AO865" s="33"/>
      <c r="AP865" s="33"/>
      <c r="AQ865" s="33"/>
      <c r="AR865" s="33"/>
    </row>
    <row r="866" spans="2:44" ht="25.5" customHeight="1"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L866" s="33"/>
      <c r="AM866" s="33"/>
      <c r="AN866" s="33"/>
      <c r="AO866" s="33"/>
      <c r="AP866" s="33"/>
      <c r="AQ866" s="33"/>
      <c r="AR866" s="33"/>
    </row>
    <row r="867" spans="2:44" ht="25.5" customHeight="1"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L867" s="33"/>
      <c r="AM867" s="33"/>
      <c r="AN867" s="33"/>
      <c r="AO867" s="33"/>
      <c r="AP867" s="33"/>
      <c r="AQ867" s="33"/>
      <c r="AR867" s="33"/>
    </row>
    <row r="868" spans="2:44" ht="25.5" customHeight="1"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L868" s="33"/>
      <c r="AM868" s="33"/>
      <c r="AN868" s="33"/>
      <c r="AO868" s="33"/>
      <c r="AP868" s="33"/>
      <c r="AQ868" s="33"/>
      <c r="AR868" s="33"/>
    </row>
    <row r="869" spans="2:44" ht="25.5" customHeight="1"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L869" s="33"/>
      <c r="AM869" s="33"/>
      <c r="AN869" s="33"/>
      <c r="AO869" s="33"/>
      <c r="AP869" s="33"/>
      <c r="AQ869" s="33"/>
      <c r="AR869" s="33"/>
    </row>
    <row r="870" spans="2:44" ht="25.5" customHeight="1"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L870" s="33"/>
      <c r="AM870" s="33"/>
      <c r="AN870" s="33"/>
      <c r="AO870" s="33"/>
      <c r="AP870" s="33"/>
      <c r="AQ870" s="33"/>
      <c r="AR870" s="33"/>
    </row>
    <row r="871" spans="2:44" ht="25.5" customHeight="1"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L871" s="33"/>
      <c r="AM871" s="33"/>
      <c r="AN871" s="33"/>
      <c r="AO871" s="33"/>
      <c r="AP871" s="33"/>
      <c r="AQ871" s="33"/>
      <c r="AR871" s="33"/>
    </row>
    <row r="872" spans="2:44" ht="25.5" customHeight="1"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L872" s="33"/>
      <c r="AM872" s="33"/>
      <c r="AN872" s="33"/>
      <c r="AO872" s="33"/>
      <c r="AP872" s="33"/>
      <c r="AQ872" s="33"/>
      <c r="AR872" s="33"/>
    </row>
    <row r="873" spans="2:44" ht="25.5" customHeight="1"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L873" s="33"/>
      <c r="AM873" s="33"/>
      <c r="AN873" s="33"/>
      <c r="AO873" s="33"/>
      <c r="AP873" s="33"/>
      <c r="AQ873" s="33"/>
      <c r="AR873" s="33"/>
    </row>
    <row r="874" spans="2:44" ht="25.5" customHeight="1"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L874" s="33"/>
      <c r="AM874" s="33"/>
      <c r="AN874" s="33"/>
      <c r="AO874" s="33"/>
      <c r="AP874" s="33"/>
      <c r="AQ874" s="33"/>
      <c r="AR874" s="33"/>
    </row>
    <row r="875" spans="2:44" ht="25.5" customHeight="1"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L875" s="33"/>
      <c r="AM875" s="33"/>
      <c r="AN875" s="33"/>
      <c r="AO875" s="33"/>
      <c r="AP875" s="33"/>
      <c r="AQ875" s="33"/>
      <c r="AR875" s="33"/>
    </row>
    <row r="876" spans="2:44" ht="25.5" customHeight="1"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L876" s="33"/>
      <c r="AM876" s="33"/>
      <c r="AN876" s="33"/>
      <c r="AO876" s="33"/>
      <c r="AP876" s="33"/>
      <c r="AQ876" s="33"/>
      <c r="AR876" s="33"/>
    </row>
    <row r="877" spans="2:44" ht="25.5" customHeight="1"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L877" s="33"/>
      <c r="AM877" s="33"/>
      <c r="AN877" s="33"/>
      <c r="AO877" s="33"/>
      <c r="AP877" s="33"/>
      <c r="AQ877" s="33"/>
      <c r="AR877" s="33"/>
    </row>
    <row r="878" spans="2:44" ht="25.5" customHeight="1"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L878" s="33"/>
      <c r="AM878" s="33"/>
      <c r="AN878" s="33"/>
      <c r="AO878" s="33"/>
      <c r="AP878" s="33"/>
      <c r="AQ878" s="33"/>
      <c r="AR878" s="33"/>
    </row>
    <row r="879" spans="2:44" ht="25.5" customHeight="1"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L879" s="33"/>
      <c r="AM879" s="33"/>
      <c r="AN879" s="33"/>
      <c r="AO879" s="33"/>
      <c r="AP879" s="33"/>
      <c r="AQ879" s="33"/>
      <c r="AR879" s="33"/>
    </row>
    <row r="880" spans="2:44" ht="25.5" customHeight="1"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L880" s="33"/>
      <c r="AM880" s="33"/>
      <c r="AN880" s="33"/>
      <c r="AO880" s="33"/>
      <c r="AP880" s="33"/>
      <c r="AQ880" s="33"/>
      <c r="AR880" s="33"/>
    </row>
    <row r="881" spans="2:44" ht="25.5" customHeight="1"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L881" s="33"/>
      <c r="AM881" s="33"/>
      <c r="AN881" s="33"/>
      <c r="AO881" s="33"/>
      <c r="AP881" s="33"/>
      <c r="AQ881" s="33"/>
      <c r="AR881" s="33"/>
    </row>
    <row r="882" spans="2:44" ht="25.5" customHeight="1"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L882" s="33"/>
      <c r="AM882" s="33"/>
      <c r="AN882" s="33"/>
      <c r="AO882" s="33"/>
      <c r="AP882" s="33"/>
      <c r="AQ882" s="33"/>
      <c r="AR882" s="33"/>
    </row>
    <row r="883" spans="2:44" ht="25.5" customHeight="1"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L883" s="33"/>
      <c r="AM883" s="33"/>
      <c r="AN883" s="33"/>
      <c r="AO883" s="33"/>
      <c r="AP883" s="33"/>
      <c r="AQ883" s="33"/>
      <c r="AR883" s="33"/>
    </row>
    <row r="884" spans="2:44" ht="25.5" customHeight="1"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L884" s="33"/>
      <c r="AM884" s="33"/>
      <c r="AN884" s="33"/>
      <c r="AO884" s="33"/>
      <c r="AP884" s="33"/>
      <c r="AQ884" s="33"/>
      <c r="AR884" s="33"/>
    </row>
    <row r="885" spans="2:44" ht="25.5" customHeight="1"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L885" s="33"/>
      <c r="AM885" s="33"/>
      <c r="AN885" s="33"/>
      <c r="AO885" s="33"/>
      <c r="AP885" s="33"/>
      <c r="AQ885" s="33"/>
      <c r="AR885" s="33"/>
    </row>
    <row r="886" spans="2:44" ht="25.5" customHeight="1"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L886" s="33"/>
      <c r="AM886" s="33"/>
      <c r="AN886" s="33"/>
      <c r="AO886" s="33"/>
      <c r="AP886" s="33"/>
      <c r="AQ886" s="33"/>
      <c r="AR886" s="33"/>
    </row>
    <row r="887" spans="2:44" ht="25.5" customHeight="1"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L887" s="33"/>
      <c r="AM887" s="33"/>
      <c r="AN887" s="33"/>
      <c r="AO887" s="33"/>
      <c r="AP887" s="33"/>
      <c r="AQ887" s="33"/>
      <c r="AR887" s="33"/>
    </row>
    <row r="888" spans="2:44" ht="25.5" customHeight="1"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L888" s="33"/>
      <c r="AM888" s="33"/>
      <c r="AN888" s="33"/>
      <c r="AO888" s="33"/>
      <c r="AP888" s="33"/>
      <c r="AQ888" s="33"/>
      <c r="AR888" s="33"/>
    </row>
    <row r="889" spans="2:44" ht="25.5" customHeight="1"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L889" s="33"/>
      <c r="AM889" s="33"/>
      <c r="AN889" s="33"/>
      <c r="AO889" s="33"/>
      <c r="AP889" s="33"/>
      <c r="AQ889" s="33"/>
      <c r="AR889" s="33"/>
    </row>
    <row r="890" spans="2:44" ht="25.5" customHeight="1"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L890" s="33"/>
      <c r="AM890" s="33"/>
      <c r="AN890" s="33"/>
      <c r="AO890" s="33"/>
      <c r="AP890" s="33"/>
      <c r="AQ890" s="33"/>
      <c r="AR890" s="33"/>
    </row>
    <row r="891" spans="2:44" ht="25.5" customHeight="1"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L891" s="33"/>
      <c r="AM891" s="33"/>
      <c r="AN891" s="33"/>
      <c r="AO891" s="33"/>
      <c r="AP891" s="33"/>
      <c r="AQ891" s="33"/>
      <c r="AR891" s="33"/>
    </row>
    <row r="892" spans="2:44" ht="25.5" customHeight="1"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L892" s="33"/>
      <c r="AM892" s="33"/>
      <c r="AN892" s="33"/>
      <c r="AO892" s="33"/>
      <c r="AP892" s="33"/>
      <c r="AQ892" s="33"/>
      <c r="AR892" s="33"/>
    </row>
    <row r="893" spans="2:44" ht="25.5" customHeight="1"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L893" s="33"/>
      <c r="AM893" s="33"/>
      <c r="AN893" s="33"/>
      <c r="AO893" s="33"/>
      <c r="AP893" s="33"/>
      <c r="AQ893" s="33"/>
      <c r="AR893" s="33"/>
    </row>
    <row r="894" spans="2:44" ht="25.5" customHeight="1"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L894" s="33"/>
      <c r="AM894" s="33"/>
      <c r="AN894" s="33"/>
      <c r="AO894" s="33"/>
      <c r="AP894" s="33"/>
      <c r="AQ894" s="33"/>
      <c r="AR894" s="33"/>
    </row>
    <row r="895" spans="2:44" ht="25.5" customHeight="1"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L895" s="33"/>
      <c r="AM895" s="33"/>
      <c r="AN895" s="33"/>
      <c r="AO895" s="33"/>
      <c r="AP895" s="33"/>
      <c r="AQ895" s="33"/>
      <c r="AR895" s="33"/>
    </row>
    <row r="896" spans="2:44" ht="25.5" customHeight="1"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L896" s="33"/>
      <c r="AM896" s="33"/>
      <c r="AN896" s="33"/>
      <c r="AO896" s="33"/>
      <c r="AP896" s="33"/>
      <c r="AQ896" s="33"/>
      <c r="AR896" s="33"/>
    </row>
    <row r="897" spans="2:44" ht="25.5" customHeight="1"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L897" s="33"/>
      <c r="AM897" s="33"/>
      <c r="AN897" s="33"/>
      <c r="AO897" s="33"/>
      <c r="AP897" s="33"/>
      <c r="AQ897" s="33"/>
      <c r="AR897" s="33"/>
    </row>
    <row r="898" spans="2:44" ht="25.5" customHeight="1"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L898" s="33"/>
      <c r="AM898" s="33"/>
      <c r="AN898" s="33"/>
      <c r="AO898" s="33"/>
      <c r="AP898" s="33"/>
      <c r="AQ898" s="33"/>
      <c r="AR898" s="33"/>
    </row>
    <row r="899" spans="2:44" ht="25.5" customHeight="1"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L899" s="33"/>
      <c r="AM899" s="33"/>
      <c r="AN899" s="33"/>
      <c r="AO899" s="33"/>
      <c r="AP899" s="33"/>
      <c r="AQ899" s="33"/>
      <c r="AR899" s="33"/>
    </row>
    <row r="900" spans="2:44" ht="25.5" customHeight="1"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L900" s="33"/>
      <c r="AM900" s="33"/>
      <c r="AN900" s="33"/>
      <c r="AO900" s="33"/>
      <c r="AP900" s="33"/>
      <c r="AQ900" s="33"/>
      <c r="AR900" s="33"/>
    </row>
    <row r="901" spans="2:44" ht="25.5" customHeight="1"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L901" s="33"/>
      <c r="AM901" s="33"/>
      <c r="AN901" s="33"/>
      <c r="AO901" s="33"/>
      <c r="AP901" s="33"/>
      <c r="AQ901" s="33"/>
      <c r="AR901" s="33"/>
    </row>
    <row r="902" spans="2:44" ht="25.5" customHeight="1"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L902" s="33"/>
      <c r="AM902" s="33"/>
      <c r="AN902" s="33"/>
      <c r="AO902" s="33"/>
      <c r="AP902" s="33"/>
      <c r="AQ902" s="33"/>
      <c r="AR902" s="33"/>
    </row>
    <row r="903" spans="2:44" ht="25.5" customHeight="1"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L903" s="33"/>
      <c r="AM903" s="33"/>
      <c r="AN903" s="33"/>
      <c r="AO903" s="33"/>
      <c r="AP903" s="33"/>
      <c r="AQ903" s="33"/>
      <c r="AR903" s="33"/>
    </row>
    <row r="904" spans="2:44" ht="25.5" customHeight="1"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L904" s="33"/>
      <c r="AM904" s="33"/>
      <c r="AN904" s="33"/>
      <c r="AO904" s="33"/>
      <c r="AP904" s="33"/>
      <c r="AQ904" s="33"/>
      <c r="AR904" s="33"/>
    </row>
    <row r="905" spans="2:44" ht="25.5" customHeight="1"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L905" s="33"/>
      <c r="AM905" s="33"/>
      <c r="AN905" s="33"/>
      <c r="AO905" s="33"/>
      <c r="AP905" s="33"/>
      <c r="AQ905" s="33"/>
      <c r="AR905" s="33"/>
    </row>
    <row r="906" spans="2:44" ht="25.5" customHeight="1"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L906" s="33"/>
      <c r="AM906" s="33"/>
      <c r="AN906" s="33"/>
      <c r="AO906" s="33"/>
      <c r="AP906" s="33"/>
      <c r="AQ906" s="33"/>
      <c r="AR906" s="33"/>
    </row>
    <row r="907" spans="2:44" ht="25.5" customHeight="1"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L907" s="33"/>
      <c r="AM907" s="33"/>
      <c r="AN907" s="33"/>
      <c r="AO907" s="33"/>
      <c r="AP907" s="33"/>
      <c r="AQ907" s="33"/>
      <c r="AR907" s="33"/>
    </row>
    <row r="908" spans="2:44" ht="25.5" customHeight="1"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L908" s="33"/>
      <c r="AM908" s="33"/>
      <c r="AN908" s="33"/>
      <c r="AO908" s="33"/>
      <c r="AP908" s="33"/>
      <c r="AQ908" s="33"/>
      <c r="AR908" s="33"/>
    </row>
    <row r="909" spans="2:44" ht="25.5" customHeight="1"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L909" s="33"/>
      <c r="AM909" s="33"/>
      <c r="AN909" s="33"/>
      <c r="AO909" s="33"/>
      <c r="AP909" s="33"/>
      <c r="AQ909" s="33"/>
      <c r="AR909" s="33"/>
    </row>
    <row r="910" spans="2:44" ht="25.5" customHeight="1"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L910" s="33"/>
      <c r="AM910" s="33"/>
      <c r="AN910" s="33"/>
      <c r="AO910" s="33"/>
      <c r="AP910" s="33"/>
      <c r="AQ910" s="33"/>
      <c r="AR910" s="33"/>
    </row>
    <row r="911" spans="2:44" ht="25.5" customHeight="1"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L911" s="33"/>
      <c r="AM911" s="33"/>
      <c r="AN911" s="33"/>
      <c r="AO911" s="33"/>
      <c r="AP911" s="33"/>
      <c r="AQ911" s="33"/>
      <c r="AR911" s="33"/>
    </row>
    <row r="912" spans="2:44" ht="25.5" customHeight="1"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L912" s="33"/>
      <c r="AM912" s="33"/>
      <c r="AN912" s="33"/>
      <c r="AO912" s="33"/>
      <c r="AP912" s="33"/>
      <c r="AQ912" s="33"/>
      <c r="AR912" s="33"/>
    </row>
    <row r="913" spans="2:44" ht="25.5" customHeight="1"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L913" s="33"/>
      <c r="AM913" s="33"/>
      <c r="AN913" s="33"/>
      <c r="AO913" s="33"/>
      <c r="AP913" s="33"/>
      <c r="AQ913" s="33"/>
      <c r="AR913" s="33"/>
    </row>
    <row r="914" spans="2:44" ht="25.5" customHeight="1"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L914" s="33"/>
      <c r="AM914" s="33"/>
      <c r="AN914" s="33"/>
      <c r="AO914" s="33"/>
      <c r="AP914" s="33"/>
      <c r="AQ914" s="33"/>
      <c r="AR914" s="33"/>
    </row>
    <row r="915" spans="2:44" ht="25.5" customHeight="1"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L915" s="33"/>
      <c r="AM915" s="33"/>
      <c r="AN915" s="33"/>
      <c r="AO915" s="33"/>
      <c r="AP915" s="33"/>
      <c r="AQ915" s="33"/>
      <c r="AR915" s="33"/>
    </row>
    <row r="916" spans="2:44" ht="25.5" customHeight="1"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L916" s="33"/>
      <c r="AM916" s="33"/>
      <c r="AN916" s="33"/>
      <c r="AO916" s="33"/>
      <c r="AP916" s="33"/>
      <c r="AQ916" s="33"/>
      <c r="AR916" s="33"/>
    </row>
    <row r="917" spans="2:44" ht="25.5" customHeight="1"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L917" s="33"/>
      <c r="AM917" s="33"/>
      <c r="AN917" s="33"/>
      <c r="AO917" s="33"/>
      <c r="AP917" s="33"/>
      <c r="AQ917" s="33"/>
      <c r="AR917" s="33"/>
    </row>
    <row r="918" spans="2:44" ht="25.5" customHeight="1"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L918" s="33"/>
      <c r="AM918" s="33"/>
      <c r="AN918" s="33"/>
      <c r="AO918" s="33"/>
      <c r="AP918" s="33"/>
      <c r="AQ918" s="33"/>
      <c r="AR918" s="33"/>
    </row>
    <row r="919" spans="2:44" ht="25.5" customHeight="1"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L919" s="33"/>
      <c r="AM919" s="33"/>
      <c r="AN919" s="33"/>
      <c r="AO919" s="33"/>
      <c r="AP919" s="33"/>
      <c r="AQ919" s="33"/>
      <c r="AR919" s="33"/>
    </row>
    <row r="920" spans="2:44" ht="25.5" customHeight="1"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L920" s="33"/>
      <c r="AM920" s="33"/>
      <c r="AN920" s="33"/>
      <c r="AO920" s="33"/>
      <c r="AP920" s="33"/>
      <c r="AQ920" s="33"/>
      <c r="AR920" s="33"/>
    </row>
    <row r="921" spans="2:44" ht="25.5" customHeight="1"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L921" s="33"/>
      <c r="AM921" s="33"/>
      <c r="AN921" s="33"/>
      <c r="AO921" s="33"/>
      <c r="AP921" s="33"/>
      <c r="AQ921" s="33"/>
      <c r="AR921" s="33"/>
    </row>
    <row r="922" spans="2:44" ht="25.5" customHeight="1"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L922" s="33"/>
      <c r="AM922" s="33"/>
      <c r="AN922" s="33"/>
      <c r="AO922" s="33"/>
      <c r="AP922" s="33"/>
      <c r="AQ922" s="33"/>
      <c r="AR922" s="33"/>
    </row>
    <row r="923" spans="2:44" ht="25.5" customHeight="1"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L923" s="33"/>
      <c r="AM923" s="33"/>
      <c r="AN923" s="33"/>
      <c r="AO923" s="33"/>
      <c r="AP923" s="33"/>
      <c r="AQ923" s="33"/>
      <c r="AR923" s="33"/>
    </row>
    <row r="924" spans="2:44" ht="25.5" customHeight="1"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L924" s="33"/>
      <c r="AM924" s="33"/>
      <c r="AN924" s="33"/>
      <c r="AO924" s="33"/>
      <c r="AP924" s="33"/>
      <c r="AQ924" s="33"/>
      <c r="AR924" s="33"/>
    </row>
    <row r="925" spans="2:44" ht="25.5" customHeight="1"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L925" s="33"/>
      <c r="AM925" s="33"/>
      <c r="AN925" s="33"/>
      <c r="AO925" s="33"/>
      <c r="AP925" s="33"/>
      <c r="AQ925" s="33"/>
      <c r="AR925" s="33"/>
    </row>
    <row r="926" spans="2:44" ht="25.5" customHeight="1"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L926" s="33"/>
      <c r="AM926" s="33"/>
      <c r="AN926" s="33"/>
      <c r="AO926" s="33"/>
      <c r="AP926" s="33"/>
      <c r="AQ926" s="33"/>
      <c r="AR926" s="33"/>
    </row>
    <row r="927" spans="2:44" ht="25.5" customHeight="1"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L927" s="33"/>
      <c r="AM927" s="33"/>
      <c r="AN927" s="33"/>
      <c r="AO927" s="33"/>
      <c r="AP927" s="33"/>
      <c r="AQ927" s="33"/>
      <c r="AR927" s="33"/>
    </row>
    <row r="928" spans="2:44" ht="25.5" customHeight="1"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L928" s="33"/>
      <c r="AM928" s="33"/>
      <c r="AN928" s="33"/>
      <c r="AO928" s="33"/>
      <c r="AP928" s="33"/>
      <c r="AQ928" s="33"/>
      <c r="AR928" s="33"/>
    </row>
    <row r="929" spans="2:44" ht="25.5" customHeight="1"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L929" s="33"/>
      <c r="AM929" s="33"/>
      <c r="AN929" s="33"/>
      <c r="AO929" s="33"/>
      <c r="AP929" s="33"/>
      <c r="AQ929" s="33"/>
      <c r="AR929" s="33"/>
    </row>
    <row r="930" spans="2:44" ht="25.5" customHeight="1"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L930" s="33"/>
      <c r="AM930" s="33"/>
      <c r="AN930" s="33"/>
      <c r="AO930" s="33"/>
      <c r="AP930" s="33"/>
      <c r="AQ930" s="33"/>
      <c r="AR930" s="33"/>
    </row>
    <row r="931" spans="2:44" ht="25.5" customHeight="1"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L931" s="33"/>
      <c r="AM931" s="33"/>
      <c r="AN931" s="33"/>
      <c r="AO931" s="33"/>
      <c r="AP931" s="33"/>
      <c r="AQ931" s="33"/>
      <c r="AR931" s="33"/>
    </row>
    <row r="932" spans="2:44" ht="25.5" customHeight="1"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L932" s="33"/>
      <c r="AM932" s="33"/>
      <c r="AN932" s="33"/>
      <c r="AO932" s="33"/>
      <c r="AP932" s="33"/>
      <c r="AQ932" s="33"/>
      <c r="AR932" s="33"/>
    </row>
    <row r="933" spans="2:44" ht="25.5" customHeight="1"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L933" s="33"/>
      <c r="AM933" s="33"/>
      <c r="AN933" s="33"/>
      <c r="AO933" s="33"/>
      <c r="AP933" s="33"/>
      <c r="AQ933" s="33"/>
      <c r="AR933" s="33"/>
    </row>
    <row r="934" spans="2:44" ht="25.5" customHeight="1"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L934" s="33"/>
      <c r="AM934" s="33"/>
      <c r="AN934" s="33"/>
      <c r="AO934" s="33"/>
      <c r="AP934" s="33"/>
      <c r="AQ934" s="33"/>
      <c r="AR934" s="33"/>
    </row>
    <row r="935" spans="2:44" ht="25.5" customHeight="1"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L935" s="33"/>
      <c r="AM935" s="33"/>
      <c r="AN935" s="33"/>
      <c r="AO935" s="33"/>
      <c r="AP935" s="33"/>
      <c r="AQ935" s="33"/>
      <c r="AR935" s="33"/>
    </row>
    <row r="936" spans="2:44" ht="25.5" customHeight="1"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L936" s="33"/>
      <c r="AM936" s="33"/>
      <c r="AN936" s="33"/>
      <c r="AO936" s="33"/>
      <c r="AP936" s="33"/>
      <c r="AQ936" s="33"/>
      <c r="AR936" s="33"/>
    </row>
    <row r="937" spans="2:44" ht="25.5" customHeight="1"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L937" s="33"/>
      <c r="AM937" s="33"/>
      <c r="AN937" s="33"/>
      <c r="AO937" s="33"/>
      <c r="AP937" s="33"/>
      <c r="AQ937" s="33"/>
      <c r="AR937" s="33"/>
    </row>
    <row r="938" spans="2:44" ht="25.5" customHeight="1"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L938" s="33"/>
      <c r="AM938" s="33"/>
      <c r="AN938" s="33"/>
      <c r="AO938" s="33"/>
      <c r="AP938" s="33"/>
      <c r="AQ938" s="33"/>
      <c r="AR938" s="33"/>
    </row>
    <row r="939" spans="2:44" ht="25.5" customHeight="1"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L939" s="33"/>
      <c r="AM939" s="33"/>
      <c r="AN939" s="33"/>
      <c r="AO939" s="33"/>
      <c r="AP939" s="33"/>
      <c r="AQ939" s="33"/>
      <c r="AR939" s="33"/>
    </row>
    <row r="940" spans="2:44" ht="25.5" customHeight="1"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L940" s="33"/>
      <c r="AM940" s="33"/>
      <c r="AN940" s="33"/>
      <c r="AO940" s="33"/>
      <c r="AP940" s="33"/>
      <c r="AQ940" s="33"/>
      <c r="AR940" s="33"/>
    </row>
    <row r="941" spans="2:44" ht="25.5" customHeight="1"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L941" s="33"/>
      <c r="AM941" s="33"/>
      <c r="AN941" s="33"/>
      <c r="AO941" s="33"/>
      <c r="AP941" s="33"/>
      <c r="AQ941" s="33"/>
      <c r="AR941" s="33"/>
    </row>
    <row r="942" spans="2:44" ht="25.5" customHeight="1"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L942" s="33"/>
      <c r="AM942" s="33"/>
      <c r="AN942" s="33"/>
      <c r="AO942" s="33"/>
      <c r="AP942" s="33"/>
      <c r="AQ942" s="33"/>
      <c r="AR942" s="33"/>
    </row>
    <row r="943" spans="2:44" ht="25.5" customHeight="1"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L943" s="33"/>
      <c r="AM943" s="33"/>
      <c r="AN943" s="33"/>
      <c r="AO943" s="33"/>
      <c r="AP943" s="33"/>
      <c r="AQ943" s="33"/>
      <c r="AR943" s="33"/>
    </row>
    <row r="944" spans="2:44" ht="25.5" customHeight="1"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L944" s="33"/>
      <c r="AM944" s="33"/>
      <c r="AN944" s="33"/>
      <c r="AO944" s="33"/>
      <c r="AP944" s="33"/>
      <c r="AQ944" s="33"/>
      <c r="AR944" s="33"/>
    </row>
    <row r="945" spans="2:44" ht="25.5" customHeight="1"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L945" s="33"/>
      <c r="AM945" s="33"/>
      <c r="AN945" s="33"/>
      <c r="AO945" s="33"/>
      <c r="AP945" s="33"/>
      <c r="AQ945" s="33"/>
      <c r="AR945" s="33"/>
    </row>
    <row r="946" spans="2:44" ht="25.5" customHeight="1"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L946" s="33"/>
      <c r="AM946" s="33"/>
      <c r="AN946" s="33"/>
      <c r="AO946" s="33"/>
      <c r="AP946" s="33"/>
      <c r="AQ946" s="33"/>
      <c r="AR946" s="33"/>
    </row>
    <row r="947" spans="2:44" ht="25.5" customHeight="1"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L947" s="33"/>
      <c r="AM947" s="33"/>
      <c r="AN947" s="33"/>
      <c r="AO947" s="33"/>
      <c r="AP947" s="33"/>
      <c r="AQ947" s="33"/>
      <c r="AR947" s="33"/>
    </row>
    <row r="948" spans="2:44" ht="25.5" customHeight="1"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L948" s="33"/>
      <c r="AM948" s="33"/>
      <c r="AN948" s="33"/>
      <c r="AO948" s="33"/>
      <c r="AP948" s="33"/>
      <c r="AQ948" s="33"/>
      <c r="AR948" s="33"/>
    </row>
    <row r="949" spans="2:44" ht="25.5" customHeight="1"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L949" s="33"/>
      <c r="AM949" s="33"/>
      <c r="AN949" s="33"/>
      <c r="AO949" s="33"/>
      <c r="AP949" s="33"/>
      <c r="AQ949" s="33"/>
      <c r="AR949" s="33"/>
    </row>
    <row r="950" spans="2:44" ht="25.5" customHeight="1"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L950" s="33"/>
      <c r="AM950" s="33"/>
      <c r="AN950" s="33"/>
      <c r="AO950" s="33"/>
      <c r="AP950" s="33"/>
      <c r="AQ950" s="33"/>
      <c r="AR950" s="33"/>
    </row>
    <row r="951" spans="2:44" ht="25.5" customHeight="1"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L951" s="33"/>
      <c r="AM951" s="33"/>
      <c r="AN951" s="33"/>
      <c r="AO951" s="33"/>
      <c r="AP951" s="33"/>
      <c r="AQ951" s="33"/>
      <c r="AR951" s="33"/>
    </row>
    <row r="952" spans="2:44" ht="25.5" customHeight="1"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L952" s="33"/>
      <c r="AM952" s="33"/>
      <c r="AN952" s="33"/>
      <c r="AO952" s="33"/>
      <c r="AP952" s="33"/>
      <c r="AQ952" s="33"/>
      <c r="AR952" s="33"/>
    </row>
    <row r="953" spans="2:44" ht="25.5" customHeight="1"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L953" s="33"/>
      <c r="AM953" s="33"/>
      <c r="AN953" s="33"/>
      <c r="AO953" s="33"/>
      <c r="AP953" s="33"/>
      <c r="AQ953" s="33"/>
      <c r="AR953" s="33"/>
    </row>
    <row r="954" spans="2:44" ht="25.5" customHeight="1"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L954" s="33"/>
      <c r="AM954" s="33"/>
      <c r="AN954" s="33"/>
      <c r="AO954" s="33"/>
      <c r="AP954" s="33"/>
      <c r="AQ954" s="33"/>
      <c r="AR954" s="33"/>
    </row>
    <row r="955" spans="2:44" ht="25.5" customHeight="1"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L955" s="33"/>
      <c r="AM955" s="33"/>
      <c r="AN955" s="33"/>
      <c r="AO955" s="33"/>
      <c r="AP955" s="33"/>
      <c r="AQ955" s="33"/>
      <c r="AR955" s="33"/>
    </row>
    <row r="956" spans="2:44" ht="25.5" customHeight="1"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L956" s="33"/>
      <c r="AM956" s="33"/>
      <c r="AN956" s="33"/>
      <c r="AO956" s="33"/>
      <c r="AP956" s="33"/>
      <c r="AQ956" s="33"/>
      <c r="AR956" s="33"/>
    </row>
    <row r="957" spans="2:44" ht="25.5" customHeight="1"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L957" s="33"/>
      <c r="AM957" s="33"/>
      <c r="AN957" s="33"/>
      <c r="AO957" s="33"/>
      <c r="AP957" s="33"/>
      <c r="AQ957" s="33"/>
      <c r="AR957" s="33"/>
    </row>
    <row r="958" spans="2:44" ht="25.5" customHeight="1"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L958" s="33"/>
      <c r="AM958" s="33"/>
      <c r="AN958" s="33"/>
      <c r="AO958" s="33"/>
      <c r="AP958" s="33"/>
      <c r="AQ958" s="33"/>
      <c r="AR958" s="33"/>
    </row>
    <row r="959" spans="2:44" ht="25.5" customHeight="1"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L959" s="33"/>
      <c r="AM959" s="33"/>
      <c r="AN959" s="33"/>
      <c r="AO959" s="33"/>
      <c r="AP959" s="33"/>
      <c r="AQ959" s="33"/>
      <c r="AR959" s="33"/>
    </row>
    <row r="960" spans="2:44" ht="25.5" customHeight="1"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L960" s="33"/>
      <c r="AM960" s="33"/>
      <c r="AN960" s="33"/>
      <c r="AO960" s="33"/>
      <c r="AP960" s="33"/>
      <c r="AQ960" s="33"/>
      <c r="AR960" s="33"/>
    </row>
    <row r="961" spans="2:44" ht="25.5" customHeight="1"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L961" s="33"/>
      <c r="AM961" s="33"/>
      <c r="AN961" s="33"/>
      <c r="AO961" s="33"/>
      <c r="AP961" s="33"/>
      <c r="AQ961" s="33"/>
      <c r="AR961" s="33"/>
    </row>
    <row r="962" spans="2:44" ht="25.5" customHeight="1"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L962" s="33"/>
      <c r="AM962" s="33"/>
      <c r="AN962" s="33"/>
      <c r="AO962" s="33"/>
      <c r="AP962" s="33"/>
      <c r="AQ962" s="33"/>
      <c r="AR962" s="33"/>
    </row>
    <row r="963" spans="2:44" ht="25.5" customHeight="1"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L963" s="33"/>
      <c r="AM963" s="33"/>
      <c r="AN963" s="33"/>
      <c r="AO963" s="33"/>
      <c r="AP963" s="33"/>
      <c r="AQ963" s="33"/>
      <c r="AR963" s="33"/>
    </row>
    <row r="964" spans="2:44" ht="25.5" customHeight="1"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L964" s="33"/>
      <c r="AM964" s="33"/>
      <c r="AN964" s="33"/>
      <c r="AO964" s="33"/>
      <c r="AP964" s="33"/>
      <c r="AQ964" s="33"/>
      <c r="AR964" s="33"/>
    </row>
    <row r="965" spans="2:44" ht="25.5" customHeight="1"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L965" s="33"/>
      <c r="AM965" s="33"/>
      <c r="AN965" s="33"/>
      <c r="AO965" s="33"/>
      <c r="AP965" s="33"/>
      <c r="AQ965" s="33"/>
      <c r="AR965" s="33"/>
    </row>
    <row r="966" spans="2:44" ht="25.5" customHeight="1"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L966" s="33"/>
      <c r="AM966" s="33"/>
      <c r="AN966" s="33"/>
      <c r="AO966" s="33"/>
      <c r="AP966" s="33"/>
      <c r="AQ966" s="33"/>
      <c r="AR966" s="33"/>
    </row>
    <row r="967" spans="2:44" ht="25.5" customHeight="1"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L967" s="33"/>
      <c r="AM967" s="33"/>
      <c r="AN967" s="33"/>
      <c r="AO967" s="33"/>
      <c r="AP967" s="33"/>
      <c r="AQ967" s="33"/>
      <c r="AR967" s="33"/>
    </row>
    <row r="968" spans="2:44" ht="25.5" customHeight="1"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L968" s="33"/>
      <c r="AM968" s="33"/>
      <c r="AN968" s="33"/>
      <c r="AO968" s="33"/>
      <c r="AP968" s="33"/>
      <c r="AQ968" s="33"/>
      <c r="AR968" s="33"/>
    </row>
    <row r="969" spans="2:44" ht="25.5" customHeight="1"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L969" s="33"/>
      <c r="AM969" s="33"/>
      <c r="AN969" s="33"/>
      <c r="AO969" s="33"/>
      <c r="AP969" s="33"/>
      <c r="AQ969" s="33"/>
      <c r="AR969" s="33"/>
    </row>
    <row r="970" spans="2:44" ht="25.5" customHeight="1"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L970" s="33"/>
      <c r="AM970" s="33"/>
      <c r="AN970" s="33"/>
      <c r="AO970" s="33"/>
      <c r="AP970" s="33"/>
      <c r="AQ970" s="33"/>
      <c r="AR970" s="33"/>
    </row>
    <row r="971" spans="2:44" ht="25.5" customHeight="1"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L971" s="33"/>
      <c r="AM971" s="33"/>
      <c r="AN971" s="33"/>
      <c r="AO971" s="33"/>
      <c r="AP971" s="33"/>
      <c r="AQ971" s="33"/>
      <c r="AR971" s="33"/>
    </row>
    <row r="972" spans="2:44" ht="25.5" customHeight="1"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L972" s="33"/>
      <c r="AM972" s="33"/>
      <c r="AN972" s="33"/>
      <c r="AO972" s="33"/>
      <c r="AP972" s="33"/>
      <c r="AQ972" s="33"/>
      <c r="AR972" s="33"/>
    </row>
    <row r="973" spans="2:44" ht="25.5" customHeight="1"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L973" s="33"/>
      <c r="AM973" s="33"/>
      <c r="AN973" s="33"/>
      <c r="AO973" s="33"/>
      <c r="AP973" s="33"/>
      <c r="AQ973" s="33"/>
      <c r="AR973" s="33"/>
    </row>
    <row r="974" spans="2:44" ht="25.5" customHeight="1"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L974" s="33"/>
      <c r="AM974" s="33"/>
      <c r="AN974" s="33"/>
      <c r="AO974" s="33"/>
      <c r="AP974" s="33"/>
      <c r="AQ974" s="33"/>
      <c r="AR974" s="33"/>
    </row>
    <row r="975" spans="2:44" ht="25.5" customHeight="1"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L975" s="33"/>
      <c r="AM975" s="33"/>
      <c r="AN975" s="33"/>
      <c r="AO975" s="33"/>
      <c r="AP975" s="33"/>
      <c r="AQ975" s="33"/>
      <c r="AR975" s="33"/>
    </row>
    <row r="976" spans="2:44" ht="25.5" customHeight="1"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L976" s="33"/>
      <c r="AM976" s="33"/>
      <c r="AN976" s="33"/>
      <c r="AO976" s="33"/>
      <c r="AP976" s="33"/>
      <c r="AQ976" s="33"/>
      <c r="AR976" s="33"/>
    </row>
    <row r="977" spans="2:44" ht="25.5" customHeight="1"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L977" s="33"/>
      <c r="AM977" s="33"/>
      <c r="AN977" s="33"/>
      <c r="AO977" s="33"/>
      <c r="AP977" s="33"/>
      <c r="AQ977" s="33"/>
      <c r="AR977" s="33"/>
    </row>
    <row r="978" spans="2:44" ht="25.5" customHeight="1"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L978" s="33"/>
      <c r="AM978" s="33"/>
      <c r="AN978" s="33"/>
      <c r="AO978" s="33"/>
      <c r="AP978" s="33"/>
      <c r="AQ978" s="33"/>
      <c r="AR978" s="33"/>
    </row>
    <row r="979" spans="2:44" ht="25.5" customHeight="1"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L979" s="33"/>
      <c r="AM979" s="33"/>
      <c r="AN979" s="33"/>
      <c r="AO979" s="33"/>
      <c r="AP979" s="33"/>
      <c r="AQ979" s="33"/>
      <c r="AR979" s="33"/>
    </row>
    <row r="980" spans="2:44" ht="25.5" customHeight="1"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L980" s="33"/>
      <c r="AM980" s="33"/>
      <c r="AN980" s="33"/>
      <c r="AO980" s="33"/>
      <c r="AP980" s="33"/>
      <c r="AQ980" s="33"/>
      <c r="AR980" s="33"/>
    </row>
    <row r="981" spans="2:44" ht="25.5" customHeight="1"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L981" s="33"/>
      <c r="AM981" s="33"/>
      <c r="AN981" s="33"/>
      <c r="AO981" s="33"/>
      <c r="AP981" s="33"/>
      <c r="AQ981" s="33"/>
      <c r="AR981" s="33"/>
    </row>
    <row r="982" spans="2:44" ht="25.5" customHeight="1"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L982" s="33"/>
      <c r="AM982" s="33"/>
      <c r="AN982" s="33"/>
      <c r="AO982" s="33"/>
      <c r="AP982" s="33"/>
      <c r="AQ982" s="33"/>
      <c r="AR982" s="33"/>
    </row>
    <row r="983" spans="2:44" ht="25.5" customHeight="1"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L983" s="33"/>
      <c r="AM983" s="33"/>
      <c r="AN983" s="33"/>
      <c r="AO983" s="33"/>
      <c r="AP983" s="33"/>
      <c r="AQ983" s="33"/>
      <c r="AR983" s="33"/>
    </row>
    <row r="984" spans="2:44" ht="25.5" customHeight="1"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L984" s="33"/>
      <c r="AM984" s="33"/>
      <c r="AN984" s="33"/>
      <c r="AO984" s="33"/>
      <c r="AP984" s="33"/>
      <c r="AQ984" s="33"/>
      <c r="AR984" s="33"/>
    </row>
    <row r="985" spans="2:44" ht="25.5" customHeight="1"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L985" s="33"/>
      <c r="AM985" s="33"/>
      <c r="AN985" s="33"/>
      <c r="AO985" s="33"/>
      <c r="AP985" s="33"/>
      <c r="AQ985" s="33"/>
      <c r="AR985" s="33"/>
    </row>
    <row r="986" spans="2:44" ht="25.5" customHeight="1"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L986" s="33"/>
      <c r="AM986" s="33"/>
      <c r="AN986" s="33"/>
      <c r="AO986" s="33"/>
      <c r="AP986" s="33"/>
      <c r="AQ986" s="33"/>
      <c r="AR986" s="33"/>
    </row>
    <row r="987" spans="2:44" ht="25.5" customHeight="1"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L987" s="33"/>
      <c r="AM987" s="33"/>
      <c r="AN987" s="33"/>
      <c r="AO987" s="33"/>
      <c r="AP987" s="33"/>
      <c r="AQ987" s="33"/>
      <c r="AR987" s="33"/>
    </row>
    <row r="988" spans="2:44" ht="25.5" customHeight="1"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L988" s="33"/>
      <c r="AM988" s="33"/>
      <c r="AN988" s="33"/>
      <c r="AO988" s="33"/>
      <c r="AP988" s="33"/>
      <c r="AQ988" s="33"/>
      <c r="AR988" s="33"/>
    </row>
    <row r="989" spans="2:44" ht="25.5" customHeight="1"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L989" s="33"/>
      <c r="AM989" s="33"/>
      <c r="AN989" s="33"/>
      <c r="AO989" s="33"/>
      <c r="AP989" s="33"/>
      <c r="AQ989" s="33"/>
      <c r="AR989" s="33"/>
    </row>
    <row r="990" spans="2:44" ht="25.5" customHeight="1"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L990" s="33"/>
      <c r="AM990" s="33"/>
      <c r="AN990" s="33"/>
      <c r="AO990" s="33"/>
      <c r="AP990" s="33"/>
      <c r="AQ990" s="33"/>
      <c r="AR990" s="33"/>
    </row>
    <row r="991" spans="2:44" ht="25.5" customHeight="1"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L991" s="33"/>
      <c r="AM991" s="33"/>
      <c r="AN991" s="33"/>
      <c r="AO991" s="33"/>
      <c r="AP991" s="33"/>
      <c r="AQ991" s="33"/>
      <c r="AR991" s="33"/>
    </row>
    <row r="992" spans="2:44" ht="25.5" customHeight="1"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L992" s="33"/>
      <c r="AM992" s="33"/>
      <c r="AN992" s="33"/>
      <c r="AO992" s="33"/>
      <c r="AP992" s="33"/>
      <c r="AQ992" s="33"/>
      <c r="AR992" s="33"/>
    </row>
    <row r="993" spans="2:44" ht="25.5" customHeight="1"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L993" s="33"/>
      <c r="AM993" s="33"/>
      <c r="AN993" s="33"/>
      <c r="AO993" s="33"/>
      <c r="AP993" s="33"/>
      <c r="AQ993" s="33"/>
      <c r="AR993" s="33"/>
    </row>
    <row r="994" spans="2:44" ht="25.5" customHeight="1"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L994" s="33"/>
      <c r="AM994" s="33"/>
      <c r="AN994" s="33"/>
      <c r="AO994" s="33"/>
      <c r="AP994" s="33"/>
      <c r="AQ994" s="33"/>
      <c r="AR994" s="33"/>
    </row>
    <row r="995" spans="2:44" ht="25.5" customHeight="1"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L995" s="33"/>
      <c r="AM995" s="33"/>
      <c r="AN995" s="33"/>
      <c r="AO995" s="33"/>
      <c r="AP995" s="33"/>
      <c r="AQ995" s="33"/>
      <c r="AR995" s="33"/>
    </row>
    <row r="996" spans="2:44" ht="25.5" customHeight="1"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L996" s="33"/>
      <c r="AM996" s="33"/>
      <c r="AN996" s="33"/>
      <c r="AO996" s="33"/>
      <c r="AP996" s="33"/>
      <c r="AQ996" s="33"/>
      <c r="AR996" s="33"/>
    </row>
    <row r="997" spans="2:44" ht="25.5" customHeight="1"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L997" s="33"/>
      <c r="AM997" s="33"/>
      <c r="AN997" s="33"/>
      <c r="AO997" s="33"/>
      <c r="AP997" s="33"/>
      <c r="AQ997" s="33"/>
      <c r="AR997" s="33"/>
    </row>
    <row r="998" spans="2:44" ht="25.5" customHeight="1"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L998" s="33"/>
      <c r="AM998" s="33"/>
      <c r="AN998" s="33"/>
      <c r="AO998" s="33"/>
      <c r="AP998" s="33"/>
      <c r="AQ998" s="33"/>
      <c r="AR998" s="33"/>
    </row>
    <row r="999" spans="2:44" ht="25.5" customHeight="1"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L999" s="33"/>
      <c r="AM999" s="33"/>
      <c r="AN999" s="33"/>
      <c r="AO999" s="33"/>
      <c r="AP999" s="33"/>
      <c r="AQ999" s="33"/>
      <c r="AR999" s="33"/>
    </row>
    <row r="1000" spans="2:44" ht="25.5" customHeight="1"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L1000" s="33"/>
      <c r="AM1000" s="33"/>
      <c r="AN1000" s="33"/>
      <c r="AO1000" s="33"/>
      <c r="AP1000" s="33"/>
      <c r="AQ1000" s="33"/>
      <c r="AR1000" s="33"/>
    </row>
    <row r="1001" spans="2:44" ht="25.5" customHeight="1"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L1001" s="33"/>
      <c r="AM1001" s="33"/>
      <c r="AN1001" s="33"/>
      <c r="AO1001" s="33"/>
      <c r="AP1001" s="33"/>
      <c r="AQ1001" s="33"/>
      <c r="AR1001" s="33"/>
    </row>
  </sheetData>
  <mergeCells count="5">
    <mergeCell ref="T4:Z4"/>
    <mergeCell ref="AA4:AI4"/>
    <mergeCell ref="B4:J4"/>
    <mergeCell ref="B1:AJ1"/>
    <mergeCell ref="K4:S4"/>
  </mergeCells>
  <phoneticPr fontId="13" type="noConversion"/>
  <pageMargins left="0.25" right="0.25" top="0.75" bottom="0.75" header="0.3" footer="0.3"/>
  <pageSetup paperSize="9" scale="10" orientation="landscape" verticalDpi="20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C596-D027-4B69-BF41-DEC75C5CDB8C}">
  <sheetPr codeName="Sheet5">
    <tabColor theme="2"/>
    <pageSetUpPr fitToPage="1"/>
  </sheetPr>
  <dimension ref="A1:BJ1000"/>
  <sheetViews>
    <sheetView showGridLines="0" zoomScale="85" zoomScaleNormal="85" workbookViewId="0">
      <pane xSplit="1" ySplit="3" topLeftCell="O4" activePane="bottomRight" state="frozen"/>
      <selection pane="bottomRight" activeCell="AI8" sqref="AI8"/>
      <selection pane="bottomLeft" activeCell="A5" sqref="A5"/>
      <selection pane="topRight" activeCell="C1" sqref="C1"/>
    </sheetView>
  </sheetViews>
  <sheetFormatPr defaultColWidth="12.625" defaultRowHeight="16.5"/>
  <cols>
    <col min="1" max="1" width="12.625" style="35"/>
    <col min="2" max="13" width="8.625" style="36" customWidth="1"/>
    <col min="14" max="14" width="9.875" style="29" customWidth="1"/>
    <col min="15" max="18" width="8.625" style="36" customWidth="1"/>
    <col min="19" max="19" width="9.375" style="36" customWidth="1"/>
    <col min="20" max="20" width="8.625" style="36" customWidth="1"/>
    <col min="21" max="21" width="1.75" style="36" customWidth="1"/>
    <col min="22" max="25" width="8.625" style="36" customWidth="1"/>
    <col min="26" max="26" width="1.75" style="36" customWidth="1"/>
    <col min="27" max="30" width="8.625" style="36" customWidth="1"/>
    <col min="31" max="44" width="8.625" style="29" customWidth="1"/>
    <col min="45" max="45" width="2.125" style="29" customWidth="1"/>
    <col min="46" max="48" width="10.125" style="29" customWidth="1"/>
    <col min="49" max="49" width="10.125" style="29" hidden="1" customWidth="1"/>
    <col min="50" max="50" width="2.125" style="29" customWidth="1"/>
    <col min="51" max="55" width="8.625" style="29" customWidth="1"/>
    <col min="56" max="58" width="8.625" style="29" hidden="1" customWidth="1"/>
    <col min="59" max="59" width="1.375" style="29" customWidth="1"/>
    <col min="60" max="60" width="40.875" style="29" customWidth="1"/>
    <col min="61" max="261" width="8" style="29" customWidth="1"/>
    <col min="262" max="16384" width="12.625" style="29"/>
  </cols>
  <sheetData>
    <row r="1" spans="1:62">
      <c r="A1" s="55"/>
      <c r="B1" s="460" t="s">
        <v>180</v>
      </c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  <c r="T1" s="462"/>
      <c r="U1" s="29"/>
      <c r="V1" s="463" t="s">
        <v>181</v>
      </c>
      <c r="W1" s="464"/>
      <c r="X1" s="464"/>
      <c r="Y1" s="465"/>
      <c r="Z1" s="218"/>
      <c r="AA1" s="466" t="s">
        <v>182</v>
      </c>
      <c r="AB1" s="466"/>
      <c r="AC1" s="466"/>
      <c r="AD1" s="466"/>
      <c r="AE1" s="466"/>
      <c r="AF1" s="466"/>
      <c r="AG1" s="466"/>
      <c r="AH1" s="466"/>
      <c r="AI1" s="466"/>
      <c r="AJ1" s="466"/>
      <c r="AK1" s="466"/>
      <c r="AL1" s="466"/>
      <c r="AM1" s="466"/>
      <c r="AN1" s="466"/>
      <c r="AO1" s="466"/>
      <c r="AP1" s="466"/>
      <c r="AQ1" s="466"/>
      <c r="AR1" s="466"/>
      <c r="AY1" s="29" t="s">
        <v>183</v>
      </c>
      <c r="BB1" s="310" t="s">
        <v>184</v>
      </c>
      <c r="BC1" s="310"/>
    </row>
    <row r="2" spans="1:62" s="25" customFormat="1" ht="45.6" customHeight="1">
      <c r="A2" s="56" t="s">
        <v>96</v>
      </c>
      <c r="B2" s="72" t="s">
        <v>185</v>
      </c>
      <c r="C2" s="72" t="s">
        <v>186</v>
      </c>
      <c r="D2" s="72" t="s">
        <v>187</v>
      </c>
      <c r="E2" s="72" t="s">
        <v>187</v>
      </c>
      <c r="F2" s="72" t="s">
        <v>188</v>
      </c>
      <c r="G2" s="72" t="s">
        <v>189</v>
      </c>
      <c r="H2" s="72" t="s">
        <v>190</v>
      </c>
      <c r="I2" s="72" t="s">
        <v>191</v>
      </c>
      <c r="J2" s="72" t="s">
        <v>192</v>
      </c>
      <c r="K2" s="72" t="s">
        <v>193</v>
      </c>
      <c r="L2" s="72" t="s">
        <v>194</v>
      </c>
      <c r="M2" s="72" t="s">
        <v>195</v>
      </c>
      <c r="N2" s="72" t="s">
        <v>196</v>
      </c>
      <c r="O2" s="72" t="s">
        <v>197</v>
      </c>
      <c r="P2" s="78" t="s">
        <v>198</v>
      </c>
      <c r="Q2" s="78" t="s">
        <v>199</v>
      </c>
      <c r="R2" s="78" t="s">
        <v>200</v>
      </c>
      <c r="S2" s="78" t="s">
        <v>201</v>
      </c>
      <c r="T2" s="80" t="s">
        <v>131</v>
      </c>
      <c r="U2" s="23"/>
      <c r="V2" s="337" t="s">
        <v>190</v>
      </c>
      <c r="W2" s="338" t="s">
        <v>83</v>
      </c>
      <c r="X2" s="339" t="s">
        <v>202</v>
      </c>
      <c r="Y2" s="341" t="s">
        <v>131</v>
      </c>
      <c r="Z2" s="219"/>
      <c r="AA2" s="72" t="s">
        <v>203</v>
      </c>
      <c r="AB2" s="72" t="s">
        <v>185</v>
      </c>
      <c r="AC2" s="72" t="s">
        <v>204</v>
      </c>
      <c r="AD2" s="72" t="s">
        <v>187</v>
      </c>
      <c r="AE2" s="72" t="s">
        <v>205</v>
      </c>
      <c r="AF2" s="72" t="s">
        <v>206</v>
      </c>
      <c r="AG2" s="72" t="s">
        <v>189</v>
      </c>
      <c r="AH2" s="72" t="s">
        <v>190</v>
      </c>
      <c r="AI2" s="72" t="s">
        <v>207</v>
      </c>
      <c r="AJ2" s="72" t="s">
        <v>192</v>
      </c>
      <c r="AK2" s="72" t="s">
        <v>193</v>
      </c>
      <c r="AL2" s="72" t="s">
        <v>194</v>
      </c>
      <c r="AM2" s="72" t="s">
        <v>195</v>
      </c>
      <c r="AN2" s="72" t="s">
        <v>196</v>
      </c>
      <c r="AO2" s="72" t="s">
        <v>197</v>
      </c>
      <c r="AP2" s="78" t="s">
        <v>208</v>
      </c>
      <c r="AQ2" s="78" t="s">
        <v>83</v>
      </c>
      <c r="AR2" s="80" t="s">
        <v>131</v>
      </c>
      <c r="AS2" s="23"/>
      <c r="AT2" s="308" t="s">
        <v>45</v>
      </c>
      <c r="AU2" s="308" t="s">
        <v>46</v>
      </c>
      <c r="AV2" s="308" t="s">
        <v>47</v>
      </c>
      <c r="AW2" s="308" t="s">
        <v>209</v>
      </c>
      <c r="AX2" s="23"/>
      <c r="AY2" s="82" t="s">
        <v>139</v>
      </c>
      <c r="AZ2" s="82" t="s">
        <v>210</v>
      </c>
      <c r="BA2" s="311" t="s">
        <v>211</v>
      </c>
      <c r="BB2" s="311" t="s">
        <v>212</v>
      </c>
      <c r="BC2" s="312" t="s">
        <v>150</v>
      </c>
      <c r="BD2" s="71" t="s">
        <v>213</v>
      </c>
      <c r="BE2" s="71" t="s">
        <v>214</v>
      </c>
      <c r="BF2" s="71" t="s">
        <v>215</v>
      </c>
      <c r="BG2"/>
      <c r="BH2" s="26" t="s">
        <v>156</v>
      </c>
    </row>
    <row r="3" spans="1:62" s="25" customFormat="1" ht="16.5" customHeight="1">
      <c r="A3" s="57" t="s">
        <v>157</v>
      </c>
      <c r="B3" s="77" t="s">
        <v>162</v>
      </c>
      <c r="C3" s="77" t="s">
        <v>162</v>
      </c>
      <c r="D3" s="77" t="s">
        <v>162</v>
      </c>
      <c r="E3" s="77" t="s">
        <v>162</v>
      </c>
      <c r="F3" s="77" t="s">
        <v>163</v>
      </c>
      <c r="G3" s="77" t="s">
        <v>163</v>
      </c>
      <c r="H3" s="77" t="s">
        <v>163</v>
      </c>
      <c r="I3" s="77" t="s">
        <v>163</v>
      </c>
      <c r="J3" s="77" t="s">
        <v>164</v>
      </c>
      <c r="K3" s="77" t="s">
        <v>164</v>
      </c>
      <c r="L3" s="77" t="s">
        <v>164</v>
      </c>
      <c r="M3" s="77" t="s">
        <v>164</v>
      </c>
      <c r="N3" s="77" t="s">
        <v>165</v>
      </c>
      <c r="O3" s="77" t="s">
        <v>165</v>
      </c>
      <c r="P3" s="58" t="s">
        <v>162</v>
      </c>
      <c r="Q3" s="58" t="s">
        <v>162</v>
      </c>
      <c r="R3" s="58" t="s">
        <v>164</v>
      </c>
      <c r="S3" s="58" t="s">
        <v>165</v>
      </c>
      <c r="T3" s="81"/>
      <c r="U3" s="23"/>
      <c r="V3" s="311" t="s">
        <v>163</v>
      </c>
      <c r="W3" s="340" t="s">
        <v>162</v>
      </c>
      <c r="X3" s="340" t="s">
        <v>162</v>
      </c>
      <c r="Y3" s="81"/>
      <c r="Z3" s="220"/>
      <c r="AA3" s="77" t="s">
        <v>158</v>
      </c>
      <c r="AB3" s="77" t="s">
        <v>162</v>
      </c>
      <c r="AC3" s="77" t="s">
        <v>158</v>
      </c>
      <c r="AD3" s="77" t="s">
        <v>162</v>
      </c>
      <c r="AE3" s="77" t="s">
        <v>162</v>
      </c>
      <c r="AF3" s="77" t="s">
        <v>159</v>
      </c>
      <c r="AG3" s="77" t="s">
        <v>163</v>
      </c>
      <c r="AH3" s="77" t="s">
        <v>163</v>
      </c>
      <c r="AI3" s="77" t="s">
        <v>159</v>
      </c>
      <c r="AJ3" s="77" t="s">
        <v>164</v>
      </c>
      <c r="AK3" s="77" t="s">
        <v>164</v>
      </c>
      <c r="AL3" s="77" t="s">
        <v>164</v>
      </c>
      <c r="AM3" s="77" t="s">
        <v>164</v>
      </c>
      <c r="AN3" s="77" t="s">
        <v>165</v>
      </c>
      <c r="AO3" s="77" t="s">
        <v>165</v>
      </c>
      <c r="AP3" s="58" t="s">
        <v>158</v>
      </c>
      <c r="AQ3" s="58" t="s">
        <v>158</v>
      </c>
      <c r="AR3" s="81"/>
      <c r="AS3" s="23"/>
      <c r="AT3" s="308"/>
      <c r="AU3" s="308"/>
      <c r="AV3" s="308"/>
      <c r="AW3" s="308"/>
      <c r="AX3" s="23"/>
      <c r="AY3" s="83"/>
      <c r="AZ3" s="83"/>
      <c r="BA3" s="313" t="s">
        <v>162</v>
      </c>
      <c r="BB3" s="313" t="s">
        <v>163</v>
      </c>
      <c r="BC3" s="314" t="s">
        <v>162</v>
      </c>
      <c r="BD3" s="27"/>
      <c r="BE3" s="27"/>
      <c r="BF3" s="27"/>
      <c r="BG3"/>
      <c r="BH3" s="28"/>
    </row>
    <row r="4" spans="1:62" ht="25.5" customHeight="1">
      <c r="A4" s="255">
        <v>46235</v>
      </c>
      <c r="B4" s="247"/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56">
        <f t="shared" ref="T4:T34" si="0">SUM(B4:S4)</f>
        <v>0</v>
      </c>
      <c r="U4" s="29"/>
      <c r="V4" s="247"/>
      <c r="W4" s="247"/>
      <c r="X4" s="247"/>
      <c r="Y4" s="256">
        <f>SUM(V4:X4)</f>
        <v>0</v>
      </c>
      <c r="Z4" s="257"/>
      <c r="AA4" s="247"/>
      <c r="AB4" s="247"/>
      <c r="AC4" s="247"/>
      <c r="AD4" s="247"/>
      <c r="AE4" s="247"/>
      <c r="AF4" s="247"/>
      <c r="AG4" s="247"/>
      <c r="AH4" s="247"/>
      <c r="AI4" s="247"/>
      <c r="AJ4" s="247"/>
      <c r="AK4" s="247"/>
      <c r="AL4" s="247"/>
      <c r="AM4" s="247"/>
      <c r="AN4" s="247"/>
      <c r="AO4" s="247"/>
      <c r="AP4" s="247"/>
      <c r="AQ4" s="247"/>
      <c r="AR4" s="256">
        <f t="shared" ref="AR4:AR33" si="1">SUM(AA4:AQ4)</f>
        <v>0</v>
      </c>
      <c r="AT4" s="307">
        <f>N(C4)*2+N(AC4)*2+N(AE4)*2+N(G4)*3+N(I4)*3+N(AG4)*3+N(AI4)*3+N(F4)+N(H4)+N(J4)+N(L4)+N(AF4)+N(AH4)+N(AJ4)+N(AL4)+N(N4)*2+N(AN4)*2</f>
        <v>0</v>
      </c>
      <c r="AU4" s="307">
        <f>N(F4)+N(H4)+N(J4)+N(K4)*3+N(L4)+N(M4)*3+N(N4)+N(O4)*3+N(AF4)+N(AH4)+N(AJ4)+N(AK4)*3+N(AL4)+N(AM4)*3+N(AN4)+N(AO4)*3+V4*2</f>
        <v>0</v>
      </c>
      <c r="AV4" s="307">
        <f>N(AA4)+N(B4)*2+N(D4)*2+N(E4)*2+N(AB4)*2+N(AD4)*2+N(C4)*2+N(AC4)*2+N(AE4)*2+N(G4)*2+N(I4)*2+N(AG4)*2+N(AI4)*2+N(K4)+N(M4)+N(O4)+N(AK4)+N(AM4)+N(AO4)</f>
        <v>0</v>
      </c>
      <c r="AW4" s="307">
        <v>0</v>
      </c>
      <c r="AY4" s="252">
        <f>T4+Y4+AR4</f>
        <v>0</v>
      </c>
      <c r="AZ4" s="252"/>
      <c r="BA4" s="307">
        <f>SUM(AA4:AE4)</f>
        <v>0</v>
      </c>
      <c r="BB4" s="307">
        <f>SUM(AF4:AI4)</f>
        <v>0</v>
      </c>
      <c r="BC4" s="307">
        <f>SUM(AP4:AQ4)</f>
        <v>0</v>
      </c>
      <c r="BD4" s="252"/>
      <c r="BE4" s="252"/>
      <c r="BF4" s="252"/>
      <c r="BH4" s="15"/>
      <c r="BI4" s="30"/>
    </row>
    <row r="5" spans="1:62" ht="25.5" customHeight="1">
      <c r="A5" s="255">
        <f t="shared" ref="A5:A34" si="2">A4+1</f>
        <v>46236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56">
        <f t="shared" si="0"/>
        <v>0</v>
      </c>
      <c r="U5" s="29"/>
      <c r="V5" s="247"/>
      <c r="W5" s="247"/>
      <c r="X5" s="247"/>
      <c r="Y5" s="256">
        <f>SUM(V5:X5)</f>
        <v>0</v>
      </c>
      <c r="Z5" s="25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56">
        <f t="shared" si="1"/>
        <v>0</v>
      </c>
      <c r="AT5" s="307">
        <f>N(B5)*2+N(C5)*2+N(D5)*2+N(E5)*2+N(G5)*3+N(I5)*3+N(N5)+N(AA5)+N(AB5)*2+N(AC5)*2+N(AD5)*2+N(AE5)*2+N(AG5)*3+N(AI5)*3+N(AN5)</f>
        <v>0</v>
      </c>
      <c r="AU5" s="307">
        <f t="shared" ref="AU5:AU34" si="3">N(F5)+N(H5)+N(J5)+N(K5)*3+N(L5)+N(M5)*3+N(N5)+N(O5)*3+N(AF5)+N(AH5)+N(AJ5)+N(AK5)*3+N(AL5)+N(AM5)*3+N(AN5)+N(AO5)*3+V5*2</f>
        <v>0</v>
      </c>
      <c r="AV5" s="307">
        <f t="shared" ref="AV5:AV16" si="4">N(AA5)+N(B5)*2+N(D5)*2+N(E5)*2+N(AB5)*2+N(AD5)*2+N(C5)*2+N(AC5)*2+N(AE5)*2+N(G5)*2+N(I5)*2+N(AG5)*2+N(AI5)*2+N(K5)+N(M5)+N(O5)+N(AK5)+N(AM5)+N(AO5)</f>
        <v>0</v>
      </c>
      <c r="AW5" s="307">
        <v>0</v>
      </c>
      <c r="AY5" s="252">
        <f>T5+Y5+AR5</f>
        <v>0</v>
      </c>
      <c r="AZ5" s="252"/>
      <c r="BA5" s="307">
        <f t="shared" ref="BA5:BA34" si="5">SUM(AA5:AE5)</f>
        <v>0</v>
      </c>
      <c r="BB5" s="307">
        <f t="shared" ref="BB5:BB34" si="6">SUM(AF5:AI5)</f>
        <v>0</v>
      </c>
      <c r="BC5" s="307">
        <f t="shared" ref="BC5:BC34" si="7">SUM(AP5:AQ5)</f>
        <v>0</v>
      </c>
      <c r="BD5" s="252"/>
      <c r="BE5" s="252"/>
      <c r="BF5" s="252"/>
      <c r="BH5" s="15"/>
    </row>
    <row r="6" spans="1:62" ht="25.5" customHeight="1">
      <c r="A6" s="255">
        <f t="shared" si="2"/>
        <v>46237</v>
      </c>
      <c r="B6" s="247"/>
      <c r="C6" s="247">
        <v>1</v>
      </c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56">
        <f t="shared" si="0"/>
        <v>1</v>
      </c>
      <c r="U6" s="29"/>
      <c r="V6" s="247">
        <v>4</v>
      </c>
      <c r="W6" s="247"/>
      <c r="X6" s="247"/>
      <c r="Y6" s="256">
        <f>SUM(V6:X6)</f>
        <v>4</v>
      </c>
      <c r="Z6" s="257"/>
      <c r="AA6" s="247"/>
      <c r="AB6" s="247"/>
      <c r="AC6" s="247"/>
      <c r="AD6" s="247">
        <v>1</v>
      </c>
      <c r="AE6" s="247"/>
      <c r="AF6" s="247"/>
      <c r="AG6" s="247"/>
      <c r="AH6" s="247"/>
      <c r="AI6" s="247">
        <v>2</v>
      </c>
      <c r="AJ6" s="247"/>
      <c r="AK6" s="247"/>
      <c r="AL6" s="247"/>
      <c r="AM6" s="247"/>
      <c r="AN6" s="247"/>
      <c r="AO6" s="247"/>
      <c r="AP6" s="247"/>
      <c r="AQ6" s="247"/>
      <c r="AR6" s="256">
        <f t="shared" si="1"/>
        <v>3</v>
      </c>
      <c r="AT6" s="307">
        <f>N(B6)*2+N(C6)*2+N(D6)*2+N(E6)*2+N(G6)*3+N(I6)*3+N(N6)+N(AA6)+N(AB6)*2+N(AC6)*2+N(AD6)*2+N(AE6)*2+N(AG6)*3+N(AI6)*3+N(AN6)</f>
        <v>10</v>
      </c>
      <c r="AU6" s="307">
        <f t="shared" si="3"/>
        <v>8</v>
      </c>
      <c r="AV6" s="307">
        <f t="shared" si="4"/>
        <v>8</v>
      </c>
      <c r="AW6" s="307">
        <v>0</v>
      </c>
      <c r="AY6" s="252">
        <f>T6+Y6+AR6</f>
        <v>8</v>
      </c>
      <c r="AZ6" s="252"/>
      <c r="BA6" s="307">
        <f t="shared" si="5"/>
        <v>1</v>
      </c>
      <c r="BB6" s="307">
        <f t="shared" si="6"/>
        <v>2</v>
      </c>
      <c r="BC6" s="307">
        <f t="shared" si="7"/>
        <v>0</v>
      </c>
      <c r="BD6" s="252"/>
      <c r="BE6" s="252"/>
      <c r="BF6" s="252"/>
      <c r="BH6" s="15"/>
      <c r="BI6" s="31"/>
      <c r="BJ6" s="30"/>
    </row>
    <row r="7" spans="1:62" ht="25.5" customHeight="1">
      <c r="A7" s="255">
        <f t="shared" si="2"/>
        <v>46238</v>
      </c>
      <c r="B7" s="247">
        <v>1</v>
      </c>
      <c r="C7" s="247"/>
      <c r="D7" s="247"/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56">
        <f t="shared" si="0"/>
        <v>1</v>
      </c>
      <c r="U7" s="29"/>
      <c r="V7" s="247">
        <v>2</v>
      </c>
      <c r="W7" s="247"/>
      <c r="X7" s="247"/>
      <c r="Y7" s="256">
        <f>SUM(V7:X7)</f>
        <v>2</v>
      </c>
      <c r="Z7" s="25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56">
        <f t="shared" si="1"/>
        <v>0</v>
      </c>
      <c r="AT7" s="307">
        <f>N(B7)*2+N(C7)*2+N(D7)*2+N(E7)*2+N(G7)*3+N(I7)*3+N(N7)+N(AA7)+N(AB7)*2+N(AC7)*2+N(AD7)*2+N(AE7)*2+N(AG7)*3+N(AI7)*3+N(AN7)</f>
        <v>2</v>
      </c>
      <c r="AU7" s="307">
        <f t="shared" si="3"/>
        <v>4</v>
      </c>
      <c r="AV7" s="307">
        <f t="shared" si="4"/>
        <v>2</v>
      </c>
      <c r="AW7" s="307">
        <v>0</v>
      </c>
      <c r="AY7" s="252">
        <f>T7+Y7+AR7</f>
        <v>3</v>
      </c>
      <c r="AZ7" s="252"/>
      <c r="BA7" s="307">
        <f t="shared" si="5"/>
        <v>0</v>
      </c>
      <c r="BB7" s="307">
        <f t="shared" si="6"/>
        <v>0</v>
      </c>
      <c r="BC7" s="307">
        <f t="shared" si="7"/>
        <v>0</v>
      </c>
      <c r="BD7" s="252"/>
      <c r="BE7" s="252"/>
      <c r="BF7" s="252"/>
      <c r="BH7" s="15"/>
    </row>
    <row r="8" spans="1:62" ht="25.5" customHeight="1">
      <c r="A8" s="255">
        <f t="shared" si="2"/>
        <v>46239</v>
      </c>
      <c r="B8" s="247"/>
      <c r="C8" s="247"/>
      <c r="D8" s="247"/>
      <c r="E8" s="247">
        <v>5</v>
      </c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56">
        <f t="shared" si="0"/>
        <v>5</v>
      </c>
      <c r="U8" s="29"/>
      <c r="V8" s="247">
        <v>1</v>
      </c>
      <c r="W8" s="247">
        <v>1</v>
      </c>
      <c r="X8" s="247"/>
      <c r="Y8" s="256">
        <f>SUM(V8:X8)</f>
        <v>2</v>
      </c>
      <c r="Z8" s="257"/>
      <c r="AA8" s="247"/>
      <c r="AB8" s="247"/>
      <c r="AC8" s="247"/>
      <c r="AD8" s="247">
        <v>1</v>
      </c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56">
        <f t="shared" si="1"/>
        <v>1</v>
      </c>
      <c r="AT8" s="307">
        <f>N(B8)*2+N(C8)*2+N(D8)*2+N(E8)*2+N(G8)*3+N(I8)*3+N(N8)+N(AA8)+N(AB8)*2+N(AC8)*2+N(AD8)*2+N(AE8)*2+N(AG8)*3+N(AI8)*3+N(AN8)</f>
        <v>12</v>
      </c>
      <c r="AU8" s="307">
        <f t="shared" si="3"/>
        <v>2</v>
      </c>
      <c r="AV8" s="307">
        <f t="shared" si="4"/>
        <v>12</v>
      </c>
      <c r="AW8" s="307">
        <v>0</v>
      </c>
      <c r="AY8" s="252">
        <f>T8+Y8+AR8</f>
        <v>8</v>
      </c>
      <c r="AZ8" s="252"/>
      <c r="BA8" s="307">
        <f t="shared" si="5"/>
        <v>1</v>
      </c>
      <c r="BB8" s="307">
        <f t="shared" si="6"/>
        <v>0</v>
      </c>
      <c r="BC8" s="307">
        <f t="shared" si="7"/>
        <v>0</v>
      </c>
      <c r="BD8" s="252"/>
      <c r="BE8" s="252"/>
      <c r="BF8" s="252"/>
      <c r="BH8" s="15"/>
    </row>
    <row r="9" spans="1:62" ht="25.5" customHeight="1">
      <c r="A9" s="255">
        <f t="shared" si="2"/>
        <v>46240</v>
      </c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56">
        <f t="shared" si="0"/>
        <v>0</v>
      </c>
      <c r="U9" s="29"/>
      <c r="V9" s="247">
        <v>1</v>
      </c>
      <c r="W9" s="247"/>
      <c r="X9" s="247"/>
      <c r="Y9" s="256">
        <f>SUM(V9:X9)</f>
        <v>1</v>
      </c>
      <c r="Z9" s="257"/>
      <c r="AA9" s="247"/>
      <c r="AB9" s="247"/>
      <c r="AC9" s="247"/>
      <c r="AD9" s="247"/>
      <c r="AE9" s="247"/>
      <c r="AF9" s="247"/>
      <c r="AG9" s="247"/>
      <c r="AH9" s="247"/>
      <c r="AI9" s="247">
        <v>1</v>
      </c>
      <c r="AJ9" s="247"/>
      <c r="AK9" s="247"/>
      <c r="AL9" s="247"/>
      <c r="AM9" s="247"/>
      <c r="AN9" s="247"/>
      <c r="AO9" s="247"/>
      <c r="AP9" s="247"/>
      <c r="AQ9" s="247"/>
      <c r="AR9" s="256">
        <f t="shared" si="1"/>
        <v>1</v>
      </c>
      <c r="AT9" s="307">
        <f>N(B9)*2+N(C9)*2+N(D9)*2+N(E9)*2+N(G9)*3+N(I9)*3+N(N9)+N(AA9)+N(AB9)*2+N(AC9)*2+N(AD9)*2+N(AE9)*2+N(AG9)*3+N(AI9)*3+N(AN9)</f>
        <v>3</v>
      </c>
      <c r="AU9" s="307">
        <f t="shared" si="3"/>
        <v>2</v>
      </c>
      <c r="AV9" s="307">
        <f t="shared" si="4"/>
        <v>2</v>
      </c>
      <c r="AW9" s="307">
        <v>0</v>
      </c>
      <c r="AY9" s="252">
        <f>T9+Y9+AR9</f>
        <v>2</v>
      </c>
      <c r="AZ9" s="252"/>
      <c r="BA9" s="307">
        <f t="shared" si="5"/>
        <v>0</v>
      </c>
      <c r="BB9" s="307">
        <f t="shared" si="6"/>
        <v>1</v>
      </c>
      <c r="BC9" s="307">
        <f t="shared" si="7"/>
        <v>0</v>
      </c>
      <c r="BD9" s="252"/>
      <c r="BE9" s="252"/>
      <c r="BF9" s="252"/>
      <c r="BH9" s="15"/>
    </row>
    <row r="10" spans="1:62" ht="25.5" customHeight="1">
      <c r="A10" s="255">
        <f t="shared" si="2"/>
        <v>46241</v>
      </c>
      <c r="B10" s="247"/>
      <c r="C10" s="247"/>
      <c r="D10" s="247"/>
      <c r="E10" s="247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56">
        <f t="shared" si="0"/>
        <v>0</v>
      </c>
      <c r="U10" s="29"/>
      <c r="V10" s="247"/>
      <c r="W10" s="247"/>
      <c r="X10" s="247"/>
      <c r="Y10" s="256">
        <f>SUM(V10:X10)</f>
        <v>0</v>
      </c>
      <c r="Z10" s="257"/>
      <c r="AA10" s="247">
        <v>2</v>
      </c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>
        <v>1</v>
      </c>
      <c r="AQ10" s="247"/>
      <c r="AR10" s="256">
        <f t="shared" si="1"/>
        <v>3</v>
      </c>
      <c r="AT10" s="307">
        <f>N(B10)*2+N(C10)*2+N(D10)*2+N(E10)*2+N(G10)*3+N(I10)*3+N(N10)+N(AA10)+N(AB10)*2+N(AC10)*2+N(AD10)*2+N(AE10)*2+N(AG10)*3+N(AI10)*3+N(AN10)</f>
        <v>2</v>
      </c>
      <c r="AU10" s="307">
        <f t="shared" si="3"/>
        <v>0</v>
      </c>
      <c r="AV10" s="307">
        <f t="shared" si="4"/>
        <v>2</v>
      </c>
      <c r="AW10" s="307">
        <v>0</v>
      </c>
      <c r="AY10" s="252">
        <f>T10+Y10+AR10</f>
        <v>3</v>
      </c>
      <c r="AZ10" s="252"/>
      <c r="BA10" s="307">
        <f t="shared" si="5"/>
        <v>2</v>
      </c>
      <c r="BB10" s="307">
        <f t="shared" si="6"/>
        <v>0</v>
      </c>
      <c r="BC10" s="307">
        <f t="shared" si="7"/>
        <v>1</v>
      </c>
      <c r="BD10" s="252"/>
      <c r="BE10" s="252"/>
      <c r="BF10" s="252"/>
      <c r="BH10" s="15"/>
    </row>
    <row r="11" spans="1:62" ht="25.5" customHeight="1">
      <c r="A11" s="255">
        <f t="shared" si="2"/>
        <v>46242</v>
      </c>
      <c r="B11" s="247"/>
      <c r="C11" s="247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56">
        <f t="shared" si="0"/>
        <v>0</v>
      </c>
      <c r="U11" s="29"/>
      <c r="V11" s="247"/>
      <c r="W11" s="247"/>
      <c r="X11" s="247"/>
      <c r="Y11" s="256">
        <f>SUM(V11:X11)</f>
        <v>0</v>
      </c>
      <c r="Z11" s="25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56">
        <f t="shared" si="1"/>
        <v>0</v>
      </c>
      <c r="AT11" s="307">
        <f>N(B11)*2+N(C11)*2+N(D11)*2+N(E11)*2+N(G11)*3+N(I11)*3+N(N11)+N(AA11)+N(AB11)*2+N(AC11)*2+N(AD11)*2+N(AE11)*2+N(AG11)*3+N(AI11)*3+N(AN11)</f>
        <v>0</v>
      </c>
      <c r="AU11" s="307">
        <f t="shared" si="3"/>
        <v>0</v>
      </c>
      <c r="AV11" s="307">
        <f t="shared" si="4"/>
        <v>0</v>
      </c>
      <c r="AW11" s="307">
        <v>0</v>
      </c>
      <c r="AY11" s="252">
        <f>T11+Y11+AR11</f>
        <v>0</v>
      </c>
      <c r="AZ11" s="252"/>
      <c r="BA11" s="307">
        <f t="shared" si="5"/>
        <v>0</v>
      </c>
      <c r="BB11" s="307">
        <f t="shared" si="6"/>
        <v>0</v>
      </c>
      <c r="BC11" s="307">
        <f t="shared" si="7"/>
        <v>0</v>
      </c>
      <c r="BD11" s="252"/>
      <c r="BE11" s="252"/>
      <c r="BF11" s="252"/>
      <c r="BH11" s="15"/>
    </row>
    <row r="12" spans="1:62" ht="25.5" customHeight="1">
      <c r="A12" s="255">
        <f t="shared" si="2"/>
        <v>46243</v>
      </c>
      <c r="B12" s="247"/>
      <c r="C12" s="247"/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56">
        <f t="shared" si="0"/>
        <v>0</v>
      </c>
      <c r="U12" s="29"/>
      <c r="V12" s="247"/>
      <c r="W12" s="247"/>
      <c r="X12" s="247"/>
      <c r="Y12" s="256">
        <f>SUM(V12:X12)</f>
        <v>0</v>
      </c>
      <c r="Z12" s="25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56">
        <f t="shared" si="1"/>
        <v>0</v>
      </c>
      <c r="AT12" s="307">
        <f>N(B12)*2+N(C12)*2+N(D12)*2+N(E12)*2+N(G12)*3+N(I12)*3+N(N12)+N(AA12)+N(AB12)*2+N(AC12)*2+N(AD12)*2+N(AE12)*2+N(AG12)*3+N(AI12)*3+N(AN12)</f>
        <v>0</v>
      </c>
      <c r="AU12" s="307">
        <f t="shared" si="3"/>
        <v>0</v>
      </c>
      <c r="AV12" s="307">
        <f t="shared" si="4"/>
        <v>0</v>
      </c>
      <c r="AW12" s="307">
        <v>0</v>
      </c>
      <c r="AY12" s="252">
        <f>T12+Y12+AR12</f>
        <v>0</v>
      </c>
      <c r="AZ12" s="252"/>
      <c r="BA12" s="307">
        <f t="shared" si="5"/>
        <v>0</v>
      </c>
      <c r="BB12" s="307">
        <f t="shared" si="6"/>
        <v>0</v>
      </c>
      <c r="BC12" s="307">
        <f t="shared" si="7"/>
        <v>0</v>
      </c>
      <c r="BD12" s="252"/>
      <c r="BE12" s="252"/>
      <c r="BF12" s="252"/>
      <c r="BH12" s="15"/>
    </row>
    <row r="13" spans="1:62" ht="25.5" customHeight="1">
      <c r="A13" s="255">
        <f t="shared" si="2"/>
        <v>46244</v>
      </c>
      <c r="B13" s="247"/>
      <c r="C13" s="247"/>
      <c r="D13" s="247"/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56">
        <f t="shared" si="0"/>
        <v>0</v>
      </c>
      <c r="U13" s="29"/>
      <c r="V13" s="247">
        <v>3</v>
      </c>
      <c r="W13" s="247"/>
      <c r="X13" s="247"/>
      <c r="Y13" s="256">
        <f>SUM(V13:X13)</f>
        <v>3</v>
      </c>
      <c r="Z13" s="257"/>
      <c r="AA13" s="247"/>
      <c r="AB13" s="247"/>
      <c r="AC13" s="247"/>
      <c r="AD13" s="247">
        <v>3</v>
      </c>
      <c r="AE13" s="247"/>
      <c r="AF13" s="247"/>
      <c r="AG13" s="247"/>
      <c r="AH13" s="247"/>
      <c r="AI13" s="247">
        <v>1</v>
      </c>
      <c r="AJ13" s="247"/>
      <c r="AK13" s="247"/>
      <c r="AL13" s="247"/>
      <c r="AM13" s="247"/>
      <c r="AN13" s="247"/>
      <c r="AO13" s="247"/>
      <c r="AP13" s="247"/>
      <c r="AQ13" s="247"/>
      <c r="AR13" s="256">
        <f t="shared" si="1"/>
        <v>4</v>
      </c>
      <c r="AT13" s="307">
        <f>N(B13)*2+N(C13)*2+N(D13)*2+N(E13)*2+N(G13)*3+N(I13)*3+N(N13)+N(AA13)+N(AB13)*2+N(AC13)*2+N(AD13)*2+N(AE13)*2+N(AG13)*3+N(AI13)*3+N(AN13)</f>
        <v>9</v>
      </c>
      <c r="AU13" s="307">
        <f t="shared" si="3"/>
        <v>6</v>
      </c>
      <c r="AV13" s="307">
        <f t="shared" si="4"/>
        <v>8</v>
      </c>
      <c r="AW13" s="307">
        <v>0</v>
      </c>
      <c r="AY13" s="252">
        <f>T13+Y13+AR13</f>
        <v>7</v>
      </c>
      <c r="AZ13" s="252"/>
      <c r="BA13" s="307">
        <f t="shared" si="5"/>
        <v>3</v>
      </c>
      <c r="BB13" s="307">
        <f t="shared" si="6"/>
        <v>1</v>
      </c>
      <c r="BC13" s="307">
        <f t="shared" si="7"/>
        <v>0</v>
      </c>
      <c r="BD13" s="252"/>
      <c r="BE13" s="252"/>
      <c r="BF13" s="252"/>
      <c r="BH13" s="273"/>
    </row>
    <row r="14" spans="1:62" ht="25.5" customHeight="1">
      <c r="A14" s="255">
        <f t="shared" si="2"/>
        <v>46245</v>
      </c>
      <c r="B14" s="247"/>
      <c r="C14" s="247">
        <v>2</v>
      </c>
      <c r="D14" s="247"/>
      <c r="E14" s="247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56">
        <f t="shared" si="0"/>
        <v>2</v>
      </c>
      <c r="U14" s="29"/>
      <c r="V14" s="247">
        <v>2</v>
      </c>
      <c r="W14" s="247">
        <v>2</v>
      </c>
      <c r="X14" s="247"/>
      <c r="Y14" s="256">
        <f>SUM(V14:X14)</f>
        <v>4</v>
      </c>
      <c r="Z14" s="257"/>
      <c r="AA14" s="247"/>
      <c r="AB14" s="247"/>
      <c r="AC14" s="247"/>
      <c r="AD14" s="247">
        <v>2</v>
      </c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56">
        <f t="shared" si="1"/>
        <v>2</v>
      </c>
      <c r="AT14" s="307">
        <f>N(B14)*2+N(C14)*2+N(D14)*2+N(E14)*2+N(G14)*3+N(I14)*3+N(N14)+N(AA14)+N(AB14)*2+N(AC14)*2+N(AD14)*2+N(AE14)*2+N(AG14)*3+N(AI14)*3+N(AN14)</f>
        <v>8</v>
      </c>
      <c r="AU14" s="307">
        <f t="shared" si="3"/>
        <v>4</v>
      </c>
      <c r="AV14" s="307">
        <f t="shared" si="4"/>
        <v>8</v>
      </c>
      <c r="AW14" s="307">
        <v>0</v>
      </c>
      <c r="AY14" s="252">
        <f>T14+Y14+AR14</f>
        <v>8</v>
      </c>
      <c r="AZ14" s="252"/>
      <c r="BA14" s="307">
        <f t="shared" si="5"/>
        <v>2</v>
      </c>
      <c r="BB14" s="307">
        <f t="shared" si="6"/>
        <v>0</v>
      </c>
      <c r="BC14" s="307">
        <f t="shared" si="7"/>
        <v>0</v>
      </c>
      <c r="BD14" s="252"/>
      <c r="BE14" s="252"/>
      <c r="BF14" s="252"/>
      <c r="BH14" s="15"/>
    </row>
    <row r="15" spans="1:62" ht="25.5" customHeight="1">
      <c r="A15" s="255">
        <f t="shared" si="2"/>
        <v>46246</v>
      </c>
      <c r="B15" s="247"/>
      <c r="C15" s="247">
        <v>1</v>
      </c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56">
        <f t="shared" si="0"/>
        <v>1</v>
      </c>
      <c r="U15" s="29"/>
      <c r="V15" s="247"/>
      <c r="W15" s="247"/>
      <c r="X15" s="247"/>
      <c r="Y15" s="256">
        <f>SUM(V15:X15)</f>
        <v>0</v>
      </c>
      <c r="Z15" s="257"/>
      <c r="AA15" s="247"/>
      <c r="AB15" s="247"/>
      <c r="AC15" s="247"/>
      <c r="AD15" s="247"/>
      <c r="AE15" s="247"/>
      <c r="AF15" s="247"/>
      <c r="AG15" s="247"/>
      <c r="AH15" s="247"/>
      <c r="AI15" s="247">
        <v>4</v>
      </c>
      <c r="AJ15" s="247"/>
      <c r="AK15" s="247"/>
      <c r="AL15" s="247"/>
      <c r="AM15" s="247"/>
      <c r="AN15" s="247"/>
      <c r="AO15" s="247"/>
      <c r="AP15" s="247"/>
      <c r="AQ15" s="247"/>
      <c r="AR15" s="256">
        <f t="shared" si="1"/>
        <v>4</v>
      </c>
      <c r="AT15" s="307">
        <f>N(C15)*2+N(AC15)*2+N(AE15)*2+(N(G15)+N(I15)+N(AG15)+N(AI15))*3</f>
        <v>14</v>
      </c>
      <c r="AU15" s="307">
        <f t="shared" si="3"/>
        <v>0</v>
      </c>
      <c r="AV15" s="307">
        <f>(N(B15)+N(D15)+N(E15)+N(AB15)+N(AD15))*3+(N(F15)+N(H15)+N(J15)+N(L15)+N(AF15)+N(AH15)+N(AJ15)+N(AL15))*2+(N(N15)+N(AN15))*3+(N(C15)+N(AC15)+N(AE15)+N(G15)+N(I15)+N(AG15)+N(AI15))*2+N(K15)+N(M15)+N(O15)+N(AK15)+N(AM15)+N(AO15)</f>
        <v>10</v>
      </c>
      <c r="AW15" s="307">
        <v>0</v>
      </c>
      <c r="AY15" s="252">
        <f>T15+Y15+AR15</f>
        <v>5</v>
      </c>
      <c r="AZ15" s="252"/>
      <c r="BA15" s="307">
        <f t="shared" si="5"/>
        <v>0</v>
      </c>
      <c r="BB15" s="307">
        <f t="shared" si="6"/>
        <v>4</v>
      </c>
      <c r="BC15" s="307">
        <f t="shared" si="7"/>
        <v>0</v>
      </c>
      <c r="BD15" s="252"/>
      <c r="BE15" s="252"/>
      <c r="BF15" s="252"/>
      <c r="BH15" s="15"/>
    </row>
    <row r="16" spans="1:62" ht="25.5" customHeight="1">
      <c r="A16" s="255">
        <f t="shared" si="2"/>
        <v>46247</v>
      </c>
      <c r="B16" s="247"/>
      <c r="C16" s="247"/>
      <c r="D16" s="247"/>
      <c r="E16" s="247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56">
        <f t="shared" si="0"/>
        <v>0</v>
      </c>
      <c r="U16" s="29"/>
      <c r="V16" s="247"/>
      <c r="W16" s="247"/>
      <c r="X16" s="247"/>
      <c r="Y16" s="256">
        <f>SUM(V16:X16)</f>
        <v>0</v>
      </c>
      <c r="Z16" s="257"/>
      <c r="AA16" s="247"/>
      <c r="AB16" s="247"/>
      <c r="AC16" s="247"/>
      <c r="AD16" s="247"/>
      <c r="AE16" s="247"/>
      <c r="AF16" s="247"/>
      <c r="AG16" s="247"/>
      <c r="AH16" s="247"/>
      <c r="AI16" s="247"/>
      <c r="AJ16" s="247"/>
      <c r="AK16" s="247"/>
      <c r="AL16" s="247"/>
      <c r="AM16" s="247"/>
      <c r="AN16" s="247"/>
      <c r="AO16" s="247"/>
      <c r="AP16" s="247"/>
      <c r="AQ16" s="247"/>
      <c r="AR16" s="256">
        <f t="shared" si="1"/>
        <v>0</v>
      </c>
      <c r="AT16" s="307">
        <f t="shared" ref="AT16:AT34" si="8">N(C16)*2+N(AC16)*2+N(AE16)*2+(N(G16)+N(I16)+N(AG16)+N(AI16))*3</f>
        <v>0</v>
      </c>
      <c r="AU16" s="307">
        <f t="shared" si="3"/>
        <v>0</v>
      </c>
      <c r="AV16" s="307">
        <f t="shared" ref="AV16:AV34" si="9">(N(B16)+N(D16)+N(E16)+N(AB16)+N(AD16))*3+(N(F16)+N(H16)+N(J16)+N(L16)+N(AF16)+N(AH16)+N(AJ16)+N(AL16))*2+(N(N16)+N(AN16))*3+(N(C16)+N(AC16)+N(AE16)+N(G16)+N(I16)+N(AG16)+N(AI16))*2+N(K16)+N(M16)+N(O16)+N(AK16)+N(AM16)+N(AO16)</f>
        <v>0</v>
      </c>
      <c r="AW16" s="307">
        <v>0</v>
      </c>
      <c r="AY16" s="252">
        <f>T16+Y16+AR16</f>
        <v>0</v>
      </c>
      <c r="AZ16" s="252"/>
      <c r="BA16" s="307">
        <f t="shared" si="5"/>
        <v>0</v>
      </c>
      <c r="BB16" s="307">
        <f t="shared" si="6"/>
        <v>0</v>
      </c>
      <c r="BC16" s="307">
        <f t="shared" si="7"/>
        <v>0</v>
      </c>
      <c r="BD16" s="252"/>
      <c r="BE16" s="252"/>
      <c r="BF16" s="252"/>
      <c r="BH16" s="15"/>
    </row>
    <row r="17" spans="1:62" ht="25.5" customHeight="1">
      <c r="A17" s="255">
        <f t="shared" si="2"/>
        <v>46248</v>
      </c>
      <c r="B17" s="247"/>
      <c r="C17" s="247"/>
      <c r="D17" s="247"/>
      <c r="E17" s="24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256">
        <f t="shared" si="0"/>
        <v>0</v>
      </c>
      <c r="U17" s="29"/>
      <c r="V17" s="247"/>
      <c r="W17" s="247"/>
      <c r="X17" s="247"/>
      <c r="Y17" s="256">
        <f>SUM(V17:X17)</f>
        <v>0</v>
      </c>
      <c r="Z17" s="257"/>
      <c r="AA17" s="247"/>
      <c r="AB17" s="247"/>
      <c r="AC17" s="247"/>
      <c r="AD17" s="247"/>
      <c r="AE17" s="247"/>
      <c r="AF17" s="247"/>
      <c r="AG17" s="247"/>
      <c r="AH17" s="247"/>
      <c r="AI17" s="247"/>
      <c r="AJ17" s="247"/>
      <c r="AK17" s="247"/>
      <c r="AL17" s="247"/>
      <c r="AM17" s="247"/>
      <c r="AN17" s="247"/>
      <c r="AO17" s="247"/>
      <c r="AP17" s="247"/>
      <c r="AQ17" s="247"/>
      <c r="AR17" s="256">
        <f t="shared" si="1"/>
        <v>0</v>
      </c>
      <c r="AT17" s="307">
        <f t="shared" si="8"/>
        <v>0</v>
      </c>
      <c r="AU17" s="307">
        <f t="shared" si="3"/>
        <v>0</v>
      </c>
      <c r="AV17" s="307">
        <f t="shared" si="9"/>
        <v>0</v>
      </c>
      <c r="AW17" s="307">
        <v>0</v>
      </c>
      <c r="AY17" s="252">
        <f>T17+Y17+AR17</f>
        <v>0</v>
      </c>
      <c r="AZ17" s="252"/>
      <c r="BA17" s="307">
        <f t="shared" si="5"/>
        <v>0</v>
      </c>
      <c r="BB17" s="307">
        <f t="shared" si="6"/>
        <v>0</v>
      </c>
      <c r="BC17" s="307">
        <f t="shared" si="7"/>
        <v>0</v>
      </c>
      <c r="BD17" s="252"/>
      <c r="BE17" s="252"/>
      <c r="BF17" s="252"/>
      <c r="BH17" s="15"/>
    </row>
    <row r="18" spans="1:62" ht="25.5" customHeight="1">
      <c r="A18" s="255">
        <f t="shared" si="2"/>
        <v>46249</v>
      </c>
      <c r="B18" s="247"/>
      <c r="C18" s="247"/>
      <c r="D18" s="247"/>
      <c r="E18" s="247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256">
        <f t="shared" si="0"/>
        <v>0</v>
      </c>
      <c r="U18" s="29"/>
      <c r="V18" s="247"/>
      <c r="W18" s="247"/>
      <c r="X18" s="247"/>
      <c r="Y18" s="256">
        <f>SUM(V18:X18)</f>
        <v>0</v>
      </c>
      <c r="Z18" s="257"/>
      <c r="AA18" s="247"/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  <c r="AN18" s="247"/>
      <c r="AO18" s="247"/>
      <c r="AP18" s="247"/>
      <c r="AQ18" s="247"/>
      <c r="AR18" s="256">
        <f t="shared" si="1"/>
        <v>0</v>
      </c>
      <c r="AT18" s="307">
        <f t="shared" si="8"/>
        <v>0</v>
      </c>
      <c r="AU18" s="307">
        <f t="shared" si="3"/>
        <v>0</v>
      </c>
      <c r="AV18" s="307">
        <f t="shared" si="9"/>
        <v>0</v>
      </c>
      <c r="AW18" s="307">
        <v>0</v>
      </c>
      <c r="AY18" s="252">
        <f>T18+Y18+AR18</f>
        <v>0</v>
      </c>
      <c r="AZ18" s="252"/>
      <c r="BA18" s="307">
        <f t="shared" si="5"/>
        <v>0</v>
      </c>
      <c r="BB18" s="307">
        <f t="shared" si="6"/>
        <v>0</v>
      </c>
      <c r="BC18" s="307">
        <f t="shared" si="7"/>
        <v>0</v>
      </c>
      <c r="BD18" s="252"/>
      <c r="BE18" s="252"/>
      <c r="BF18" s="252"/>
      <c r="BH18" s="15"/>
      <c r="BJ18" s="30"/>
    </row>
    <row r="19" spans="1:62" ht="25.5" customHeight="1">
      <c r="A19" s="255">
        <f t="shared" si="2"/>
        <v>46250</v>
      </c>
      <c r="B19" s="247"/>
      <c r="C19" s="247"/>
      <c r="D19" s="247"/>
      <c r="E19" s="247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56">
        <f t="shared" si="0"/>
        <v>0</v>
      </c>
      <c r="U19" s="29"/>
      <c r="V19" s="247"/>
      <c r="W19" s="247"/>
      <c r="X19" s="247"/>
      <c r="Y19" s="256">
        <f>SUM(V19:X19)</f>
        <v>0</v>
      </c>
      <c r="Z19" s="257"/>
      <c r="AA19" s="247"/>
      <c r="AB19" s="247"/>
      <c r="AC19" s="247"/>
      <c r="AD19" s="247"/>
      <c r="AE19" s="247"/>
      <c r="AF19" s="247"/>
      <c r="AG19" s="247"/>
      <c r="AH19" s="247"/>
      <c r="AI19" s="247"/>
      <c r="AJ19" s="247"/>
      <c r="AK19" s="247"/>
      <c r="AL19" s="247"/>
      <c r="AM19" s="247"/>
      <c r="AN19" s="247"/>
      <c r="AO19" s="247"/>
      <c r="AP19" s="247"/>
      <c r="AQ19" s="247"/>
      <c r="AR19" s="256">
        <f t="shared" si="1"/>
        <v>0</v>
      </c>
      <c r="AT19" s="307">
        <f t="shared" si="8"/>
        <v>0</v>
      </c>
      <c r="AU19" s="307">
        <f t="shared" si="3"/>
        <v>0</v>
      </c>
      <c r="AV19" s="307">
        <f t="shared" si="9"/>
        <v>0</v>
      </c>
      <c r="AW19" s="307">
        <v>0</v>
      </c>
      <c r="AY19" s="252">
        <f>T19+Y19+AR19</f>
        <v>0</v>
      </c>
      <c r="AZ19" s="252"/>
      <c r="BA19" s="307">
        <f t="shared" si="5"/>
        <v>0</v>
      </c>
      <c r="BB19" s="307">
        <f t="shared" si="6"/>
        <v>0</v>
      </c>
      <c r="BC19" s="307">
        <f t="shared" si="7"/>
        <v>0</v>
      </c>
      <c r="BD19" s="252"/>
      <c r="BE19" s="252"/>
      <c r="BF19" s="252"/>
      <c r="BH19" s="15"/>
    </row>
    <row r="20" spans="1:62" ht="25.5" customHeight="1">
      <c r="A20" s="255">
        <f t="shared" si="2"/>
        <v>46251</v>
      </c>
      <c r="B20" s="247"/>
      <c r="C20" s="247"/>
      <c r="D20" s="247"/>
      <c r="E20" s="247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256">
        <f t="shared" si="0"/>
        <v>0</v>
      </c>
      <c r="U20" s="29"/>
      <c r="V20" s="247"/>
      <c r="W20" s="247"/>
      <c r="X20" s="247"/>
      <c r="Y20" s="256">
        <f>SUM(V20:X20)</f>
        <v>0</v>
      </c>
      <c r="Z20" s="257"/>
      <c r="AA20" s="247"/>
      <c r="AB20" s="247"/>
      <c r="AC20" s="247"/>
      <c r="AD20" s="247"/>
      <c r="AE20" s="247"/>
      <c r="AF20" s="247"/>
      <c r="AG20" s="247"/>
      <c r="AH20" s="247"/>
      <c r="AI20" s="247"/>
      <c r="AJ20" s="247"/>
      <c r="AK20" s="247"/>
      <c r="AL20" s="247"/>
      <c r="AM20" s="247"/>
      <c r="AN20" s="247"/>
      <c r="AO20" s="247"/>
      <c r="AP20" s="247"/>
      <c r="AQ20" s="247"/>
      <c r="AR20" s="256">
        <f t="shared" si="1"/>
        <v>0</v>
      </c>
      <c r="AT20" s="307">
        <f t="shared" si="8"/>
        <v>0</v>
      </c>
      <c r="AU20" s="307">
        <f t="shared" si="3"/>
        <v>0</v>
      </c>
      <c r="AV20" s="307">
        <f t="shared" si="9"/>
        <v>0</v>
      </c>
      <c r="AW20" s="307">
        <v>0</v>
      </c>
      <c r="AY20" s="252">
        <f>T20+Y20+AR20</f>
        <v>0</v>
      </c>
      <c r="AZ20" s="252"/>
      <c r="BA20" s="307">
        <f t="shared" si="5"/>
        <v>0</v>
      </c>
      <c r="BB20" s="307">
        <f t="shared" si="6"/>
        <v>0</v>
      </c>
      <c r="BC20" s="307">
        <f t="shared" si="7"/>
        <v>0</v>
      </c>
      <c r="BD20" s="252"/>
      <c r="BE20" s="252"/>
      <c r="BF20" s="252"/>
      <c r="BH20" s="15"/>
    </row>
    <row r="21" spans="1:62" ht="25.5" customHeight="1">
      <c r="A21" s="255">
        <f t="shared" si="2"/>
        <v>46252</v>
      </c>
      <c r="B21" s="247"/>
      <c r="C21" s="247"/>
      <c r="D21" s="247"/>
      <c r="E21" s="247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256">
        <f t="shared" si="0"/>
        <v>0</v>
      </c>
      <c r="U21" s="29"/>
      <c r="V21" s="247">
        <v>10</v>
      </c>
      <c r="W21" s="247"/>
      <c r="X21" s="247"/>
      <c r="Y21" s="256">
        <f>SUM(V21:X21)</f>
        <v>10</v>
      </c>
      <c r="Z21" s="257"/>
      <c r="AA21" s="247"/>
      <c r="AB21" s="247"/>
      <c r="AC21" s="247"/>
      <c r="AD21" s="247">
        <v>2</v>
      </c>
      <c r="AE21" s="247"/>
      <c r="AF21" s="247"/>
      <c r="AG21" s="247"/>
      <c r="AH21" s="247"/>
      <c r="AI21" s="247">
        <v>2</v>
      </c>
      <c r="AJ21" s="247"/>
      <c r="AK21" s="247"/>
      <c r="AL21" s="247"/>
      <c r="AM21" s="247"/>
      <c r="AN21" s="247"/>
      <c r="AO21" s="247"/>
      <c r="AP21" s="247">
        <v>1</v>
      </c>
      <c r="AQ21" s="247"/>
      <c r="AR21" s="256">
        <f t="shared" si="1"/>
        <v>5</v>
      </c>
      <c r="AT21" s="307">
        <f t="shared" si="8"/>
        <v>6</v>
      </c>
      <c r="AU21" s="307">
        <f t="shared" si="3"/>
        <v>20</v>
      </c>
      <c r="AV21" s="307">
        <f t="shared" si="9"/>
        <v>10</v>
      </c>
      <c r="AW21" s="307">
        <v>0</v>
      </c>
      <c r="AY21" s="252">
        <f>T21+Y21+AR21</f>
        <v>15</v>
      </c>
      <c r="AZ21" s="252"/>
      <c r="BA21" s="307">
        <f t="shared" si="5"/>
        <v>2</v>
      </c>
      <c r="BB21" s="307">
        <f t="shared" si="6"/>
        <v>2</v>
      </c>
      <c r="BC21" s="307">
        <f t="shared" si="7"/>
        <v>1</v>
      </c>
      <c r="BD21" s="252"/>
      <c r="BE21" s="252"/>
      <c r="BF21" s="252"/>
      <c r="BH21" s="15"/>
    </row>
    <row r="22" spans="1:62" ht="25.5" customHeight="1">
      <c r="A22" s="255">
        <f t="shared" si="2"/>
        <v>46253</v>
      </c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56">
        <f t="shared" si="0"/>
        <v>0</v>
      </c>
      <c r="U22" s="29"/>
      <c r="V22" s="247">
        <v>1</v>
      </c>
      <c r="W22" s="247">
        <v>1</v>
      </c>
      <c r="X22" s="247"/>
      <c r="Y22" s="256">
        <f>SUM(V22:X22)</f>
        <v>2</v>
      </c>
      <c r="Z22" s="257"/>
      <c r="AA22" s="247"/>
      <c r="AB22" s="247"/>
      <c r="AC22" s="247"/>
      <c r="AD22" s="247">
        <v>1</v>
      </c>
      <c r="AE22" s="247"/>
      <c r="AF22" s="247"/>
      <c r="AG22" s="247"/>
      <c r="AH22" s="247"/>
      <c r="AI22" s="247">
        <v>1</v>
      </c>
      <c r="AJ22" s="247"/>
      <c r="AK22" s="247"/>
      <c r="AL22" s="247"/>
      <c r="AM22" s="247"/>
      <c r="AN22" s="247"/>
      <c r="AO22" s="247"/>
      <c r="AP22" s="247"/>
      <c r="AQ22" s="247"/>
      <c r="AR22" s="256">
        <f t="shared" si="1"/>
        <v>2</v>
      </c>
      <c r="AT22" s="307">
        <f t="shared" si="8"/>
        <v>3</v>
      </c>
      <c r="AU22" s="307">
        <f t="shared" si="3"/>
        <v>2</v>
      </c>
      <c r="AV22" s="307">
        <f t="shared" si="9"/>
        <v>5</v>
      </c>
      <c r="AW22" s="307">
        <v>0</v>
      </c>
      <c r="AY22" s="252">
        <f>T22+Y22+AR22</f>
        <v>4</v>
      </c>
      <c r="AZ22" s="252"/>
      <c r="BA22" s="307">
        <f t="shared" si="5"/>
        <v>1</v>
      </c>
      <c r="BB22" s="307">
        <f t="shared" si="6"/>
        <v>1</v>
      </c>
      <c r="BC22" s="307">
        <f t="shared" si="7"/>
        <v>0</v>
      </c>
      <c r="BD22" s="252"/>
      <c r="BE22" s="252"/>
      <c r="BF22" s="252"/>
      <c r="BH22" s="15"/>
    </row>
    <row r="23" spans="1:62" ht="25.5" customHeight="1">
      <c r="A23" s="255">
        <f t="shared" si="2"/>
        <v>46254</v>
      </c>
      <c r="B23" s="247"/>
      <c r="C23" s="247"/>
      <c r="D23" s="247"/>
      <c r="E23" s="247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56">
        <f t="shared" si="0"/>
        <v>0</v>
      </c>
      <c r="U23" s="29"/>
      <c r="V23" s="247">
        <v>1</v>
      </c>
      <c r="W23" s="247"/>
      <c r="X23" s="247"/>
      <c r="Y23" s="256">
        <f>SUM(V23:X23)</f>
        <v>1</v>
      </c>
      <c r="Z23" s="257"/>
      <c r="AA23" s="247"/>
      <c r="AB23" s="247"/>
      <c r="AC23" s="247"/>
      <c r="AD23" s="247"/>
      <c r="AE23" s="247"/>
      <c r="AF23" s="247"/>
      <c r="AG23" s="247"/>
      <c r="AH23" s="247"/>
      <c r="AI23" s="247">
        <v>2</v>
      </c>
      <c r="AJ23" s="247"/>
      <c r="AK23" s="247"/>
      <c r="AL23" s="247"/>
      <c r="AM23" s="247"/>
      <c r="AN23" s="247"/>
      <c r="AO23" s="247"/>
      <c r="AP23" s="247">
        <v>1</v>
      </c>
      <c r="AQ23" s="247"/>
      <c r="AR23" s="256">
        <f t="shared" si="1"/>
        <v>3</v>
      </c>
      <c r="AT23" s="307">
        <f t="shared" si="8"/>
        <v>6</v>
      </c>
      <c r="AU23" s="307">
        <f t="shared" si="3"/>
        <v>2</v>
      </c>
      <c r="AV23" s="307">
        <f t="shared" si="9"/>
        <v>4</v>
      </c>
      <c r="AW23" s="307">
        <v>0</v>
      </c>
      <c r="AY23" s="252">
        <f>T23+Y23+AR23</f>
        <v>4</v>
      </c>
      <c r="AZ23" s="252"/>
      <c r="BA23" s="307">
        <f t="shared" si="5"/>
        <v>0</v>
      </c>
      <c r="BB23" s="307">
        <f t="shared" si="6"/>
        <v>2</v>
      </c>
      <c r="BC23" s="307">
        <f t="shared" si="7"/>
        <v>1</v>
      </c>
      <c r="BD23" s="252"/>
      <c r="BE23" s="252"/>
      <c r="BF23" s="252"/>
      <c r="BH23" s="15"/>
    </row>
    <row r="24" spans="1:62" ht="25.5" customHeight="1">
      <c r="A24" s="255">
        <f t="shared" si="2"/>
        <v>46255</v>
      </c>
      <c r="B24" s="247"/>
      <c r="C24" s="247"/>
      <c r="D24" s="247"/>
      <c r="E24" s="247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56">
        <f t="shared" si="0"/>
        <v>0</v>
      </c>
      <c r="U24" s="29"/>
      <c r="V24" s="247"/>
      <c r="W24" s="247"/>
      <c r="X24" s="247"/>
      <c r="Y24" s="256">
        <f>SUM(V24:X24)</f>
        <v>0</v>
      </c>
      <c r="Z24" s="257"/>
      <c r="AA24" s="247"/>
      <c r="AB24" s="247"/>
      <c r="AC24" s="247"/>
      <c r="AD24" s="247"/>
      <c r="AE24" s="247"/>
      <c r="AF24" s="247"/>
      <c r="AG24" s="247"/>
      <c r="AH24" s="247"/>
      <c r="AI24" s="247"/>
      <c r="AJ24" s="247"/>
      <c r="AK24" s="247"/>
      <c r="AL24" s="247"/>
      <c r="AM24" s="247"/>
      <c r="AN24" s="247"/>
      <c r="AO24" s="247"/>
      <c r="AP24" s="247"/>
      <c r="AQ24" s="247"/>
      <c r="AR24" s="256">
        <f t="shared" si="1"/>
        <v>0</v>
      </c>
      <c r="AT24" s="307">
        <f t="shared" si="8"/>
        <v>0</v>
      </c>
      <c r="AU24" s="307">
        <f t="shared" si="3"/>
        <v>0</v>
      </c>
      <c r="AV24" s="307">
        <f t="shared" si="9"/>
        <v>0</v>
      </c>
      <c r="AW24" s="307">
        <v>0</v>
      </c>
      <c r="AY24" s="252">
        <f>T24+Y24+AR24</f>
        <v>0</v>
      </c>
      <c r="AZ24" s="252"/>
      <c r="BA24" s="307">
        <f t="shared" si="5"/>
        <v>0</v>
      </c>
      <c r="BB24" s="307">
        <f t="shared" si="6"/>
        <v>0</v>
      </c>
      <c r="BC24" s="307">
        <f t="shared" si="7"/>
        <v>0</v>
      </c>
      <c r="BD24" s="252"/>
      <c r="BE24" s="252"/>
      <c r="BF24" s="252"/>
      <c r="BH24" s="15"/>
    </row>
    <row r="25" spans="1:62" ht="25.5" customHeight="1">
      <c r="A25" s="255">
        <f t="shared" si="2"/>
        <v>46256</v>
      </c>
      <c r="B25" s="247"/>
      <c r="C25" s="247"/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56">
        <f t="shared" si="0"/>
        <v>0</v>
      </c>
      <c r="U25" s="29"/>
      <c r="V25" s="247"/>
      <c r="W25" s="247"/>
      <c r="X25" s="247"/>
      <c r="Y25" s="256">
        <f>SUM(V25:X25)</f>
        <v>0</v>
      </c>
      <c r="Z25" s="257"/>
      <c r="AA25" s="247"/>
      <c r="AB25" s="247"/>
      <c r="AC25" s="247"/>
      <c r="AD25" s="247"/>
      <c r="AE25" s="247"/>
      <c r="AF25" s="247"/>
      <c r="AG25" s="247"/>
      <c r="AH25" s="247"/>
      <c r="AI25" s="247"/>
      <c r="AJ25" s="247"/>
      <c r="AK25" s="247"/>
      <c r="AL25" s="247"/>
      <c r="AM25" s="247"/>
      <c r="AN25" s="247"/>
      <c r="AO25" s="247"/>
      <c r="AP25" s="247"/>
      <c r="AQ25" s="247"/>
      <c r="AR25" s="256">
        <f t="shared" si="1"/>
        <v>0</v>
      </c>
      <c r="AT25" s="307">
        <f t="shared" si="8"/>
        <v>0</v>
      </c>
      <c r="AU25" s="307">
        <f t="shared" si="3"/>
        <v>0</v>
      </c>
      <c r="AV25" s="307">
        <f t="shared" si="9"/>
        <v>0</v>
      </c>
      <c r="AW25" s="307">
        <v>0</v>
      </c>
      <c r="AY25" s="252">
        <f>T25+Y25+AR25</f>
        <v>0</v>
      </c>
      <c r="AZ25" s="252"/>
      <c r="BA25" s="307">
        <f t="shared" si="5"/>
        <v>0</v>
      </c>
      <c r="BB25" s="307">
        <f t="shared" si="6"/>
        <v>0</v>
      </c>
      <c r="BC25" s="307">
        <f t="shared" si="7"/>
        <v>0</v>
      </c>
      <c r="BD25" s="252"/>
      <c r="BE25" s="252"/>
      <c r="BF25" s="252"/>
      <c r="BH25" s="15"/>
    </row>
    <row r="26" spans="1:62" ht="25.5" customHeight="1">
      <c r="A26" s="255">
        <f t="shared" si="2"/>
        <v>46257</v>
      </c>
      <c r="B26" s="247"/>
      <c r="C26" s="247"/>
      <c r="D26" s="247"/>
      <c r="E26" s="247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256">
        <f t="shared" si="0"/>
        <v>0</v>
      </c>
      <c r="U26" s="29"/>
      <c r="V26" s="247"/>
      <c r="W26" s="247"/>
      <c r="X26" s="247"/>
      <c r="Y26" s="256">
        <f>SUM(V26:X26)</f>
        <v>0</v>
      </c>
      <c r="Z26" s="257"/>
      <c r="AA26" s="247"/>
      <c r="AB26" s="247"/>
      <c r="AC26" s="247"/>
      <c r="AD26" s="247"/>
      <c r="AE26" s="247"/>
      <c r="AF26" s="247"/>
      <c r="AG26" s="247"/>
      <c r="AH26" s="247"/>
      <c r="AI26" s="247"/>
      <c r="AJ26" s="247"/>
      <c r="AK26" s="247"/>
      <c r="AL26" s="247"/>
      <c r="AM26" s="247"/>
      <c r="AN26" s="247"/>
      <c r="AO26" s="247"/>
      <c r="AP26" s="247"/>
      <c r="AQ26" s="247"/>
      <c r="AR26" s="256">
        <f t="shared" si="1"/>
        <v>0</v>
      </c>
      <c r="AT26" s="307">
        <f t="shared" si="8"/>
        <v>0</v>
      </c>
      <c r="AU26" s="307">
        <f t="shared" si="3"/>
        <v>0</v>
      </c>
      <c r="AV26" s="307">
        <f t="shared" si="9"/>
        <v>0</v>
      </c>
      <c r="AW26" s="307">
        <v>0</v>
      </c>
      <c r="AY26" s="252">
        <f>T26+Y26+AR26</f>
        <v>0</v>
      </c>
      <c r="AZ26" s="252"/>
      <c r="BA26" s="307">
        <f t="shared" si="5"/>
        <v>0</v>
      </c>
      <c r="BB26" s="307">
        <f t="shared" si="6"/>
        <v>0</v>
      </c>
      <c r="BC26" s="307">
        <f t="shared" si="7"/>
        <v>0</v>
      </c>
      <c r="BD26" s="252"/>
      <c r="BE26" s="252"/>
      <c r="BF26" s="252"/>
      <c r="BH26" s="15"/>
    </row>
    <row r="27" spans="1:62" ht="25.5" customHeight="1">
      <c r="A27" s="255">
        <f t="shared" si="2"/>
        <v>46258</v>
      </c>
      <c r="B27" s="247"/>
      <c r="C27" s="247">
        <v>1</v>
      </c>
      <c r="D27" s="247"/>
      <c r="E27" s="247">
        <v>1</v>
      </c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256">
        <f t="shared" si="0"/>
        <v>2</v>
      </c>
      <c r="U27" s="29"/>
      <c r="V27" s="247">
        <v>3</v>
      </c>
      <c r="W27" s="247"/>
      <c r="X27" s="247"/>
      <c r="Y27" s="256">
        <f>SUM(V27:X27)</f>
        <v>3</v>
      </c>
      <c r="Z27" s="257"/>
      <c r="AA27" s="247"/>
      <c r="AB27" s="247"/>
      <c r="AC27" s="247"/>
      <c r="AD27" s="247">
        <v>1</v>
      </c>
      <c r="AE27" s="247"/>
      <c r="AF27" s="247"/>
      <c r="AG27" s="247"/>
      <c r="AH27" s="247"/>
      <c r="AI27" s="247">
        <v>1</v>
      </c>
      <c r="AJ27" s="247"/>
      <c r="AK27" s="247"/>
      <c r="AL27" s="247"/>
      <c r="AM27" s="247"/>
      <c r="AN27" s="247"/>
      <c r="AO27" s="247"/>
      <c r="AP27" s="247"/>
      <c r="AQ27" s="247"/>
      <c r="AR27" s="256">
        <f t="shared" si="1"/>
        <v>2</v>
      </c>
      <c r="AT27" s="307">
        <f t="shared" si="8"/>
        <v>5</v>
      </c>
      <c r="AU27" s="307">
        <f t="shared" si="3"/>
        <v>6</v>
      </c>
      <c r="AV27" s="307">
        <f t="shared" si="9"/>
        <v>10</v>
      </c>
      <c r="AW27" s="307">
        <v>0</v>
      </c>
      <c r="AY27" s="252">
        <f>T27+Y27+AR27</f>
        <v>7</v>
      </c>
      <c r="AZ27" s="252"/>
      <c r="BA27" s="307">
        <f t="shared" si="5"/>
        <v>1</v>
      </c>
      <c r="BB27" s="307">
        <f t="shared" si="6"/>
        <v>1</v>
      </c>
      <c r="BC27" s="307">
        <f t="shared" si="7"/>
        <v>0</v>
      </c>
      <c r="BD27" s="252"/>
      <c r="BE27" s="252"/>
      <c r="BF27" s="252"/>
      <c r="BH27" s="15"/>
    </row>
    <row r="28" spans="1:62" ht="25.5" customHeight="1">
      <c r="A28" s="255">
        <f t="shared" si="2"/>
        <v>46259</v>
      </c>
      <c r="B28" s="247"/>
      <c r="C28" s="247"/>
      <c r="D28" s="247"/>
      <c r="E28" s="247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56">
        <f t="shared" si="0"/>
        <v>0</v>
      </c>
      <c r="U28" s="29"/>
      <c r="V28" s="247"/>
      <c r="W28" s="247"/>
      <c r="X28" s="247"/>
      <c r="Y28" s="256">
        <f>SUM(V28:X28)</f>
        <v>0</v>
      </c>
      <c r="Z28" s="257"/>
      <c r="AA28" s="247"/>
      <c r="AB28" s="247"/>
      <c r="AC28" s="247"/>
      <c r="AD28" s="247"/>
      <c r="AE28" s="247"/>
      <c r="AF28" s="247"/>
      <c r="AG28" s="247"/>
      <c r="AH28" s="247"/>
      <c r="AI28" s="247"/>
      <c r="AJ28" s="247"/>
      <c r="AK28" s="247"/>
      <c r="AL28" s="247"/>
      <c r="AM28" s="247"/>
      <c r="AN28" s="247"/>
      <c r="AO28" s="247"/>
      <c r="AP28" s="247"/>
      <c r="AQ28" s="247"/>
      <c r="AR28" s="256">
        <f t="shared" si="1"/>
        <v>0</v>
      </c>
      <c r="AT28" s="307">
        <f t="shared" si="8"/>
        <v>0</v>
      </c>
      <c r="AU28" s="307">
        <f t="shared" si="3"/>
        <v>0</v>
      </c>
      <c r="AV28" s="307">
        <f t="shared" si="9"/>
        <v>0</v>
      </c>
      <c r="AW28" s="307">
        <v>0</v>
      </c>
      <c r="AY28" s="252">
        <f>T28+Y28+AR28</f>
        <v>0</v>
      </c>
      <c r="AZ28" s="252"/>
      <c r="BA28" s="307">
        <f t="shared" si="5"/>
        <v>0</v>
      </c>
      <c r="BB28" s="307">
        <f t="shared" si="6"/>
        <v>0</v>
      </c>
      <c r="BC28" s="307">
        <f t="shared" si="7"/>
        <v>0</v>
      </c>
      <c r="BD28" s="252"/>
      <c r="BE28" s="252"/>
      <c r="BF28" s="252"/>
      <c r="BH28" s="15"/>
    </row>
    <row r="29" spans="1:62" ht="25.5" customHeight="1">
      <c r="A29" s="255">
        <f t="shared" si="2"/>
        <v>46260</v>
      </c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56">
        <f t="shared" si="0"/>
        <v>0</v>
      </c>
      <c r="U29" s="29"/>
      <c r="V29" s="247">
        <v>1</v>
      </c>
      <c r="W29" s="247"/>
      <c r="X29" s="247"/>
      <c r="Y29" s="256">
        <f>SUM(V29:X29)</f>
        <v>1</v>
      </c>
      <c r="Z29" s="257"/>
      <c r="AA29" s="247"/>
      <c r="AB29" s="247"/>
      <c r="AC29" s="247"/>
      <c r="AD29" s="247"/>
      <c r="AE29" s="247"/>
      <c r="AF29" s="247"/>
      <c r="AG29" s="247"/>
      <c r="AH29" s="247"/>
      <c r="AI29" s="247">
        <v>1</v>
      </c>
      <c r="AJ29" s="247"/>
      <c r="AK29" s="247"/>
      <c r="AL29" s="247"/>
      <c r="AM29" s="247"/>
      <c r="AN29" s="247"/>
      <c r="AO29" s="247"/>
      <c r="AP29" s="247">
        <v>2</v>
      </c>
      <c r="AQ29" s="247"/>
      <c r="AR29" s="256">
        <f t="shared" si="1"/>
        <v>3</v>
      </c>
      <c r="AT29" s="307">
        <f t="shared" si="8"/>
        <v>3</v>
      </c>
      <c r="AU29" s="307">
        <f t="shared" si="3"/>
        <v>2</v>
      </c>
      <c r="AV29" s="307">
        <f t="shared" si="9"/>
        <v>2</v>
      </c>
      <c r="AW29" s="307">
        <v>0</v>
      </c>
      <c r="AY29" s="252">
        <f>T29+Y29+AR29</f>
        <v>4</v>
      </c>
      <c r="AZ29" s="252"/>
      <c r="BA29" s="307">
        <f t="shared" si="5"/>
        <v>0</v>
      </c>
      <c r="BB29" s="307">
        <f t="shared" si="6"/>
        <v>1</v>
      </c>
      <c r="BC29" s="307">
        <f t="shared" si="7"/>
        <v>2</v>
      </c>
      <c r="BD29" s="252"/>
      <c r="BE29" s="252"/>
      <c r="BF29" s="252"/>
      <c r="BH29" s="15"/>
    </row>
    <row r="30" spans="1:62" ht="25.5" customHeight="1">
      <c r="A30" s="255">
        <f t="shared" si="2"/>
        <v>46261</v>
      </c>
      <c r="B30" s="247"/>
      <c r="C30" s="247"/>
      <c r="D30" s="247"/>
      <c r="E30" s="247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56">
        <f t="shared" si="0"/>
        <v>0</v>
      </c>
      <c r="U30" s="29"/>
      <c r="V30" s="247"/>
      <c r="W30" s="247"/>
      <c r="X30" s="247"/>
      <c r="Y30" s="256">
        <f>SUM(V30:X30)</f>
        <v>0</v>
      </c>
      <c r="Z30" s="257"/>
      <c r="AA30" s="247"/>
      <c r="AB30" s="247"/>
      <c r="AC30" s="247"/>
      <c r="AD30" s="247"/>
      <c r="AE30" s="247"/>
      <c r="AF30" s="247"/>
      <c r="AG30" s="247"/>
      <c r="AH30" s="247"/>
      <c r="AI30" s="247">
        <v>10</v>
      </c>
      <c r="AJ30" s="247"/>
      <c r="AK30" s="247"/>
      <c r="AL30" s="247"/>
      <c r="AM30" s="247"/>
      <c r="AN30" s="247"/>
      <c r="AO30" s="247"/>
      <c r="AP30" s="247"/>
      <c r="AQ30" s="247"/>
      <c r="AR30" s="256">
        <f t="shared" si="1"/>
        <v>10</v>
      </c>
      <c r="AT30" s="307">
        <f t="shared" si="8"/>
        <v>30</v>
      </c>
      <c r="AU30" s="307">
        <f t="shared" si="3"/>
        <v>0</v>
      </c>
      <c r="AV30" s="307">
        <f t="shared" si="9"/>
        <v>20</v>
      </c>
      <c r="AW30" s="307">
        <v>0</v>
      </c>
      <c r="AY30" s="252">
        <f>T30+Y30+AR30</f>
        <v>10</v>
      </c>
      <c r="AZ30" s="252"/>
      <c r="BA30" s="307">
        <f t="shared" si="5"/>
        <v>0</v>
      </c>
      <c r="BB30" s="307">
        <f t="shared" si="6"/>
        <v>10</v>
      </c>
      <c r="BC30" s="307">
        <f t="shared" si="7"/>
        <v>0</v>
      </c>
      <c r="BD30" s="252"/>
      <c r="BE30" s="252"/>
      <c r="BF30" s="252"/>
      <c r="BH30" s="15"/>
    </row>
    <row r="31" spans="1:62" ht="25.5" customHeight="1">
      <c r="A31" s="255">
        <f t="shared" si="2"/>
        <v>46262</v>
      </c>
      <c r="B31" s="247"/>
      <c r="C31" s="247"/>
      <c r="D31" s="247"/>
      <c r="E31" s="247">
        <v>2</v>
      </c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256">
        <f t="shared" si="0"/>
        <v>2</v>
      </c>
      <c r="U31" s="29"/>
      <c r="V31" s="247">
        <v>3</v>
      </c>
      <c r="W31" s="247"/>
      <c r="X31" s="247"/>
      <c r="Y31" s="256">
        <f>SUM(V31:X31)</f>
        <v>3</v>
      </c>
      <c r="Z31" s="257"/>
      <c r="AA31" s="247">
        <v>2</v>
      </c>
      <c r="AB31" s="247"/>
      <c r="AC31" s="247"/>
      <c r="AD31" s="247"/>
      <c r="AE31" s="247"/>
      <c r="AF31" s="247"/>
      <c r="AG31" s="247"/>
      <c r="AH31" s="247"/>
      <c r="AI31" s="247"/>
      <c r="AJ31" s="247"/>
      <c r="AK31" s="247"/>
      <c r="AL31" s="247"/>
      <c r="AM31" s="247"/>
      <c r="AN31" s="247"/>
      <c r="AO31" s="247"/>
      <c r="AP31" s="247"/>
      <c r="AQ31" s="247"/>
      <c r="AR31" s="256">
        <f t="shared" si="1"/>
        <v>2</v>
      </c>
      <c r="AT31" s="307">
        <f t="shared" si="8"/>
        <v>0</v>
      </c>
      <c r="AU31" s="307">
        <f t="shared" si="3"/>
        <v>6</v>
      </c>
      <c r="AV31" s="307">
        <f t="shared" si="9"/>
        <v>6</v>
      </c>
      <c r="AW31" s="307">
        <v>0</v>
      </c>
      <c r="AY31" s="252">
        <f>T31+Y31+AR31</f>
        <v>7</v>
      </c>
      <c r="AZ31" s="252"/>
      <c r="BA31" s="307">
        <f t="shared" si="5"/>
        <v>2</v>
      </c>
      <c r="BB31" s="307">
        <f t="shared" si="6"/>
        <v>0</v>
      </c>
      <c r="BC31" s="307">
        <f t="shared" si="7"/>
        <v>0</v>
      </c>
      <c r="BD31" s="252"/>
      <c r="BE31" s="252"/>
      <c r="BF31" s="252"/>
      <c r="BH31" s="15"/>
    </row>
    <row r="32" spans="1:62" ht="25.5" customHeight="1">
      <c r="A32" s="255">
        <f t="shared" si="2"/>
        <v>46263</v>
      </c>
      <c r="B32" s="247"/>
      <c r="C32" s="247"/>
      <c r="D32" s="247"/>
      <c r="E32" s="247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56">
        <f t="shared" si="0"/>
        <v>0</v>
      </c>
      <c r="U32" s="29"/>
      <c r="V32" s="247"/>
      <c r="W32" s="247"/>
      <c r="X32" s="247"/>
      <c r="Y32" s="256">
        <f>SUM(V32:X32)</f>
        <v>0</v>
      </c>
      <c r="Z32" s="257"/>
      <c r="AA32" s="247"/>
      <c r="AB32" s="247"/>
      <c r="AC32" s="247"/>
      <c r="AD32" s="247"/>
      <c r="AE32" s="247"/>
      <c r="AF32" s="247"/>
      <c r="AG32" s="247"/>
      <c r="AH32" s="247"/>
      <c r="AI32" s="247"/>
      <c r="AJ32" s="247"/>
      <c r="AK32" s="247"/>
      <c r="AL32" s="247"/>
      <c r="AM32" s="247"/>
      <c r="AN32" s="247"/>
      <c r="AO32" s="247"/>
      <c r="AP32" s="247"/>
      <c r="AQ32" s="247"/>
      <c r="AR32" s="256">
        <f t="shared" si="1"/>
        <v>0</v>
      </c>
      <c r="AT32" s="307">
        <f t="shared" si="8"/>
        <v>0</v>
      </c>
      <c r="AU32" s="307">
        <f t="shared" si="3"/>
        <v>0</v>
      </c>
      <c r="AV32" s="307">
        <f t="shared" si="9"/>
        <v>0</v>
      </c>
      <c r="AW32" s="307">
        <v>0</v>
      </c>
      <c r="AY32" s="252">
        <f>T32+Y32+AR32</f>
        <v>0</v>
      </c>
      <c r="AZ32" s="252"/>
      <c r="BA32" s="307">
        <f t="shared" si="5"/>
        <v>0</v>
      </c>
      <c r="BB32" s="307">
        <f t="shared" si="6"/>
        <v>0</v>
      </c>
      <c r="BC32" s="307">
        <f t="shared" si="7"/>
        <v>0</v>
      </c>
      <c r="BD32" s="252"/>
      <c r="BE32" s="252"/>
      <c r="BF32" s="252"/>
      <c r="BH32" s="15"/>
    </row>
    <row r="33" spans="1:60" ht="25.5" customHeight="1">
      <c r="A33" s="255">
        <f t="shared" si="2"/>
        <v>46264</v>
      </c>
      <c r="B33" s="247"/>
      <c r="C33" s="247"/>
      <c r="D33" s="247"/>
      <c r="E33" s="247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56">
        <f t="shared" si="0"/>
        <v>0</v>
      </c>
      <c r="U33" s="29"/>
      <c r="V33" s="247"/>
      <c r="W33" s="247"/>
      <c r="X33" s="247"/>
      <c r="Y33" s="256">
        <f>SUM(V33:X33)</f>
        <v>0</v>
      </c>
      <c r="Z33" s="257"/>
      <c r="AA33" s="247"/>
      <c r="AB33" s="247"/>
      <c r="AC33" s="247"/>
      <c r="AD33" s="247"/>
      <c r="AE33" s="247"/>
      <c r="AF33" s="247"/>
      <c r="AG33" s="247"/>
      <c r="AH33" s="247"/>
      <c r="AI33" s="247"/>
      <c r="AJ33" s="247"/>
      <c r="AK33" s="247"/>
      <c r="AL33" s="247"/>
      <c r="AM33" s="247"/>
      <c r="AN33" s="247"/>
      <c r="AO33" s="247"/>
      <c r="AP33" s="247"/>
      <c r="AQ33" s="247"/>
      <c r="AR33" s="256">
        <f t="shared" si="1"/>
        <v>0</v>
      </c>
      <c r="AT33" s="307">
        <f t="shared" si="8"/>
        <v>0</v>
      </c>
      <c r="AU33" s="307">
        <f t="shared" si="3"/>
        <v>0</v>
      </c>
      <c r="AV33" s="307">
        <f t="shared" si="9"/>
        <v>0</v>
      </c>
      <c r="AW33" s="307">
        <v>0</v>
      </c>
      <c r="AY33" s="252">
        <f>T33+Y33+AR33</f>
        <v>0</v>
      </c>
      <c r="AZ33" s="252"/>
      <c r="BA33" s="307">
        <f t="shared" si="5"/>
        <v>0</v>
      </c>
      <c r="BB33" s="307">
        <f t="shared" si="6"/>
        <v>0</v>
      </c>
      <c r="BC33" s="307">
        <f t="shared" si="7"/>
        <v>0</v>
      </c>
      <c r="BD33" s="252"/>
      <c r="BE33" s="252"/>
      <c r="BF33" s="252"/>
      <c r="BH33" s="15"/>
    </row>
    <row r="34" spans="1:60" ht="25.5" customHeight="1">
      <c r="A34" s="255">
        <f t="shared" si="2"/>
        <v>46265</v>
      </c>
      <c r="B34" s="247"/>
      <c r="C34" s="247"/>
      <c r="D34" s="247"/>
      <c r="E34" s="247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256">
        <f t="shared" si="0"/>
        <v>0</v>
      </c>
      <c r="U34" s="29"/>
      <c r="V34" s="247">
        <v>1</v>
      </c>
      <c r="W34" s="247"/>
      <c r="X34" s="247"/>
      <c r="Y34" s="256">
        <f>SUM(V34:X34)</f>
        <v>1</v>
      </c>
      <c r="Z34" s="257"/>
      <c r="AA34" s="247"/>
      <c r="AB34" s="247"/>
      <c r="AC34" s="247"/>
      <c r="AD34" s="247"/>
      <c r="AE34" s="247"/>
      <c r="AF34" s="247"/>
      <c r="AG34" s="247"/>
      <c r="AH34" s="247"/>
      <c r="AI34" s="247"/>
      <c r="AJ34" s="247"/>
      <c r="AK34" s="247"/>
      <c r="AL34" s="247"/>
      <c r="AM34" s="247"/>
      <c r="AN34" s="247"/>
      <c r="AO34" s="247"/>
      <c r="AP34" s="247"/>
      <c r="AQ34" s="247"/>
      <c r="AR34" s="256">
        <f>SUM(AC34:AQ34)</f>
        <v>0</v>
      </c>
      <c r="AT34" s="307">
        <f t="shared" si="8"/>
        <v>0</v>
      </c>
      <c r="AU34" s="307">
        <f t="shared" si="3"/>
        <v>2</v>
      </c>
      <c r="AV34" s="307">
        <f t="shared" si="9"/>
        <v>0</v>
      </c>
      <c r="AW34" s="307">
        <v>0</v>
      </c>
      <c r="AY34" s="252">
        <f>T34+Y34+AR34</f>
        <v>1</v>
      </c>
      <c r="AZ34" s="252"/>
      <c r="BA34" s="307">
        <f t="shared" si="5"/>
        <v>0</v>
      </c>
      <c r="BB34" s="307">
        <f t="shared" si="6"/>
        <v>0</v>
      </c>
      <c r="BC34" s="307">
        <f t="shared" si="7"/>
        <v>0</v>
      </c>
      <c r="BD34" s="252"/>
      <c r="BE34" s="252"/>
      <c r="BF34" s="252"/>
      <c r="BH34" s="15"/>
    </row>
    <row r="35" spans="1:60" ht="25.5" customHeight="1">
      <c r="A35" s="256" t="s">
        <v>177</v>
      </c>
      <c r="B35" s="256">
        <f t="shared" ref="B35:T35" si="10">SUM(B4:B34)</f>
        <v>1</v>
      </c>
      <c r="C35" s="256">
        <f t="shared" si="10"/>
        <v>5</v>
      </c>
      <c r="D35" s="256">
        <f t="shared" si="10"/>
        <v>0</v>
      </c>
      <c r="E35" s="256">
        <f t="shared" si="10"/>
        <v>8</v>
      </c>
      <c r="F35" s="256">
        <f t="shared" si="10"/>
        <v>0</v>
      </c>
      <c r="G35" s="256">
        <f t="shared" si="10"/>
        <v>0</v>
      </c>
      <c r="H35" s="256">
        <f t="shared" si="10"/>
        <v>0</v>
      </c>
      <c r="I35" s="256">
        <f t="shared" si="10"/>
        <v>0</v>
      </c>
      <c r="J35" s="256">
        <f t="shared" si="10"/>
        <v>0</v>
      </c>
      <c r="K35" s="256">
        <f t="shared" si="10"/>
        <v>0</v>
      </c>
      <c r="L35" s="256">
        <f t="shared" si="10"/>
        <v>0</v>
      </c>
      <c r="M35" s="256">
        <f t="shared" si="10"/>
        <v>0</v>
      </c>
      <c r="N35" s="256">
        <f t="shared" si="10"/>
        <v>0</v>
      </c>
      <c r="O35" s="256">
        <f t="shared" si="10"/>
        <v>0</v>
      </c>
      <c r="P35" s="256">
        <f t="shared" si="10"/>
        <v>0</v>
      </c>
      <c r="Q35" s="256">
        <f t="shared" si="10"/>
        <v>0</v>
      </c>
      <c r="R35" s="256">
        <f t="shared" si="10"/>
        <v>0</v>
      </c>
      <c r="S35" s="256">
        <f t="shared" si="10"/>
        <v>0</v>
      </c>
      <c r="T35" s="256">
        <f t="shared" si="10"/>
        <v>14</v>
      </c>
      <c r="U35" s="54"/>
      <c r="V35" s="256">
        <f>SUM(V4:V34)</f>
        <v>33</v>
      </c>
      <c r="W35" s="256">
        <f>SUM(W4:W34)</f>
        <v>4</v>
      </c>
      <c r="X35" s="256">
        <f>SUM(X4:X34)</f>
        <v>0</v>
      </c>
      <c r="Y35" s="256">
        <f>SUM(Y4:Y34)</f>
        <v>37</v>
      </c>
      <c r="Z35" s="257"/>
      <c r="AA35" s="256">
        <f t="shared" ref="AA35:AR35" si="11">SUM(AA4:AA34)</f>
        <v>4</v>
      </c>
      <c r="AB35" s="256">
        <f t="shared" si="11"/>
        <v>0</v>
      </c>
      <c r="AC35" s="256">
        <f t="shared" si="11"/>
        <v>0</v>
      </c>
      <c r="AD35" s="256">
        <f t="shared" si="11"/>
        <v>11</v>
      </c>
      <c r="AE35" s="256">
        <f t="shared" si="11"/>
        <v>0</v>
      </c>
      <c r="AF35" s="256">
        <f t="shared" si="11"/>
        <v>0</v>
      </c>
      <c r="AG35" s="256">
        <f t="shared" si="11"/>
        <v>0</v>
      </c>
      <c r="AH35" s="256">
        <f t="shared" si="11"/>
        <v>0</v>
      </c>
      <c r="AI35" s="256">
        <f t="shared" si="11"/>
        <v>25</v>
      </c>
      <c r="AJ35" s="256">
        <f t="shared" si="11"/>
        <v>0</v>
      </c>
      <c r="AK35" s="256">
        <f t="shared" si="11"/>
        <v>0</v>
      </c>
      <c r="AL35" s="256">
        <f t="shared" si="11"/>
        <v>0</v>
      </c>
      <c r="AM35" s="256">
        <f t="shared" si="11"/>
        <v>0</v>
      </c>
      <c r="AN35" s="256">
        <f t="shared" si="11"/>
        <v>0</v>
      </c>
      <c r="AO35" s="256">
        <f t="shared" si="11"/>
        <v>0</v>
      </c>
      <c r="AP35" s="256">
        <f t="shared" si="11"/>
        <v>5</v>
      </c>
      <c r="AQ35" s="256">
        <f t="shared" si="11"/>
        <v>0</v>
      </c>
      <c r="AR35" s="256">
        <f t="shared" si="11"/>
        <v>45</v>
      </c>
      <c r="AS35" s="54"/>
      <c r="AT35" s="307">
        <f>SUM(AT4:AT34)</f>
        <v>113</v>
      </c>
      <c r="AU35" s="307">
        <f>SUM(AU4:AU34)</f>
        <v>66</v>
      </c>
      <c r="AV35" s="307">
        <f>SUM(AV4:AV34)</f>
        <v>109</v>
      </c>
      <c r="AW35" s="307">
        <f>SUM(AW4:AW34)</f>
        <v>0</v>
      </c>
      <c r="AX35" s="54"/>
      <c r="AY35" s="15">
        <f>SUM(AY4:AY34)</f>
        <v>96</v>
      </c>
      <c r="AZ35" s="15">
        <f>SUM(AZ4:AZ34)</f>
        <v>0</v>
      </c>
      <c r="BA35" s="15">
        <f>SUM(BA4:BA34)</f>
        <v>15</v>
      </c>
      <c r="BB35" s="15">
        <f>SUM(BB4:BB34)</f>
        <v>25</v>
      </c>
      <c r="BC35" s="15">
        <f t="shared" ref="BC35:BE35" si="12">SUM(BC4:BC34)</f>
        <v>5</v>
      </c>
      <c r="BD35" s="15">
        <f t="shared" si="12"/>
        <v>0</v>
      </c>
      <c r="BE35" s="15">
        <f t="shared" si="12"/>
        <v>0</v>
      </c>
      <c r="BF35" s="15">
        <f>SUM(BF4:BF34)</f>
        <v>0</v>
      </c>
      <c r="BH35" s="15"/>
    </row>
    <row r="36" spans="1:60" ht="25.5" customHeight="1">
      <c r="A36" s="29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BA36" s="310"/>
      <c r="BB36" s="310"/>
      <c r="BC36" s="310"/>
    </row>
    <row r="37" spans="1:60" ht="25.5" customHeight="1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BA37" s="310"/>
      <c r="BB37" s="310"/>
      <c r="BC37" s="310"/>
    </row>
    <row r="38" spans="1:60" ht="25.5" customHeight="1">
      <c r="A38" s="31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BA38" s="310"/>
      <c r="BB38" s="310"/>
      <c r="BC38" s="310"/>
    </row>
    <row r="39" spans="1:60" ht="25.5" customHeight="1">
      <c r="A39" s="31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BA39" s="310"/>
      <c r="BB39" s="310"/>
      <c r="BC39" s="310"/>
    </row>
    <row r="40" spans="1:60" ht="25.5" customHeight="1">
      <c r="A40" s="31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BA40" s="310"/>
      <c r="BB40" s="310"/>
      <c r="BC40" s="310"/>
    </row>
    <row r="41" spans="1:60" ht="25.5" customHeight="1">
      <c r="A41" s="31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BA41" s="310"/>
      <c r="BB41" s="310"/>
      <c r="BC41" s="310"/>
    </row>
    <row r="42" spans="1:60" ht="25.5" customHeight="1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BA42" s="310"/>
      <c r="BB42" s="310"/>
      <c r="BC42" s="310"/>
    </row>
    <row r="43" spans="1:60" ht="25.5" customHeight="1">
      <c r="A43" s="34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BA43" s="310"/>
      <c r="BB43" s="310"/>
      <c r="BC43" s="310"/>
    </row>
    <row r="44" spans="1:60" ht="25.5" customHeight="1">
      <c r="A44" s="34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BA44" s="310"/>
      <c r="BB44" s="310"/>
      <c r="BC44" s="310"/>
    </row>
    <row r="45" spans="1:60" ht="25.5" customHeight="1">
      <c r="A45" s="34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BA45" s="310"/>
      <c r="BB45" s="310"/>
      <c r="BC45" s="310"/>
    </row>
    <row r="46" spans="1:60" ht="25.5" customHeight="1">
      <c r="A46" s="34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BA46" s="310"/>
      <c r="BB46" s="310"/>
      <c r="BC46" s="310"/>
    </row>
    <row r="47" spans="1:60" ht="25.5" customHeight="1">
      <c r="A47" s="34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BA47" s="310"/>
      <c r="BB47" s="310"/>
      <c r="BC47" s="310"/>
    </row>
    <row r="48" spans="1:60" ht="25.5" customHeight="1">
      <c r="A48" s="34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BA48" s="310"/>
      <c r="BB48" s="310"/>
      <c r="BC48" s="310"/>
    </row>
    <row r="49" spans="1:55" ht="25.5" customHeight="1">
      <c r="A49" s="34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BA49" s="310"/>
      <c r="BB49" s="310"/>
      <c r="BC49" s="310"/>
    </row>
    <row r="50" spans="1:55" ht="25.5" customHeight="1">
      <c r="A50" s="34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BA50" s="310"/>
      <c r="BB50" s="310"/>
      <c r="BC50" s="310"/>
    </row>
    <row r="51" spans="1:55" ht="25.5" customHeight="1">
      <c r="A51" s="34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BA51" s="310"/>
      <c r="BB51" s="310"/>
      <c r="BC51" s="310"/>
    </row>
    <row r="52" spans="1:55" ht="25.5" customHeight="1">
      <c r="A52" s="34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BA52" s="310"/>
      <c r="BB52" s="310"/>
      <c r="BC52" s="310"/>
    </row>
    <row r="53" spans="1:55" ht="25.5" customHeight="1"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BA53" s="310"/>
      <c r="BB53" s="310"/>
      <c r="BC53" s="310"/>
    </row>
    <row r="54" spans="1:55" ht="25.5" customHeight="1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BA54" s="310"/>
      <c r="BB54" s="310"/>
      <c r="BC54" s="310"/>
    </row>
    <row r="55" spans="1:55" ht="25.5" customHeight="1"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BA55" s="310"/>
      <c r="BB55" s="310"/>
      <c r="BC55" s="310"/>
    </row>
    <row r="56" spans="1:55" ht="25.5" customHeight="1"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BA56" s="310"/>
      <c r="BB56" s="310"/>
      <c r="BC56" s="310"/>
    </row>
    <row r="57" spans="1:55" ht="25.5" customHeight="1"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BA57" s="310"/>
      <c r="BB57" s="310"/>
      <c r="BC57" s="310"/>
    </row>
    <row r="58" spans="1:55" ht="25.5" customHeight="1"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BA58" s="310"/>
      <c r="BB58" s="310"/>
      <c r="BC58" s="310"/>
    </row>
    <row r="59" spans="1:55" ht="25.5" customHeight="1"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BA59" s="310"/>
      <c r="BB59" s="310"/>
      <c r="BC59" s="310"/>
    </row>
    <row r="60" spans="1:55" ht="25.5" customHeight="1"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BA60" s="310"/>
      <c r="BB60" s="310"/>
      <c r="BC60" s="310"/>
    </row>
    <row r="61" spans="1:55" ht="25.5" customHeight="1"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BA61" s="310"/>
      <c r="BB61" s="310"/>
      <c r="BC61" s="310"/>
    </row>
    <row r="62" spans="1:55" ht="25.5" customHeight="1"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BA62" s="310"/>
      <c r="BB62" s="310"/>
      <c r="BC62" s="310"/>
    </row>
    <row r="63" spans="1:55" ht="25.5" customHeight="1"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BA63" s="310"/>
      <c r="BB63" s="310"/>
      <c r="BC63" s="310"/>
    </row>
    <row r="64" spans="1:55" ht="25.5" customHeight="1"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BA64" s="310"/>
      <c r="BB64" s="310"/>
      <c r="BC64" s="310"/>
    </row>
    <row r="65" spans="2:55" ht="25.5" customHeight="1"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BA65" s="310"/>
      <c r="BB65" s="310"/>
      <c r="BC65" s="310"/>
    </row>
    <row r="66" spans="2:55" ht="25.5" customHeight="1"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BA66" s="310"/>
      <c r="BB66" s="310"/>
      <c r="BC66" s="310"/>
    </row>
    <row r="67" spans="2:55" ht="25.5" customHeight="1"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BA67" s="310"/>
      <c r="BB67" s="310"/>
      <c r="BC67" s="310"/>
    </row>
    <row r="68" spans="2:55" ht="25.5" customHeight="1"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BA68" s="310"/>
      <c r="BB68" s="310"/>
      <c r="BC68" s="310"/>
    </row>
    <row r="69" spans="2:55" ht="25.5" customHeight="1"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BA69" s="310"/>
      <c r="BB69" s="310"/>
      <c r="BC69" s="310"/>
    </row>
    <row r="70" spans="2:55" ht="25.5" customHeight="1"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BA70" s="310"/>
      <c r="BB70" s="310"/>
      <c r="BC70" s="310"/>
    </row>
    <row r="71" spans="2:55" ht="25.5" customHeight="1"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BA71" s="310"/>
      <c r="BB71" s="310"/>
      <c r="BC71" s="310"/>
    </row>
    <row r="72" spans="2:55" ht="25.5" customHeight="1"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BA72" s="310"/>
      <c r="BB72" s="310"/>
      <c r="BC72" s="310"/>
    </row>
    <row r="73" spans="2:55" ht="25.5" customHeight="1"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BA73" s="310"/>
      <c r="BB73" s="310"/>
      <c r="BC73" s="310"/>
    </row>
    <row r="74" spans="2:55" ht="25.5" customHeight="1"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BA74" s="310"/>
      <c r="BB74" s="310"/>
      <c r="BC74" s="310"/>
    </row>
    <row r="75" spans="2:55" ht="25.5" customHeight="1"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BA75" s="310"/>
      <c r="BB75" s="310"/>
      <c r="BC75" s="310"/>
    </row>
    <row r="76" spans="2:55" ht="25.5" customHeight="1"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BA76" s="310"/>
      <c r="BB76" s="310"/>
      <c r="BC76" s="310"/>
    </row>
    <row r="77" spans="2:55" ht="25.5" customHeight="1"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BA77" s="310"/>
      <c r="BB77" s="310"/>
      <c r="BC77" s="310"/>
    </row>
    <row r="78" spans="2:55" ht="25.5" customHeight="1"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BA78" s="310"/>
      <c r="BB78" s="310"/>
      <c r="BC78" s="310"/>
    </row>
    <row r="79" spans="2:55" ht="25.5" customHeight="1"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BA79" s="310"/>
      <c r="BB79" s="310"/>
      <c r="BC79" s="310"/>
    </row>
    <row r="80" spans="2:55" ht="25.5" customHeight="1"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BA80" s="310"/>
      <c r="BB80" s="310"/>
      <c r="BC80" s="310"/>
    </row>
    <row r="81" spans="2:55" ht="25.5" customHeight="1"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BA81" s="310"/>
      <c r="BB81" s="310"/>
      <c r="BC81" s="310"/>
    </row>
    <row r="82" spans="2:55" ht="25.5" customHeight="1"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BA82" s="310"/>
      <c r="BB82" s="310"/>
      <c r="BC82" s="310"/>
    </row>
    <row r="83" spans="2:55" ht="25.5" customHeight="1"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BA83" s="310"/>
      <c r="BB83" s="310"/>
      <c r="BC83" s="310"/>
    </row>
    <row r="84" spans="2:55" ht="25.5" customHeight="1"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BA84" s="310"/>
      <c r="BB84" s="310"/>
      <c r="BC84" s="310"/>
    </row>
    <row r="85" spans="2:55" ht="25.5" customHeight="1"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BA85" s="310"/>
      <c r="BB85" s="310"/>
      <c r="BC85" s="310"/>
    </row>
    <row r="86" spans="2:55" ht="25.5" customHeight="1"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BA86" s="310"/>
      <c r="BB86" s="310"/>
      <c r="BC86" s="310"/>
    </row>
    <row r="87" spans="2:55" ht="25.5" customHeight="1"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BA87" s="310"/>
      <c r="BB87" s="310"/>
      <c r="BC87" s="310"/>
    </row>
    <row r="88" spans="2:55" ht="25.5" customHeight="1"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BA88" s="310"/>
      <c r="BB88" s="310"/>
      <c r="BC88" s="310"/>
    </row>
    <row r="89" spans="2:55" ht="25.5" customHeight="1"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BA89" s="310"/>
      <c r="BB89" s="310"/>
      <c r="BC89" s="310"/>
    </row>
    <row r="90" spans="2:55" ht="25.5" customHeight="1"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BA90" s="310"/>
      <c r="BB90" s="310"/>
      <c r="BC90" s="310"/>
    </row>
    <row r="91" spans="2:55" ht="25.5" customHeight="1"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BA91" s="310"/>
      <c r="BB91" s="310"/>
      <c r="BC91" s="310"/>
    </row>
    <row r="92" spans="2:55" ht="25.5" customHeight="1"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BA92" s="310"/>
      <c r="BB92" s="310"/>
      <c r="BC92" s="310"/>
    </row>
    <row r="93" spans="2:55" ht="25.5" customHeight="1"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BA93" s="310"/>
      <c r="BB93" s="310"/>
      <c r="BC93" s="310"/>
    </row>
    <row r="94" spans="2:55" ht="25.5" customHeight="1"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BA94" s="310"/>
      <c r="BB94" s="310"/>
      <c r="BC94" s="310"/>
    </row>
    <row r="95" spans="2:55" ht="25.5" customHeight="1"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BA95" s="310"/>
      <c r="BB95" s="310"/>
      <c r="BC95" s="310"/>
    </row>
    <row r="96" spans="2:55" ht="25.5" customHeight="1"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BA96" s="310"/>
      <c r="BB96" s="310"/>
      <c r="BC96" s="310"/>
    </row>
    <row r="97" spans="2:55" ht="25.5" customHeight="1"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BA97" s="310"/>
      <c r="BB97" s="310"/>
      <c r="BC97" s="310"/>
    </row>
    <row r="98" spans="2:55" ht="25.5" customHeight="1"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BA98" s="310"/>
      <c r="BB98" s="310"/>
      <c r="BC98" s="310"/>
    </row>
    <row r="99" spans="2:55" ht="25.5" customHeight="1"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BA99" s="310"/>
      <c r="BB99" s="310"/>
      <c r="BC99" s="310"/>
    </row>
    <row r="100" spans="2:55" ht="25.5" customHeight="1"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BA100" s="310"/>
      <c r="BB100" s="310"/>
      <c r="BC100" s="310"/>
    </row>
    <row r="101" spans="2:55" ht="25.5" customHeight="1"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BA101" s="310"/>
      <c r="BB101" s="310"/>
      <c r="BC101" s="310"/>
    </row>
    <row r="102" spans="2:55" ht="25.5" customHeight="1"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BA102" s="310"/>
      <c r="BB102" s="310"/>
      <c r="BC102" s="310"/>
    </row>
    <row r="103" spans="2:55" ht="25.5" customHeight="1"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BA103" s="310"/>
      <c r="BB103" s="310"/>
      <c r="BC103" s="310"/>
    </row>
    <row r="104" spans="2:55" ht="25.5" customHeight="1"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BA104" s="310"/>
      <c r="BB104" s="310"/>
      <c r="BC104" s="310"/>
    </row>
    <row r="105" spans="2:55" ht="25.5" customHeight="1"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BA105" s="310"/>
      <c r="BB105" s="310"/>
      <c r="BC105" s="310"/>
    </row>
    <row r="106" spans="2:55" ht="25.5" customHeight="1"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BA106" s="310"/>
      <c r="BB106" s="310"/>
      <c r="BC106" s="310"/>
    </row>
    <row r="107" spans="2:55" ht="25.5" customHeight="1"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BA107" s="310"/>
      <c r="BB107" s="310"/>
      <c r="BC107" s="310"/>
    </row>
    <row r="108" spans="2:55" ht="25.5" customHeight="1"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BA108" s="310"/>
      <c r="BB108" s="310"/>
      <c r="BC108" s="310"/>
    </row>
    <row r="109" spans="2:55" ht="25.5" customHeight="1"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BA109" s="310"/>
      <c r="BB109" s="310"/>
      <c r="BC109" s="310"/>
    </row>
    <row r="110" spans="2:55" ht="25.5" customHeight="1"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BA110" s="310"/>
      <c r="BB110" s="310"/>
      <c r="BC110" s="310"/>
    </row>
    <row r="111" spans="2:55" ht="25.5" customHeight="1"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BA111" s="310"/>
      <c r="BB111" s="310"/>
      <c r="BC111" s="310"/>
    </row>
    <row r="112" spans="2:55" ht="25.5" customHeight="1"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BA112" s="310"/>
      <c r="BB112" s="310"/>
      <c r="BC112" s="310"/>
    </row>
    <row r="113" spans="2:55" ht="25.5" customHeight="1"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BA113" s="310"/>
      <c r="BB113" s="310"/>
      <c r="BC113" s="310"/>
    </row>
    <row r="114" spans="2:55" ht="25.5" customHeight="1"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BA114" s="310"/>
      <c r="BB114" s="310"/>
      <c r="BC114" s="310"/>
    </row>
    <row r="115" spans="2:55" ht="25.5" customHeight="1"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BA115" s="310"/>
      <c r="BB115" s="310"/>
      <c r="BC115" s="310"/>
    </row>
    <row r="116" spans="2:55" ht="25.5" customHeight="1"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BA116" s="310"/>
      <c r="BB116" s="310"/>
      <c r="BC116" s="310"/>
    </row>
    <row r="117" spans="2:55" ht="25.5" customHeight="1"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BA117" s="310"/>
      <c r="BB117" s="310"/>
      <c r="BC117" s="310"/>
    </row>
    <row r="118" spans="2:55" ht="25.5" customHeight="1"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BA118" s="310"/>
      <c r="BB118" s="310"/>
      <c r="BC118" s="310"/>
    </row>
    <row r="119" spans="2:55" ht="25.5" customHeight="1"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BA119" s="310"/>
      <c r="BB119" s="310"/>
      <c r="BC119" s="310"/>
    </row>
    <row r="120" spans="2:55" ht="25.5" customHeight="1"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BA120" s="310"/>
      <c r="BB120" s="310"/>
      <c r="BC120" s="310"/>
    </row>
    <row r="121" spans="2:55" ht="25.5" customHeight="1"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BA121" s="310"/>
      <c r="BB121" s="310"/>
      <c r="BC121" s="310"/>
    </row>
    <row r="122" spans="2:55" ht="25.5" customHeight="1"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BA122" s="310"/>
      <c r="BB122" s="310"/>
      <c r="BC122" s="310"/>
    </row>
    <row r="123" spans="2:55" ht="25.5" customHeight="1"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BA123" s="310"/>
      <c r="BB123" s="310"/>
      <c r="BC123" s="310"/>
    </row>
    <row r="124" spans="2:55" ht="25.5" customHeight="1"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BA124" s="310"/>
      <c r="BB124" s="310"/>
      <c r="BC124" s="310"/>
    </row>
    <row r="125" spans="2:55" ht="25.5" customHeight="1"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BA125" s="310"/>
      <c r="BB125" s="310"/>
      <c r="BC125" s="310"/>
    </row>
    <row r="126" spans="2:55" ht="25.5" customHeight="1"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BA126" s="310"/>
      <c r="BB126" s="310"/>
      <c r="BC126" s="310"/>
    </row>
    <row r="127" spans="2:55" ht="25.5" customHeight="1"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BA127" s="310"/>
      <c r="BB127" s="310"/>
      <c r="BC127" s="310"/>
    </row>
    <row r="128" spans="2:55" ht="25.5" customHeight="1"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BA128" s="310"/>
      <c r="BB128" s="310"/>
      <c r="BC128" s="310"/>
    </row>
    <row r="129" spans="2:55" ht="25.5" customHeight="1"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BA129" s="310"/>
      <c r="BB129" s="310"/>
      <c r="BC129" s="310"/>
    </row>
    <row r="130" spans="2:55" ht="25.5" customHeight="1"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BA130" s="310"/>
      <c r="BB130" s="310"/>
      <c r="BC130" s="310"/>
    </row>
    <row r="131" spans="2:55" ht="25.5" customHeight="1"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BA131" s="310"/>
      <c r="BB131" s="310"/>
      <c r="BC131" s="310"/>
    </row>
    <row r="132" spans="2:55" ht="25.5" customHeight="1"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BA132" s="310"/>
      <c r="BB132" s="310"/>
      <c r="BC132" s="310"/>
    </row>
    <row r="133" spans="2:55" ht="25.5" customHeight="1"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BA133" s="310"/>
      <c r="BB133" s="310"/>
      <c r="BC133" s="310"/>
    </row>
    <row r="134" spans="2:55" ht="25.5" customHeight="1"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BA134" s="310"/>
      <c r="BB134" s="310"/>
      <c r="BC134" s="310"/>
    </row>
    <row r="135" spans="2:55" ht="25.5" customHeight="1"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BA135" s="310"/>
      <c r="BB135" s="310"/>
      <c r="BC135" s="310"/>
    </row>
    <row r="136" spans="2:55" ht="25.5" customHeight="1"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BA136" s="310"/>
      <c r="BB136" s="310"/>
      <c r="BC136" s="310"/>
    </row>
    <row r="137" spans="2:55" ht="25.5" customHeight="1"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BA137" s="310"/>
      <c r="BB137" s="310"/>
      <c r="BC137" s="310"/>
    </row>
    <row r="138" spans="2:55" ht="25.5" customHeight="1"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BA138" s="310"/>
      <c r="BB138" s="310"/>
      <c r="BC138" s="310"/>
    </row>
    <row r="139" spans="2:55" ht="25.5" customHeight="1"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BA139" s="310"/>
      <c r="BB139" s="310"/>
      <c r="BC139" s="310"/>
    </row>
    <row r="140" spans="2:55" ht="25.5" customHeight="1"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BA140" s="310"/>
      <c r="BB140" s="310"/>
      <c r="BC140" s="310"/>
    </row>
    <row r="141" spans="2:55" ht="25.5" customHeight="1"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BA141" s="310"/>
      <c r="BB141" s="310"/>
      <c r="BC141" s="310"/>
    </row>
    <row r="142" spans="2:55" ht="25.5" customHeight="1"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BA142" s="310"/>
      <c r="BB142" s="310"/>
      <c r="BC142" s="310"/>
    </row>
    <row r="143" spans="2:55" ht="25.5" customHeight="1"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BA143" s="310"/>
      <c r="BB143" s="310"/>
      <c r="BC143" s="310"/>
    </row>
    <row r="144" spans="2:55" ht="25.5" customHeight="1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BA144" s="310"/>
      <c r="BB144" s="310"/>
      <c r="BC144" s="310"/>
    </row>
    <row r="145" spans="2:55" ht="25.5" customHeight="1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BA145" s="310"/>
      <c r="BB145" s="310"/>
      <c r="BC145" s="310"/>
    </row>
    <row r="146" spans="2:55" ht="25.5" customHeight="1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BA146" s="310"/>
      <c r="BB146" s="310"/>
      <c r="BC146" s="310"/>
    </row>
    <row r="147" spans="2:55" ht="25.5" customHeight="1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BA147" s="310"/>
      <c r="BB147" s="310"/>
      <c r="BC147" s="310"/>
    </row>
    <row r="148" spans="2:55" ht="25.5" customHeight="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BA148" s="310"/>
      <c r="BB148" s="310"/>
      <c r="BC148" s="310"/>
    </row>
    <row r="149" spans="2:55" ht="25.5" customHeight="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BA149" s="310"/>
      <c r="BB149" s="310"/>
      <c r="BC149" s="310"/>
    </row>
    <row r="150" spans="2:55" ht="25.5" customHeight="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BA150" s="310"/>
      <c r="BB150" s="310"/>
      <c r="BC150" s="310"/>
    </row>
    <row r="151" spans="2:55" ht="25.5" customHeight="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BA151" s="310"/>
      <c r="BB151" s="310"/>
      <c r="BC151" s="310"/>
    </row>
    <row r="152" spans="2:55" ht="25.5" customHeight="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BA152" s="310"/>
      <c r="BB152" s="310"/>
      <c r="BC152" s="310"/>
    </row>
    <row r="153" spans="2:55" ht="25.5" customHeight="1"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BA153" s="310"/>
      <c r="BB153" s="310"/>
      <c r="BC153" s="310"/>
    </row>
    <row r="154" spans="2:55" ht="25.5" customHeight="1"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BA154" s="310"/>
      <c r="BB154" s="310"/>
      <c r="BC154" s="310"/>
    </row>
    <row r="155" spans="2:55" ht="25.5" customHeight="1"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BA155" s="310"/>
      <c r="BB155" s="310"/>
      <c r="BC155" s="310"/>
    </row>
    <row r="156" spans="2:55" ht="25.5" customHeight="1"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BA156" s="310"/>
      <c r="BB156" s="310"/>
      <c r="BC156" s="310"/>
    </row>
    <row r="157" spans="2:55" ht="25.5" customHeight="1"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BA157" s="310"/>
      <c r="BB157" s="310"/>
      <c r="BC157" s="310"/>
    </row>
    <row r="158" spans="2:55" ht="25.5" customHeight="1"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BA158" s="310"/>
      <c r="BB158" s="310"/>
      <c r="BC158" s="310"/>
    </row>
    <row r="159" spans="2:55" ht="25.5" customHeight="1"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BA159" s="310"/>
      <c r="BB159" s="310"/>
      <c r="BC159" s="310"/>
    </row>
    <row r="160" spans="2:55" ht="25.5" customHeight="1"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BA160" s="310"/>
      <c r="BB160" s="310"/>
      <c r="BC160" s="310"/>
    </row>
    <row r="161" spans="2:55" ht="25.5" customHeight="1"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BA161" s="310"/>
      <c r="BB161" s="310"/>
      <c r="BC161" s="310"/>
    </row>
    <row r="162" spans="2:55" ht="25.5" customHeight="1"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BA162" s="310"/>
      <c r="BB162" s="310"/>
      <c r="BC162" s="310"/>
    </row>
    <row r="163" spans="2:55" ht="25.5" customHeight="1"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BA163" s="310"/>
      <c r="BB163" s="310"/>
      <c r="BC163" s="310"/>
    </row>
    <row r="164" spans="2:55" ht="25.5" customHeight="1"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BA164" s="310"/>
      <c r="BB164" s="310"/>
      <c r="BC164" s="310"/>
    </row>
    <row r="165" spans="2:55" ht="25.5" customHeight="1"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BA165" s="310"/>
      <c r="BB165" s="310"/>
      <c r="BC165" s="310"/>
    </row>
    <row r="166" spans="2:55" ht="25.5" customHeight="1"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BA166" s="310"/>
      <c r="BB166" s="310"/>
      <c r="BC166" s="310"/>
    </row>
    <row r="167" spans="2:55" ht="25.5" customHeight="1"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BA167" s="310"/>
      <c r="BB167" s="310"/>
      <c r="BC167" s="310"/>
    </row>
    <row r="168" spans="2:55" ht="25.5" customHeight="1"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BA168" s="310"/>
      <c r="BB168" s="310"/>
      <c r="BC168" s="310"/>
    </row>
    <row r="169" spans="2:55" ht="25.5" customHeight="1"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BA169" s="310"/>
      <c r="BB169" s="310"/>
      <c r="BC169" s="310"/>
    </row>
    <row r="170" spans="2:55" ht="25.5" customHeight="1"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BA170" s="310"/>
      <c r="BB170" s="310"/>
      <c r="BC170" s="310"/>
    </row>
    <row r="171" spans="2:55" ht="25.5" customHeight="1"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BA171" s="310"/>
      <c r="BB171" s="310"/>
      <c r="BC171" s="310"/>
    </row>
    <row r="172" spans="2:55" ht="25.5" customHeight="1"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BA172" s="310"/>
      <c r="BB172" s="310"/>
      <c r="BC172" s="310"/>
    </row>
    <row r="173" spans="2:55" ht="25.5" customHeight="1"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BA173" s="310"/>
      <c r="BB173" s="310"/>
      <c r="BC173" s="310"/>
    </row>
    <row r="174" spans="2:55" ht="25.5" customHeight="1"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BA174" s="310"/>
      <c r="BB174" s="310"/>
      <c r="BC174" s="310"/>
    </row>
    <row r="175" spans="2:55" ht="25.5" customHeight="1"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BA175" s="310"/>
      <c r="BB175" s="310"/>
      <c r="BC175" s="310"/>
    </row>
    <row r="176" spans="2:55" ht="25.5" customHeight="1"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BA176" s="310"/>
      <c r="BB176" s="310"/>
      <c r="BC176" s="310"/>
    </row>
    <row r="177" spans="2:55" ht="25.5" customHeight="1"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BA177" s="310"/>
      <c r="BB177" s="310"/>
      <c r="BC177" s="310"/>
    </row>
    <row r="178" spans="2:55" ht="25.5" customHeight="1"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BA178" s="310"/>
      <c r="BB178" s="310"/>
      <c r="BC178" s="310"/>
    </row>
    <row r="179" spans="2:55" ht="25.5" customHeight="1"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BA179" s="310"/>
      <c r="BB179" s="310"/>
      <c r="BC179" s="310"/>
    </row>
    <row r="180" spans="2:55" ht="25.5" customHeight="1"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BA180" s="310"/>
      <c r="BB180" s="310"/>
      <c r="BC180" s="310"/>
    </row>
    <row r="181" spans="2:55" ht="25.5" customHeight="1"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BA181" s="310"/>
      <c r="BB181" s="310"/>
      <c r="BC181" s="310"/>
    </row>
    <row r="182" spans="2:55" ht="25.5" customHeight="1"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BA182" s="310"/>
      <c r="BB182" s="310"/>
      <c r="BC182" s="310"/>
    </row>
    <row r="183" spans="2:55" ht="25.5" customHeight="1"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BA183" s="310"/>
      <c r="BB183" s="310"/>
      <c r="BC183" s="310"/>
    </row>
    <row r="184" spans="2:55" ht="25.5" customHeight="1"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BA184" s="310"/>
      <c r="BB184" s="310"/>
      <c r="BC184" s="310"/>
    </row>
    <row r="185" spans="2:55" ht="25.5" customHeight="1"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BA185" s="310"/>
      <c r="BB185" s="310"/>
      <c r="BC185" s="310"/>
    </row>
    <row r="186" spans="2:55" ht="25.5" customHeight="1"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BA186" s="310"/>
      <c r="BB186" s="310"/>
      <c r="BC186" s="310"/>
    </row>
    <row r="187" spans="2:55" ht="25.5" customHeight="1"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BA187" s="310"/>
      <c r="BB187" s="310"/>
      <c r="BC187" s="310"/>
    </row>
    <row r="188" spans="2:55" ht="25.5" customHeight="1"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BA188" s="310"/>
      <c r="BB188" s="310"/>
      <c r="BC188" s="310"/>
    </row>
    <row r="189" spans="2:55" ht="25.5" customHeight="1"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BA189" s="310"/>
      <c r="BB189" s="310"/>
      <c r="BC189" s="310"/>
    </row>
    <row r="190" spans="2:55" ht="25.5" customHeight="1"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BA190" s="310"/>
      <c r="BB190" s="310"/>
      <c r="BC190" s="310"/>
    </row>
    <row r="191" spans="2:55" ht="25.5" customHeight="1"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BA191" s="310"/>
      <c r="BB191" s="310"/>
      <c r="BC191" s="310"/>
    </row>
    <row r="192" spans="2:55" ht="25.5" customHeight="1"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BA192" s="310"/>
      <c r="BB192" s="310"/>
      <c r="BC192" s="310"/>
    </row>
    <row r="193" spans="2:55" ht="25.5" customHeight="1"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BA193" s="310"/>
      <c r="BB193" s="310"/>
      <c r="BC193" s="310"/>
    </row>
    <row r="194" spans="2:55" ht="25.5" customHeight="1"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BA194" s="310"/>
      <c r="BB194" s="310"/>
      <c r="BC194" s="310"/>
    </row>
    <row r="195" spans="2:55" ht="25.5" customHeight="1"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BA195" s="310"/>
      <c r="BB195" s="310"/>
      <c r="BC195" s="310"/>
    </row>
    <row r="196" spans="2:55" ht="25.5" customHeight="1"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BA196" s="310"/>
      <c r="BB196" s="310"/>
      <c r="BC196" s="310"/>
    </row>
    <row r="197" spans="2:55" ht="25.5" customHeight="1"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BA197" s="310"/>
      <c r="BB197" s="310"/>
      <c r="BC197" s="310"/>
    </row>
    <row r="198" spans="2:55" ht="25.5" customHeight="1"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BA198" s="310"/>
      <c r="BB198" s="310"/>
      <c r="BC198" s="310"/>
    </row>
    <row r="199" spans="2:55" ht="25.5" customHeight="1"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BA199" s="310"/>
      <c r="BB199" s="310"/>
      <c r="BC199" s="310"/>
    </row>
    <row r="200" spans="2:55" ht="25.5" customHeight="1"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BA200" s="310"/>
      <c r="BB200" s="310"/>
      <c r="BC200" s="310"/>
    </row>
    <row r="201" spans="2:55" ht="25.5" customHeight="1"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BA201" s="310"/>
      <c r="BB201" s="310"/>
      <c r="BC201" s="310"/>
    </row>
    <row r="202" spans="2:55" ht="25.5" customHeight="1"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BA202" s="310"/>
      <c r="BB202" s="310"/>
      <c r="BC202" s="310"/>
    </row>
    <row r="203" spans="2:55" ht="25.5" customHeight="1"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BA203" s="310"/>
      <c r="BB203" s="310"/>
      <c r="BC203" s="310"/>
    </row>
    <row r="204" spans="2:55" ht="25.5" customHeight="1"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BA204" s="310"/>
      <c r="BB204" s="310"/>
      <c r="BC204" s="310"/>
    </row>
    <row r="205" spans="2:55" ht="25.5" customHeight="1"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BA205" s="310"/>
      <c r="BB205" s="310"/>
      <c r="BC205" s="310"/>
    </row>
    <row r="206" spans="2:55" ht="25.5" customHeight="1"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BA206" s="310"/>
      <c r="BB206" s="310"/>
      <c r="BC206" s="310"/>
    </row>
    <row r="207" spans="2:55" ht="25.5" customHeight="1"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BA207" s="310"/>
      <c r="BB207" s="310"/>
      <c r="BC207" s="310"/>
    </row>
    <row r="208" spans="2:55" ht="25.5" customHeight="1"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BA208" s="310"/>
      <c r="BB208" s="310"/>
      <c r="BC208" s="310"/>
    </row>
    <row r="209" spans="2:55" ht="25.5" customHeight="1"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BA209" s="310"/>
      <c r="BB209" s="310"/>
      <c r="BC209" s="310"/>
    </row>
    <row r="210" spans="2:55" ht="25.5" customHeight="1"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BA210" s="310"/>
      <c r="BB210" s="310"/>
      <c r="BC210" s="310"/>
    </row>
    <row r="211" spans="2:55" ht="25.5" customHeight="1"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BA211" s="310"/>
      <c r="BB211" s="310"/>
      <c r="BC211" s="310"/>
    </row>
    <row r="212" spans="2:55" ht="25.5" customHeight="1"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BA212" s="310"/>
      <c r="BB212" s="310"/>
      <c r="BC212" s="310"/>
    </row>
    <row r="213" spans="2:55" ht="25.5" customHeight="1"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BA213" s="310"/>
      <c r="BB213" s="310"/>
      <c r="BC213" s="310"/>
    </row>
    <row r="214" spans="2:55" ht="25.5" customHeight="1"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BA214" s="310"/>
      <c r="BB214" s="310"/>
      <c r="BC214" s="310"/>
    </row>
    <row r="215" spans="2:55" ht="25.5" customHeight="1"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BA215" s="310"/>
      <c r="BB215" s="310"/>
      <c r="BC215" s="310"/>
    </row>
    <row r="216" spans="2:55" ht="25.5" customHeight="1"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BA216" s="310"/>
      <c r="BB216" s="310"/>
      <c r="BC216" s="310"/>
    </row>
    <row r="217" spans="2:55" ht="25.5" customHeight="1"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BA217" s="310"/>
      <c r="BB217" s="310"/>
      <c r="BC217" s="310"/>
    </row>
    <row r="218" spans="2:55" ht="25.5" customHeight="1"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BA218" s="310"/>
      <c r="BB218" s="310"/>
      <c r="BC218" s="310"/>
    </row>
    <row r="219" spans="2:55" ht="25.5" customHeight="1"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BA219" s="310"/>
      <c r="BB219" s="310"/>
      <c r="BC219" s="310"/>
    </row>
    <row r="220" spans="2:55" ht="25.5" customHeight="1"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BA220" s="310"/>
      <c r="BB220" s="310"/>
      <c r="BC220" s="310"/>
    </row>
    <row r="221" spans="2:55" ht="25.5" customHeight="1"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BA221" s="310"/>
      <c r="BB221" s="310"/>
      <c r="BC221" s="310"/>
    </row>
    <row r="222" spans="2:55" ht="25.5" customHeight="1"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BA222" s="310"/>
      <c r="BB222" s="310"/>
      <c r="BC222" s="310"/>
    </row>
    <row r="223" spans="2:55" ht="25.5" customHeight="1"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BA223" s="310"/>
      <c r="BB223" s="310"/>
      <c r="BC223" s="310"/>
    </row>
    <row r="224" spans="2:55" ht="25.5" customHeight="1"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BA224" s="310"/>
      <c r="BB224" s="310"/>
      <c r="BC224" s="310"/>
    </row>
    <row r="225" spans="2:55" ht="25.5" customHeight="1"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BA225" s="310"/>
      <c r="BB225" s="310"/>
      <c r="BC225" s="310"/>
    </row>
    <row r="226" spans="2:55" ht="25.5" customHeight="1"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BA226" s="310"/>
      <c r="BB226" s="310"/>
      <c r="BC226" s="310"/>
    </row>
    <row r="227" spans="2:55" ht="25.5" customHeight="1"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BA227" s="310"/>
      <c r="BB227" s="310"/>
      <c r="BC227" s="310"/>
    </row>
    <row r="228" spans="2:55" ht="25.5" customHeight="1"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BA228" s="310"/>
      <c r="BB228" s="310"/>
      <c r="BC228" s="310"/>
    </row>
    <row r="229" spans="2:55" ht="25.5" customHeight="1"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BA229" s="310"/>
      <c r="BB229" s="310"/>
      <c r="BC229" s="310"/>
    </row>
    <row r="230" spans="2:55" ht="25.5" customHeight="1"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BA230" s="310"/>
      <c r="BB230" s="310"/>
      <c r="BC230" s="310"/>
    </row>
    <row r="231" spans="2:55" ht="25.5" customHeight="1"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BA231" s="310"/>
      <c r="BB231" s="310"/>
      <c r="BC231" s="310"/>
    </row>
    <row r="232" spans="2:55" ht="25.5" customHeight="1"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BA232" s="310"/>
      <c r="BB232" s="310"/>
      <c r="BC232" s="310"/>
    </row>
    <row r="233" spans="2:55" ht="25.5" customHeight="1"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BA233" s="310"/>
      <c r="BB233" s="310"/>
      <c r="BC233" s="310"/>
    </row>
    <row r="234" spans="2:55" ht="25.5" customHeight="1"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BA234" s="310"/>
      <c r="BB234" s="310"/>
      <c r="BC234" s="310"/>
    </row>
    <row r="235" spans="2:55" ht="25.5" customHeight="1"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BA235" s="310"/>
      <c r="BB235" s="310"/>
      <c r="BC235" s="310"/>
    </row>
    <row r="236" spans="2:55" ht="25.5" customHeight="1"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BA236" s="310"/>
      <c r="BB236" s="310"/>
      <c r="BC236" s="310"/>
    </row>
    <row r="237" spans="2:55" ht="25.5" customHeight="1"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BA237" s="310"/>
      <c r="BB237" s="310"/>
      <c r="BC237" s="310"/>
    </row>
    <row r="238" spans="2:55" ht="25.5" customHeight="1"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BA238" s="310"/>
      <c r="BB238" s="310"/>
      <c r="BC238" s="310"/>
    </row>
    <row r="239" spans="2:55" ht="25.5" customHeight="1"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BA239" s="310"/>
      <c r="BB239" s="310"/>
      <c r="BC239" s="310"/>
    </row>
    <row r="240" spans="2:55" ht="25.5" customHeight="1"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BA240" s="310"/>
      <c r="BB240" s="310"/>
      <c r="BC240" s="310"/>
    </row>
    <row r="241" spans="2:55" ht="25.5" customHeight="1"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BA241" s="310"/>
      <c r="BB241" s="310"/>
      <c r="BC241" s="310"/>
    </row>
    <row r="242" spans="2:55" ht="25.5" customHeight="1"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BA242" s="310"/>
      <c r="BB242" s="310"/>
      <c r="BC242" s="310"/>
    </row>
    <row r="243" spans="2:55" ht="25.5" customHeight="1"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BA243" s="310"/>
      <c r="BB243" s="310"/>
      <c r="BC243" s="310"/>
    </row>
    <row r="244" spans="2:55" ht="25.5" customHeight="1"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BA244" s="310"/>
      <c r="BB244" s="310"/>
      <c r="BC244" s="310"/>
    </row>
    <row r="245" spans="2:55" ht="25.5" customHeight="1"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BA245" s="310"/>
      <c r="BB245" s="310"/>
      <c r="BC245" s="310"/>
    </row>
    <row r="246" spans="2:55" ht="25.5" customHeight="1"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BA246" s="310"/>
      <c r="BB246" s="310"/>
      <c r="BC246" s="310"/>
    </row>
    <row r="247" spans="2:55" ht="25.5" customHeight="1"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BA247" s="310"/>
      <c r="BB247" s="310"/>
      <c r="BC247" s="310"/>
    </row>
    <row r="248" spans="2:55" ht="25.5" customHeight="1"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BA248" s="310"/>
      <c r="BB248" s="310"/>
      <c r="BC248" s="310"/>
    </row>
    <row r="249" spans="2:55" ht="25.5" customHeight="1"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BA249" s="310"/>
      <c r="BB249" s="310"/>
      <c r="BC249" s="310"/>
    </row>
    <row r="250" spans="2:55" ht="25.5" customHeight="1"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BA250" s="310"/>
      <c r="BB250" s="310"/>
      <c r="BC250" s="310"/>
    </row>
    <row r="251" spans="2:55" ht="25.5" customHeight="1"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BA251" s="310"/>
      <c r="BB251" s="310"/>
      <c r="BC251" s="310"/>
    </row>
    <row r="252" spans="2:55" ht="25.5" customHeight="1"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BA252" s="310"/>
      <c r="BB252" s="310"/>
      <c r="BC252" s="310"/>
    </row>
    <row r="253" spans="2:55" ht="25.5" customHeight="1"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BA253" s="310"/>
      <c r="BB253" s="310"/>
      <c r="BC253" s="310"/>
    </row>
    <row r="254" spans="2:55" ht="25.5" customHeight="1"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BA254" s="310"/>
      <c r="BB254" s="310"/>
      <c r="BC254" s="310"/>
    </row>
    <row r="255" spans="2:55" ht="25.5" customHeight="1"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BA255" s="310"/>
      <c r="BB255" s="310"/>
      <c r="BC255" s="310"/>
    </row>
    <row r="256" spans="2:55" ht="25.5" customHeight="1"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BA256" s="310"/>
      <c r="BB256" s="310"/>
      <c r="BC256" s="310"/>
    </row>
    <row r="257" spans="2:55" ht="25.5" customHeight="1"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BA257" s="310"/>
      <c r="BB257" s="310"/>
      <c r="BC257" s="310"/>
    </row>
    <row r="258" spans="2:55" ht="25.5" customHeight="1"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BA258" s="310"/>
      <c r="BB258" s="310"/>
      <c r="BC258" s="310"/>
    </row>
    <row r="259" spans="2:55" ht="25.5" customHeight="1"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BA259" s="310"/>
      <c r="BB259" s="310"/>
      <c r="BC259" s="310"/>
    </row>
    <row r="260" spans="2:55" ht="25.5" customHeight="1"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BA260" s="310"/>
      <c r="BB260" s="310"/>
      <c r="BC260" s="310"/>
    </row>
    <row r="261" spans="2:55" ht="25.5" customHeight="1"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BA261" s="310"/>
      <c r="BB261" s="310"/>
      <c r="BC261" s="310"/>
    </row>
    <row r="262" spans="2:55" ht="25.5" customHeight="1"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BA262" s="310"/>
      <c r="BB262" s="310"/>
      <c r="BC262" s="310"/>
    </row>
    <row r="263" spans="2:55" ht="25.5" customHeight="1"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BA263" s="310"/>
      <c r="BB263" s="310"/>
      <c r="BC263" s="310"/>
    </row>
    <row r="264" spans="2:55" ht="25.5" customHeight="1"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BA264" s="310"/>
      <c r="BB264" s="310"/>
      <c r="BC264" s="310"/>
    </row>
    <row r="265" spans="2:55" ht="25.5" customHeight="1"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BA265" s="310"/>
      <c r="BB265" s="310"/>
      <c r="BC265" s="310"/>
    </row>
    <row r="266" spans="2:55" ht="25.5" customHeight="1"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BA266" s="310"/>
      <c r="BB266" s="310"/>
      <c r="BC266" s="310"/>
    </row>
    <row r="267" spans="2:55" ht="25.5" customHeight="1"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BA267" s="310"/>
      <c r="BB267" s="310"/>
      <c r="BC267" s="310"/>
    </row>
    <row r="268" spans="2:55" ht="25.5" customHeight="1"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BA268" s="310"/>
      <c r="BB268" s="310"/>
      <c r="BC268" s="310"/>
    </row>
    <row r="269" spans="2:55" ht="25.5" customHeight="1"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BA269" s="310"/>
      <c r="BB269" s="310"/>
      <c r="BC269" s="310"/>
    </row>
    <row r="270" spans="2:55" ht="25.5" customHeight="1"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BA270" s="310"/>
      <c r="BB270" s="310"/>
      <c r="BC270" s="310"/>
    </row>
    <row r="271" spans="2:55" ht="25.5" customHeight="1"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BA271" s="310"/>
      <c r="BB271" s="310"/>
      <c r="BC271" s="310"/>
    </row>
    <row r="272" spans="2:55" ht="25.5" customHeight="1"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BA272" s="310"/>
      <c r="BB272" s="310"/>
      <c r="BC272" s="310"/>
    </row>
    <row r="273" spans="2:55" ht="25.5" customHeight="1"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BA273" s="310"/>
      <c r="BB273" s="310"/>
      <c r="BC273" s="310"/>
    </row>
    <row r="274" spans="2:55" ht="25.5" customHeight="1"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BA274" s="310"/>
      <c r="BB274" s="310"/>
      <c r="BC274" s="310"/>
    </row>
    <row r="275" spans="2:55" ht="25.5" customHeight="1"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BA275" s="310"/>
      <c r="BB275" s="310"/>
      <c r="BC275" s="310"/>
    </row>
    <row r="276" spans="2:55" ht="25.5" customHeight="1"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BA276" s="310"/>
      <c r="BB276" s="310"/>
      <c r="BC276" s="310"/>
    </row>
    <row r="277" spans="2:55" ht="25.5" customHeight="1"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BA277" s="310"/>
      <c r="BB277" s="310"/>
      <c r="BC277" s="310"/>
    </row>
    <row r="278" spans="2:55" ht="25.5" customHeight="1"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BA278" s="310"/>
      <c r="BB278" s="310"/>
      <c r="BC278" s="310"/>
    </row>
    <row r="279" spans="2:55" ht="25.5" customHeight="1"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BA279" s="310"/>
      <c r="BB279" s="310"/>
      <c r="BC279" s="310"/>
    </row>
    <row r="280" spans="2:55" ht="25.5" customHeight="1"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BA280" s="310"/>
      <c r="BB280" s="310"/>
      <c r="BC280" s="310"/>
    </row>
    <row r="281" spans="2:55" ht="25.5" customHeight="1"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BA281" s="310"/>
      <c r="BB281" s="310"/>
      <c r="BC281" s="310"/>
    </row>
    <row r="282" spans="2:55" ht="25.5" customHeight="1"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BA282" s="310"/>
      <c r="BB282" s="310"/>
      <c r="BC282" s="310"/>
    </row>
    <row r="283" spans="2:55" ht="25.5" customHeight="1"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BA283" s="310"/>
      <c r="BB283" s="310"/>
      <c r="BC283" s="310"/>
    </row>
    <row r="284" spans="2:55" ht="25.5" customHeight="1"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BA284" s="310"/>
      <c r="BB284" s="310"/>
      <c r="BC284" s="310"/>
    </row>
    <row r="285" spans="2:55" ht="25.5" customHeight="1"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BA285" s="310"/>
      <c r="BB285" s="310"/>
      <c r="BC285" s="310"/>
    </row>
    <row r="286" spans="2:55" ht="25.5" customHeight="1"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BA286" s="310"/>
      <c r="BB286" s="310"/>
      <c r="BC286" s="310"/>
    </row>
    <row r="287" spans="2:55" ht="25.5" customHeight="1"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BA287" s="310"/>
      <c r="BB287" s="310"/>
      <c r="BC287" s="310"/>
    </row>
    <row r="288" spans="2:55" ht="25.5" customHeight="1"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BA288" s="310"/>
      <c r="BB288" s="310"/>
      <c r="BC288" s="310"/>
    </row>
    <row r="289" spans="2:55" ht="25.5" customHeight="1"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BA289" s="310"/>
      <c r="BB289" s="310"/>
      <c r="BC289" s="310"/>
    </row>
    <row r="290" spans="2:55" ht="25.5" customHeight="1"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BA290" s="310"/>
      <c r="BB290" s="310"/>
      <c r="BC290" s="310"/>
    </row>
    <row r="291" spans="2:55" ht="25.5" customHeight="1"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BA291" s="310"/>
      <c r="BB291" s="310"/>
      <c r="BC291" s="310"/>
    </row>
    <row r="292" spans="2:55" ht="25.5" customHeight="1"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BA292" s="310"/>
      <c r="BB292" s="310"/>
      <c r="BC292" s="310"/>
    </row>
    <row r="293" spans="2:55" ht="25.5" customHeight="1"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BA293" s="310"/>
      <c r="BB293" s="310"/>
      <c r="BC293" s="310"/>
    </row>
    <row r="294" spans="2:55" ht="25.5" customHeight="1"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BA294" s="310"/>
      <c r="BB294" s="310"/>
      <c r="BC294" s="310"/>
    </row>
    <row r="295" spans="2:55" ht="25.5" customHeight="1"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BA295" s="310"/>
      <c r="BB295" s="310"/>
      <c r="BC295" s="310"/>
    </row>
    <row r="296" spans="2:55" ht="25.5" customHeight="1"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BA296" s="310"/>
      <c r="BB296" s="310"/>
      <c r="BC296" s="310"/>
    </row>
    <row r="297" spans="2:55" ht="25.5" customHeight="1"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BA297" s="310"/>
      <c r="BB297" s="310"/>
      <c r="BC297" s="310"/>
    </row>
    <row r="298" spans="2:55" ht="25.5" customHeight="1"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BA298" s="310"/>
      <c r="BB298" s="310"/>
      <c r="BC298" s="310"/>
    </row>
    <row r="299" spans="2:55" ht="25.5" customHeight="1"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BA299" s="310"/>
      <c r="BB299" s="310"/>
      <c r="BC299" s="310"/>
    </row>
    <row r="300" spans="2:55" ht="25.5" customHeight="1"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BA300" s="310"/>
      <c r="BB300" s="310"/>
      <c r="BC300" s="310"/>
    </row>
    <row r="301" spans="2:55" ht="25.5" customHeight="1"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BA301" s="310"/>
      <c r="BB301" s="310"/>
      <c r="BC301" s="310"/>
    </row>
    <row r="302" spans="2:55" ht="25.5" customHeight="1"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BA302" s="310"/>
      <c r="BB302" s="310"/>
      <c r="BC302" s="310"/>
    </row>
    <row r="303" spans="2:55" ht="25.5" customHeight="1"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BA303" s="310"/>
      <c r="BB303" s="310"/>
      <c r="BC303" s="310"/>
    </row>
    <row r="304" spans="2:55" ht="25.5" customHeight="1"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BA304" s="310"/>
      <c r="BB304" s="310"/>
      <c r="BC304" s="310"/>
    </row>
    <row r="305" spans="2:55" ht="25.5" customHeight="1"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BA305" s="310"/>
      <c r="BB305" s="310"/>
      <c r="BC305" s="310"/>
    </row>
    <row r="306" spans="2:55" ht="25.5" customHeight="1"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BA306" s="310"/>
      <c r="BB306" s="310"/>
      <c r="BC306" s="310"/>
    </row>
    <row r="307" spans="2:55" ht="25.5" customHeight="1"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BA307" s="310"/>
      <c r="BB307" s="310"/>
      <c r="BC307" s="310"/>
    </row>
    <row r="308" spans="2:55" ht="25.5" customHeight="1"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BA308" s="310"/>
      <c r="BB308" s="310"/>
      <c r="BC308" s="310"/>
    </row>
    <row r="309" spans="2:55" ht="25.5" customHeight="1"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BA309" s="310"/>
      <c r="BB309" s="310"/>
      <c r="BC309" s="310"/>
    </row>
    <row r="310" spans="2:55" ht="25.5" customHeight="1"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BA310" s="310"/>
      <c r="BB310" s="310"/>
      <c r="BC310" s="310"/>
    </row>
    <row r="311" spans="2:55" ht="25.5" customHeight="1"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BA311" s="310"/>
      <c r="BB311" s="310"/>
      <c r="BC311" s="310"/>
    </row>
    <row r="312" spans="2:55" ht="25.5" customHeight="1"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BA312" s="310"/>
      <c r="BB312" s="310"/>
      <c r="BC312" s="310"/>
    </row>
    <row r="313" spans="2:55" ht="25.5" customHeight="1"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BA313" s="310"/>
      <c r="BB313" s="310"/>
      <c r="BC313" s="310"/>
    </row>
    <row r="314" spans="2:55" ht="25.5" customHeight="1"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BA314" s="310"/>
      <c r="BB314" s="310"/>
      <c r="BC314" s="310"/>
    </row>
    <row r="315" spans="2:55" ht="25.5" customHeight="1"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BA315" s="310"/>
      <c r="BB315" s="310"/>
      <c r="BC315" s="310"/>
    </row>
    <row r="316" spans="2:55" ht="25.5" customHeight="1"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BA316" s="310"/>
      <c r="BB316" s="310"/>
      <c r="BC316" s="310"/>
    </row>
    <row r="317" spans="2:55" ht="25.5" customHeight="1"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BA317" s="310"/>
      <c r="BB317" s="310"/>
      <c r="BC317" s="310"/>
    </row>
    <row r="318" spans="2:55" ht="25.5" customHeight="1"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BA318" s="310"/>
      <c r="BB318" s="310"/>
      <c r="BC318" s="310"/>
    </row>
    <row r="319" spans="2:55" ht="25.5" customHeight="1"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BA319" s="310"/>
      <c r="BB319" s="310"/>
      <c r="BC319" s="310"/>
    </row>
    <row r="320" spans="2:55" ht="25.5" customHeight="1"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BA320" s="310"/>
      <c r="BB320" s="310"/>
      <c r="BC320" s="310"/>
    </row>
    <row r="321" spans="2:55" ht="25.5" customHeight="1"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BA321" s="310"/>
      <c r="BB321" s="310"/>
      <c r="BC321" s="310"/>
    </row>
    <row r="322" spans="2:55" ht="25.5" customHeight="1"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BA322" s="310"/>
      <c r="BB322" s="310"/>
      <c r="BC322" s="310"/>
    </row>
    <row r="323" spans="2:55" ht="25.5" customHeight="1"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BA323" s="310"/>
      <c r="BB323" s="310"/>
      <c r="BC323" s="310"/>
    </row>
    <row r="324" spans="2:55" ht="25.5" customHeight="1"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BA324" s="310"/>
      <c r="BB324" s="310"/>
      <c r="BC324" s="310"/>
    </row>
    <row r="325" spans="2:55" ht="25.5" customHeight="1"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BA325" s="310"/>
      <c r="BB325" s="310"/>
      <c r="BC325" s="310"/>
    </row>
    <row r="326" spans="2:55" ht="25.5" customHeight="1"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BA326" s="310"/>
      <c r="BB326" s="310"/>
      <c r="BC326" s="310"/>
    </row>
    <row r="327" spans="2:55" ht="25.5" customHeight="1"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BA327" s="310"/>
      <c r="BB327" s="310"/>
      <c r="BC327" s="310"/>
    </row>
    <row r="328" spans="2:55" ht="25.5" customHeight="1"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BA328" s="310"/>
      <c r="BB328" s="310"/>
      <c r="BC328" s="310"/>
    </row>
    <row r="329" spans="2:55" ht="25.5" customHeight="1"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BA329" s="310"/>
      <c r="BB329" s="310"/>
      <c r="BC329" s="310"/>
    </row>
    <row r="330" spans="2:55" ht="25.5" customHeight="1"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BA330" s="310"/>
      <c r="BB330" s="310"/>
      <c r="BC330" s="310"/>
    </row>
    <row r="331" spans="2:55" ht="25.5" customHeight="1"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BA331" s="310"/>
      <c r="BB331" s="310"/>
      <c r="BC331" s="310"/>
    </row>
    <row r="332" spans="2:55" ht="25.5" customHeight="1"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BA332" s="310"/>
      <c r="BB332" s="310"/>
      <c r="BC332" s="310"/>
    </row>
    <row r="333" spans="2:55" ht="25.5" customHeight="1"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BA333" s="310"/>
      <c r="BB333" s="310"/>
      <c r="BC333" s="310"/>
    </row>
    <row r="334" spans="2:55" ht="25.5" customHeight="1"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BA334" s="310"/>
      <c r="BB334" s="310"/>
      <c r="BC334" s="310"/>
    </row>
    <row r="335" spans="2:55" ht="25.5" customHeight="1"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BA335" s="310"/>
      <c r="BB335" s="310"/>
      <c r="BC335" s="310"/>
    </row>
    <row r="336" spans="2:55" ht="25.5" customHeight="1"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BA336" s="310"/>
      <c r="BB336" s="310"/>
      <c r="BC336" s="310"/>
    </row>
    <row r="337" spans="2:55" ht="25.5" customHeight="1"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BA337" s="310"/>
      <c r="BB337" s="310"/>
      <c r="BC337" s="310"/>
    </row>
    <row r="338" spans="2:55" ht="25.5" customHeight="1"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BA338" s="310"/>
      <c r="BB338" s="310"/>
      <c r="BC338" s="310"/>
    </row>
    <row r="339" spans="2:55" ht="25.5" customHeight="1"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BA339" s="310"/>
      <c r="BB339" s="310"/>
      <c r="BC339" s="310"/>
    </row>
    <row r="340" spans="2:55" ht="25.5" customHeight="1"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BA340" s="310"/>
      <c r="BB340" s="310"/>
      <c r="BC340" s="310"/>
    </row>
    <row r="341" spans="2:55" ht="25.5" customHeight="1"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BA341" s="310"/>
      <c r="BB341" s="310"/>
      <c r="BC341" s="310"/>
    </row>
    <row r="342" spans="2:55" ht="25.5" customHeight="1"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BA342" s="310"/>
      <c r="BB342" s="310"/>
      <c r="BC342" s="310"/>
    </row>
    <row r="343" spans="2:55" ht="25.5" customHeight="1"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BA343" s="310"/>
      <c r="BB343" s="310"/>
      <c r="BC343" s="310"/>
    </row>
    <row r="344" spans="2:55" ht="25.5" customHeight="1"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BA344" s="310"/>
      <c r="BB344" s="310"/>
      <c r="BC344" s="310"/>
    </row>
    <row r="345" spans="2:55" ht="25.5" customHeight="1"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BA345" s="310"/>
      <c r="BB345" s="310"/>
      <c r="BC345" s="310"/>
    </row>
    <row r="346" spans="2:55" ht="25.5" customHeight="1"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BA346" s="310"/>
      <c r="BB346" s="310"/>
      <c r="BC346" s="310"/>
    </row>
    <row r="347" spans="2:55" ht="25.5" customHeight="1"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BA347" s="310"/>
      <c r="BB347" s="310"/>
      <c r="BC347" s="310"/>
    </row>
    <row r="348" spans="2:55" ht="25.5" customHeight="1"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BA348" s="310"/>
      <c r="BB348" s="310"/>
      <c r="BC348" s="310"/>
    </row>
    <row r="349" spans="2:55" ht="25.5" customHeight="1"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BA349" s="310"/>
      <c r="BB349" s="310"/>
      <c r="BC349" s="310"/>
    </row>
    <row r="350" spans="2:55" ht="25.5" customHeight="1"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BA350" s="310"/>
      <c r="BB350" s="310"/>
      <c r="BC350" s="310"/>
    </row>
    <row r="351" spans="2:55" ht="25.5" customHeight="1"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BA351" s="310"/>
      <c r="BB351" s="310"/>
      <c r="BC351" s="310"/>
    </row>
    <row r="352" spans="2:55" ht="25.5" customHeight="1"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BA352" s="310"/>
      <c r="BB352" s="310"/>
      <c r="BC352" s="310"/>
    </row>
    <row r="353" spans="2:55" ht="25.5" customHeight="1"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BA353" s="310"/>
      <c r="BB353" s="310"/>
      <c r="BC353" s="310"/>
    </row>
    <row r="354" spans="2:55" ht="25.5" customHeight="1"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BA354" s="310"/>
      <c r="BB354" s="310"/>
      <c r="BC354" s="310"/>
    </row>
    <row r="355" spans="2:55" ht="25.5" customHeight="1"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BA355" s="310"/>
      <c r="BB355" s="310"/>
      <c r="BC355" s="310"/>
    </row>
    <row r="356" spans="2:55" ht="25.5" customHeight="1"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BA356" s="310"/>
      <c r="BB356" s="310"/>
      <c r="BC356" s="310"/>
    </row>
    <row r="357" spans="2:55" ht="25.5" customHeight="1"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BA357" s="310"/>
      <c r="BB357" s="310"/>
      <c r="BC357" s="310"/>
    </row>
    <row r="358" spans="2:55" ht="25.5" customHeight="1"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BA358" s="310"/>
      <c r="BB358" s="310"/>
      <c r="BC358" s="310"/>
    </row>
    <row r="359" spans="2:55" ht="25.5" customHeight="1"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BA359" s="310"/>
      <c r="BB359" s="310"/>
      <c r="BC359" s="310"/>
    </row>
    <row r="360" spans="2:55" ht="25.5" customHeight="1"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BA360" s="310"/>
      <c r="BB360" s="310"/>
      <c r="BC360" s="310"/>
    </row>
    <row r="361" spans="2:55" ht="25.5" customHeight="1"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BA361" s="310"/>
      <c r="BB361" s="310"/>
      <c r="BC361" s="310"/>
    </row>
    <row r="362" spans="2:55" ht="25.5" customHeight="1"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BA362" s="310"/>
      <c r="BB362" s="310"/>
      <c r="BC362" s="310"/>
    </row>
    <row r="363" spans="2:55" ht="25.5" customHeight="1"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BA363" s="310"/>
      <c r="BB363" s="310"/>
      <c r="BC363" s="310"/>
    </row>
    <row r="364" spans="2:55" ht="25.5" customHeight="1"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BA364" s="310"/>
      <c r="BB364" s="310"/>
      <c r="BC364" s="310"/>
    </row>
    <row r="365" spans="2:55" ht="25.5" customHeight="1"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BA365" s="310"/>
      <c r="BB365" s="310"/>
      <c r="BC365" s="310"/>
    </row>
    <row r="366" spans="2:55" ht="25.5" customHeight="1"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BA366" s="310"/>
      <c r="BB366" s="310"/>
      <c r="BC366" s="310"/>
    </row>
    <row r="367" spans="2:55" ht="25.5" customHeight="1"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BA367" s="310"/>
      <c r="BB367" s="310"/>
      <c r="BC367" s="310"/>
    </row>
    <row r="368" spans="2:55" ht="25.5" customHeight="1"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BA368" s="310"/>
      <c r="BB368" s="310"/>
      <c r="BC368" s="310"/>
    </row>
    <row r="369" spans="2:55" ht="25.5" customHeight="1"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BA369" s="310"/>
      <c r="BB369" s="310"/>
      <c r="BC369" s="310"/>
    </row>
    <row r="370" spans="2:55" ht="25.5" customHeight="1"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BA370" s="310"/>
      <c r="BB370" s="310"/>
      <c r="BC370" s="310"/>
    </row>
    <row r="371" spans="2:55" ht="25.5" customHeight="1"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BA371" s="310"/>
      <c r="BB371" s="310"/>
      <c r="BC371" s="310"/>
    </row>
    <row r="372" spans="2:55" ht="25.5" customHeight="1"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BA372" s="310"/>
      <c r="BB372" s="310"/>
      <c r="BC372" s="310"/>
    </row>
    <row r="373" spans="2:55" ht="25.5" customHeight="1"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BA373" s="310"/>
      <c r="BB373" s="310"/>
      <c r="BC373" s="310"/>
    </row>
    <row r="374" spans="2:55" ht="25.5" customHeight="1"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BA374" s="310"/>
      <c r="BB374" s="310"/>
      <c r="BC374" s="310"/>
    </row>
    <row r="375" spans="2:55" ht="25.5" customHeight="1"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BA375" s="310"/>
      <c r="BB375" s="310"/>
      <c r="BC375" s="310"/>
    </row>
    <row r="376" spans="2:55" ht="25.5" customHeight="1"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BA376" s="310"/>
      <c r="BB376" s="310"/>
      <c r="BC376" s="310"/>
    </row>
    <row r="377" spans="2:55" ht="25.5" customHeight="1"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BA377" s="310"/>
      <c r="BB377" s="310"/>
      <c r="BC377" s="310"/>
    </row>
    <row r="378" spans="2:55" ht="25.5" customHeight="1"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BA378" s="310"/>
      <c r="BB378" s="310"/>
      <c r="BC378" s="310"/>
    </row>
    <row r="379" spans="2:55" ht="25.5" customHeight="1"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BA379" s="310"/>
      <c r="BB379" s="310"/>
      <c r="BC379" s="310"/>
    </row>
    <row r="380" spans="2:55" ht="25.5" customHeight="1"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BA380" s="310"/>
      <c r="BB380" s="310"/>
      <c r="BC380" s="310"/>
    </row>
    <row r="381" spans="2:55" ht="25.5" customHeight="1"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BA381" s="310"/>
      <c r="BB381" s="310"/>
      <c r="BC381" s="310"/>
    </row>
    <row r="382" spans="2:55" ht="25.5" customHeight="1"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BA382" s="310"/>
      <c r="BB382" s="310"/>
      <c r="BC382" s="310"/>
    </row>
    <row r="383" spans="2:55" ht="25.5" customHeight="1"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BA383" s="310"/>
      <c r="BB383" s="310"/>
      <c r="BC383" s="310"/>
    </row>
    <row r="384" spans="2:55" ht="25.5" customHeight="1"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BA384" s="310"/>
      <c r="BB384" s="310"/>
      <c r="BC384" s="310"/>
    </row>
    <row r="385" spans="2:55" ht="25.5" customHeight="1"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BA385" s="310"/>
      <c r="BB385" s="310"/>
      <c r="BC385" s="310"/>
    </row>
    <row r="386" spans="2:55" ht="25.5" customHeight="1"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BA386" s="310"/>
      <c r="BB386" s="310"/>
      <c r="BC386" s="310"/>
    </row>
    <row r="387" spans="2:55" ht="25.5" customHeight="1"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BA387" s="310"/>
      <c r="BB387" s="310"/>
      <c r="BC387" s="310"/>
    </row>
    <row r="388" spans="2:55" ht="25.5" customHeight="1"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BA388" s="310"/>
      <c r="BB388" s="310"/>
      <c r="BC388" s="310"/>
    </row>
    <row r="389" spans="2:55" ht="25.5" customHeight="1"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BA389" s="310"/>
      <c r="BB389" s="310"/>
      <c r="BC389" s="310"/>
    </row>
    <row r="390" spans="2:55" ht="25.5" customHeight="1"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BA390" s="310"/>
      <c r="BB390" s="310"/>
      <c r="BC390" s="310"/>
    </row>
    <row r="391" spans="2:55" ht="25.5" customHeight="1"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BA391" s="310"/>
      <c r="BB391" s="310"/>
      <c r="BC391" s="310"/>
    </row>
    <row r="392" spans="2:55" ht="25.5" customHeight="1"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BA392" s="310"/>
      <c r="BB392" s="310"/>
      <c r="BC392" s="310"/>
    </row>
    <row r="393" spans="2:55" ht="25.5" customHeight="1"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BA393" s="310"/>
      <c r="BB393" s="310"/>
      <c r="BC393" s="310"/>
    </row>
    <row r="394" spans="2:55" ht="25.5" customHeight="1"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BA394" s="310"/>
      <c r="BB394" s="310"/>
      <c r="BC394" s="310"/>
    </row>
    <row r="395" spans="2:55" ht="25.5" customHeight="1"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BA395" s="310"/>
      <c r="BB395" s="310"/>
      <c r="BC395" s="310"/>
    </row>
    <row r="396" spans="2:55" ht="25.5" customHeight="1"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BA396" s="310"/>
      <c r="BB396" s="310"/>
      <c r="BC396" s="310"/>
    </row>
    <row r="397" spans="2:55" ht="25.5" customHeight="1"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BA397" s="310"/>
      <c r="BB397" s="310"/>
      <c r="BC397" s="310"/>
    </row>
    <row r="398" spans="2:55" ht="25.5" customHeight="1"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BA398" s="310"/>
      <c r="BB398" s="310"/>
      <c r="BC398" s="310"/>
    </row>
    <row r="399" spans="2:55" ht="25.5" customHeight="1"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BA399" s="310"/>
      <c r="BB399" s="310"/>
      <c r="BC399" s="310"/>
    </row>
    <row r="400" spans="2:55" ht="25.5" customHeight="1"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BA400" s="310"/>
      <c r="BB400" s="310"/>
      <c r="BC400" s="310"/>
    </row>
    <row r="401" spans="2:55" ht="25.5" customHeight="1"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BA401" s="310"/>
      <c r="BB401" s="310"/>
      <c r="BC401" s="310"/>
    </row>
    <row r="402" spans="2:55" ht="25.5" customHeight="1"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BA402" s="310"/>
      <c r="BB402" s="310"/>
      <c r="BC402" s="310"/>
    </row>
    <row r="403" spans="2:55" ht="25.5" customHeight="1"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BA403" s="310"/>
      <c r="BB403" s="310"/>
      <c r="BC403" s="310"/>
    </row>
    <row r="404" spans="2:55" ht="25.5" customHeight="1"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BA404" s="310"/>
      <c r="BB404" s="310"/>
      <c r="BC404" s="310"/>
    </row>
    <row r="405" spans="2:55" ht="25.5" customHeight="1"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BA405" s="310"/>
      <c r="BB405" s="310"/>
      <c r="BC405" s="310"/>
    </row>
    <row r="406" spans="2:55" ht="25.5" customHeight="1"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BA406" s="310"/>
      <c r="BB406" s="310"/>
      <c r="BC406" s="310"/>
    </row>
    <row r="407" spans="2:55" ht="25.5" customHeight="1"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BA407" s="310"/>
      <c r="BB407" s="310"/>
      <c r="BC407" s="310"/>
    </row>
    <row r="408" spans="2:55" ht="25.5" customHeight="1"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BA408" s="310"/>
      <c r="BB408" s="310"/>
      <c r="BC408" s="310"/>
    </row>
    <row r="409" spans="2:55" ht="25.5" customHeight="1"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BA409" s="310"/>
      <c r="BB409" s="310"/>
      <c r="BC409" s="310"/>
    </row>
    <row r="410" spans="2:55" ht="25.5" customHeight="1"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BA410" s="310"/>
      <c r="BB410" s="310"/>
      <c r="BC410" s="310"/>
    </row>
    <row r="411" spans="2:55" ht="25.5" customHeight="1"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BA411" s="310"/>
      <c r="BB411" s="310"/>
      <c r="BC411" s="310"/>
    </row>
    <row r="412" spans="2:55" ht="25.5" customHeight="1"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BA412" s="310"/>
      <c r="BB412" s="310"/>
      <c r="BC412" s="310"/>
    </row>
    <row r="413" spans="2:55" ht="25.5" customHeight="1"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BA413" s="310"/>
      <c r="BB413" s="310"/>
      <c r="BC413" s="310"/>
    </row>
    <row r="414" spans="2:55" ht="25.5" customHeight="1"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BA414" s="310"/>
      <c r="BB414" s="310"/>
      <c r="BC414" s="310"/>
    </row>
    <row r="415" spans="2:55" ht="25.5" customHeight="1"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BA415" s="310"/>
      <c r="BB415" s="310"/>
      <c r="BC415" s="310"/>
    </row>
    <row r="416" spans="2:55" ht="25.5" customHeight="1"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BA416" s="310"/>
      <c r="BB416" s="310"/>
      <c r="BC416" s="310"/>
    </row>
    <row r="417" spans="2:55" ht="25.5" customHeight="1"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BA417" s="310"/>
      <c r="BB417" s="310"/>
      <c r="BC417" s="310"/>
    </row>
    <row r="418" spans="2:55" ht="25.5" customHeight="1"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BA418" s="310"/>
      <c r="BB418" s="310"/>
      <c r="BC418" s="310"/>
    </row>
    <row r="419" spans="2:55" ht="25.5" customHeight="1"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BA419" s="310"/>
      <c r="BB419" s="310"/>
      <c r="BC419" s="310"/>
    </row>
    <row r="420" spans="2:55" ht="25.5" customHeight="1"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BA420" s="310"/>
      <c r="BB420" s="310"/>
      <c r="BC420" s="310"/>
    </row>
    <row r="421" spans="2:55" ht="25.5" customHeight="1"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BA421" s="310"/>
      <c r="BB421" s="310"/>
      <c r="BC421" s="310"/>
    </row>
    <row r="422" spans="2:55" ht="25.5" customHeight="1"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BA422" s="310"/>
      <c r="BB422" s="310"/>
      <c r="BC422" s="310"/>
    </row>
    <row r="423" spans="2:55" ht="25.5" customHeight="1"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BA423" s="310"/>
      <c r="BB423" s="310"/>
      <c r="BC423" s="310"/>
    </row>
    <row r="424" spans="2:55" ht="25.5" customHeight="1"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BA424" s="310"/>
      <c r="BB424" s="310"/>
      <c r="BC424" s="310"/>
    </row>
    <row r="425" spans="2:55" ht="25.5" customHeight="1"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BA425" s="310"/>
      <c r="BB425" s="310"/>
      <c r="BC425" s="310"/>
    </row>
    <row r="426" spans="2:55" ht="25.5" customHeight="1"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BA426" s="310"/>
      <c r="BB426" s="310"/>
      <c r="BC426" s="310"/>
    </row>
    <row r="427" spans="2:55" ht="25.5" customHeight="1"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BA427" s="310"/>
      <c r="BB427" s="310"/>
      <c r="BC427" s="310"/>
    </row>
    <row r="428" spans="2:55" ht="25.5" customHeight="1"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BA428" s="310"/>
      <c r="BB428" s="310"/>
      <c r="BC428" s="310"/>
    </row>
    <row r="429" spans="2:55" ht="25.5" customHeight="1"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BA429" s="310"/>
      <c r="BB429" s="310"/>
      <c r="BC429" s="310"/>
    </row>
    <row r="430" spans="2:55" ht="25.5" customHeight="1"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BA430" s="310"/>
      <c r="BB430" s="310"/>
      <c r="BC430" s="310"/>
    </row>
    <row r="431" spans="2:55" ht="25.5" customHeight="1"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BA431" s="310"/>
      <c r="BB431" s="310"/>
      <c r="BC431" s="310"/>
    </row>
    <row r="432" spans="2:55" ht="25.5" customHeight="1"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BA432" s="310"/>
      <c r="BB432" s="310"/>
      <c r="BC432" s="310"/>
    </row>
    <row r="433" spans="2:55" ht="25.5" customHeight="1"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BA433" s="310"/>
      <c r="BB433" s="310"/>
      <c r="BC433" s="310"/>
    </row>
    <row r="434" spans="2:55" ht="25.5" customHeight="1"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BA434" s="310"/>
      <c r="BB434" s="310"/>
      <c r="BC434" s="310"/>
    </row>
    <row r="435" spans="2:55" ht="25.5" customHeight="1"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BA435" s="310"/>
      <c r="BB435" s="310"/>
      <c r="BC435" s="310"/>
    </row>
    <row r="436" spans="2:55" ht="25.5" customHeight="1"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BA436" s="310"/>
      <c r="BB436" s="310"/>
      <c r="BC436" s="310"/>
    </row>
    <row r="437" spans="2:55" ht="25.5" customHeight="1"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BA437" s="310"/>
      <c r="BB437" s="310"/>
      <c r="BC437" s="310"/>
    </row>
    <row r="438" spans="2:55" ht="25.5" customHeight="1"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BA438" s="310"/>
      <c r="BB438" s="310"/>
      <c r="BC438" s="310"/>
    </row>
    <row r="439" spans="2:55" ht="25.5" customHeight="1"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BA439" s="310"/>
      <c r="BB439" s="310"/>
      <c r="BC439" s="310"/>
    </row>
    <row r="440" spans="2:55" ht="25.5" customHeight="1"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BA440" s="310"/>
      <c r="BB440" s="310"/>
      <c r="BC440" s="310"/>
    </row>
    <row r="441" spans="2:55" ht="25.5" customHeight="1"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BA441" s="310"/>
      <c r="BB441" s="310"/>
      <c r="BC441" s="310"/>
    </row>
    <row r="442" spans="2:55" ht="25.5" customHeight="1"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BA442" s="310"/>
      <c r="BB442" s="310"/>
      <c r="BC442" s="310"/>
    </row>
    <row r="443" spans="2:55" ht="25.5" customHeight="1"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BA443" s="310"/>
      <c r="BB443" s="310"/>
      <c r="BC443" s="310"/>
    </row>
    <row r="444" spans="2:55" ht="25.5" customHeight="1"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BA444" s="310"/>
      <c r="BB444" s="310"/>
      <c r="BC444" s="310"/>
    </row>
    <row r="445" spans="2:55" ht="25.5" customHeight="1"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BA445" s="310"/>
      <c r="BB445" s="310"/>
      <c r="BC445" s="310"/>
    </row>
    <row r="446" spans="2:55" ht="25.5" customHeight="1"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BA446" s="310"/>
      <c r="BB446" s="310"/>
      <c r="BC446" s="310"/>
    </row>
    <row r="447" spans="2:55" ht="25.5" customHeight="1"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BA447" s="310"/>
      <c r="BB447" s="310"/>
      <c r="BC447" s="310"/>
    </row>
    <row r="448" spans="2:55" ht="25.5" customHeight="1"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BA448" s="310"/>
      <c r="BB448" s="310"/>
      <c r="BC448" s="310"/>
    </row>
    <row r="449" spans="2:55" ht="25.5" customHeight="1"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BA449" s="310"/>
      <c r="BB449" s="310"/>
      <c r="BC449" s="310"/>
    </row>
    <row r="450" spans="2:55" ht="25.5" customHeight="1"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BA450" s="310"/>
      <c r="BB450" s="310"/>
      <c r="BC450" s="310"/>
    </row>
    <row r="451" spans="2:55" ht="25.5" customHeight="1"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BA451" s="310"/>
      <c r="BB451" s="310"/>
      <c r="BC451" s="310"/>
    </row>
    <row r="452" spans="2:55" ht="25.5" customHeight="1"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BA452" s="310"/>
      <c r="BB452" s="310"/>
      <c r="BC452" s="310"/>
    </row>
    <row r="453" spans="2:55" ht="25.5" customHeight="1"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BA453" s="310"/>
      <c r="BB453" s="310"/>
      <c r="BC453" s="310"/>
    </row>
    <row r="454" spans="2:55" ht="25.5" customHeight="1"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BA454" s="310"/>
      <c r="BB454" s="310"/>
      <c r="BC454" s="310"/>
    </row>
    <row r="455" spans="2:55" ht="25.5" customHeight="1"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BA455" s="310"/>
      <c r="BB455" s="310"/>
      <c r="BC455" s="310"/>
    </row>
    <row r="456" spans="2:55" ht="25.5" customHeight="1"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BA456" s="310"/>
      <c r="BB456" s="310"/>
      <c r="BC456" s="310"/>
    </row>
    <row r="457" spans="2:55" ht="25.5" customHeight="1"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BA457" s="310"/>
      <c r="BB457" s="310"/>
      <c r="BC457" s="310"/>
    </row>
    <row r="458" spans="2:55" ht="25.5" customHeight="1"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BA458" s="310"/>
      <c r="BB458" s="310"/>
      <c r="BC458" s="310"/>
    </row>
    <row r="459" spans="2:55" ht="25.5" customHeight="1"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BA459" s="310"/>
      <c r="BB459" s="310"/>
      <c r="BC459" s="310"/>
    </row>
    <row r="460" spans="2:55" ht="25.5" customHeight="1"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BA460" s="310"/>
      <c r="BB460" s="310"/>
      <c r="BC460" s="310"/>
    </row>
    <row r="461" spans="2:55" ht="25.5" customHeight="1"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BA461" s="310"/>
      <c r="BB461" s="310"/>
      <c r="BC461" s="310"/>
    </row>
    <row r="462" spans="2:55" ht="25.5" customHeight="1"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BA462" s="310"/>
      <c r="BB462" s="310"/>
      <c r="BC462" s="310"/>
    </row>
    <row r="463" spans="2:55" ht="25.5" customHeight="1"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BA463" s="310"/>
      <c r="BB463" s="310"/>
      <c r="BC463" s="310"/>
    </row>
    <row r="464" spans="2:55" ht="25.5" customHeight="1"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BA464" s="310"/>
      <c r="BB464" s="310"/>
      <c r="BC464" s="310"/>
    </row>
    <row r="465" spans="2:55" ht="25.5" customHeight="1"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BA465" s="310"/>
      <c r="BB465" s="310"/>
      <c r="BC465" s="310"/>
    </row>
    <row r="466" spans="2:55" ht="25.5" customHeight="1"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BA466" s="310"/>
      <c r="BB466" s="310"/>
      <c r="BC466" s="310"/>
    </row>
    <row r="467" spans="2:55" ht="25.5" customHeight="1"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BA467" s="310"/>
      <c r="BB467" s="310"/>
      <c r="BC467" s="310"/>
    </row>
    <row r="468" spans="2:55" ht="25.5" customHeight="1"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BA468" s="310"/>
      <c r="BB468" s="310"/>
      <c r="BC468" s="310"/>
    </row>
    <row r="469" spans="2:55" ht="25.5" customHeight="1"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BA469" s="310"/>
      <c r="BB469" s="310"/>
      <c r="BC469" s="310"/>
    </row>
    <row r="470" spans="2:55" ht="25.5" customHeight="1"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BA470" s="310"/>
      <c r="BB470" s="310"/>
      <c r="BC470" s="310"/>
    </row>
    <row r="471" spans="2:55" ht="25.5" customHeight="1"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BA471" s="310"/>
      <c r="BB471" s="310"/>
      <c r="BC471" s="310"/>
    </row>
    <row r="472" spans="2:55" ht="25.5" customHeight="1"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BA472" s="310"/>
      <c r="BB472" s="310"/>
      <c r="BC472" s="310"/>
    </row>
    <row r="473" spans="2:55" ht="25.5" customHeight="1"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BA473" s="310"/>
      <c r="BB473" s="310"/>
      <c r="BC473" s="310"/>
    </row>
    <row r="474" spans="2:55" ht="25.5" customHeight="1"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BA474" s="310"/>
      <c r="BB474" s="310"/>
      <c r="BC474" s="310"/>
    </row>
    <row r="475" spans="2:55" ht="25.5" customHeight="1"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BA475" s="310"/>
      <c r="BB475" s="310"/>
      <c r="BC475" s="310"/>
    </row>
    <row r="476" spans="2:55" ht="25.5" customHeight="1"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BA476" s="310"/>
      <c r="BB476" s="310"/>
      <c r="BC476" s="310"/>
    </row>
    <row r="477" spans="2:55" ht="25.5" customHeight="1"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BA477" s="310"/>
      <c r="BB477" s="310"/>
      <c r="BC477" s="310"/>
    </row>
    <row r="478" spans="2:55" ht="25.5" customHeight="1"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BA478" s="310"/>
      <c r="BB478" s="310"/>
      <c r="BC478" s="310"/>
    </row>
    <row r="479" spans="2:55" ht="25.5" customHeight="1"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BA479" s="310"/>
      <c r="BB479" s="310"/>
      <c r="BC479" s="310"/>
    </row>
    <row r="480" spans="2:55" ht="25.5" customHeight="1"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BA480" s="310"/>
      <c r="BB480" s="310"/>
      <c r="BC480" s="310"/>
    </row>
    <row r="481" spans="2:55" ht="25.5" customHeight="1"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BA481" s="310"/>
      <c r="BB481" s="310"/>
      <c r="BC481" s="310"/>
    </row>
    <row r="482" spans="2:55" ht="25.5" customHeight="1"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BA482" s="310"/>
      <c r="BB482" s="310"/>
      <c r="BC482" s="310"/>
    </row>
    <row r="483" spans="2:55" ht="25.5" customHeight="1"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BA483" s="310"/>
      <c r="BB483" s="310"/>
      <c r="BC483" s="310"/>
    </row>
    <row r="484" spans="2:55" ht="25.5" customHeight="1"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BA484" s="310"/>
      <c r="BB484" s="310"/>
      <c r="BC484" s="310"/>
    </row>
    <row r="485" spans="2:55" ht="25.5" customHeight="1"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BA485" s="310"/>
      <c r="BB485" s="310"/>
      <c r="BC485" s="310"/>
    </row>
    <row r="486" spans="2:55" ht="25.5" customHeight="1"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BA486" s="310"/>
      <c r="BB486" s="310"/>
      <c r="BC486" s="310"/>
    </row>
    <row r="487" spans="2:55" ht="25.5" customHeight="1"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BA487" s="310"/>
      <c r="BB487" s="310"/>
      <c r="BC487" s="310"/>
    </row>
    <row r="488" spans="2:55" ht="25.5" customHeight="1"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BA488" s="310"/>
      <c r="BB488" s="310"/>
      <c r="BC488" s="310"/>
    </row>
    <row r="489" spans="2:55" ht="25.5" customHeight="1"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BA489" s="310"/>
      <c r="BB489" s="310"/>
      <c r="BC489" s="310"/>
    </row>
    <row r="490" spans="2:55" ht="25.5" customHeight="1"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BA490" s="310"/>
      <c r="BB490" s="310"/>
      <c r="BC490" s="310"/>
    </row>
    <row r="491" spans="2:55" ht="25.5" customHeight="1"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BA491" s="310"/>
      <c r="BB491" s="310"/>
      <c r="BC491" s="310"/>
    </row>
    <row r="492" spans="2:55" ht="25.5" customHeight="1"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BA492" s="310"/>
      <c r="BB492" s="310"/>
      <c r="BC492" s="310"/>
    </row>
    <row r="493" spans="2:55" ht="25.5" customHeight="1"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BA493" s="310"/>
      <c r="BB493" s="310"/>
      <c r="BC493" s="310"/>
    </row>
    <row r="494" spans="2:55" ht="25.5" customHeight="1"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BA494" s="310"/>
      <c r="BB494" s="310"/>
      <c r="BC494" s="310"/>
    </row>
    <row r="495" spans="2:55" ht="25.5" customHeight="1"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BA495" s="310"/>
      <c r="BB495" s="310"/>
      <c r="BC495" s="310"/>
    </row>
    <row r="496" spans="2:55" ht="25.5" customHeight="1"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BA496" s="310"/>
      <c r="BB496" s="310"/>
      <c r="BC496" s="310"/>
    </row>
    <row r="497" spans="2:55" ht="25.5" customHeight="1"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BA497" s="310"/>
      <c r="BB497" s="310"/>
      <c r="BC497" s="310"/>
    </row>
    <row r="498" spans="2:55" ht="25.5" customHeight="1"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BA498" s="310"/>
      <c r="BB498" s="310"/>
      <c r="BC498" s="310"/>
    </row>
    <row r="499" spans="2:55" ht="25.5" customHeight="1"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BA499" s="310"/>
      <c r="BB499" s="310"/>
      <c r="BC499" s="310"/>
    </row>
    <row r="500" spans="2:55" ht="25.5" customHeight="1"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BA500" s="310"/>
      <c r="BB500" s="310"/>
      <c r="BC500" s="310"/>
    </row>
    <row r="501" spans="2:55" ht="25.5" customHeight="1"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BA501" s="310"/>
      <c r="BB501" s="310"/>
      <c r="BC501" s="310"/>
    </row>
    <row r="502" spans="2:55" ht="25.5" customHeight="1"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BA502" s="310"/>
      <c r="BB502" s="310"/>
      <c r="BC502" s="310"/>
    </row>
    <row r="503" spans="2:55" ht="25.5" customHeight="1"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BA503" s="310"/>
      <c r="BB503" s="310"/>
      <c r="BC503" s="310"/>
    </row>
    <row r="504" spans="2:55" ht="25.5" customHeight="1"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BA504" s="310"/>
      <c r="BB504" s="310"/>
      <c r="BC504" s="310"/>
    </row>
    <row r="505" spans="2:55" ht="25.5" customHeight="1"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BA505" s="310"/>
      <c r="BB505" s="310"/>
      <c r="BC505" s="310"/>
    </row>
    <row r="506" spans="2:55" ht="25.5" customHeight="1"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BA506" s="310"/>
      <c r="BB506" s="310"/>
      <c r="BC506" s="310"/>
    </row>
    <row r="507" spans="2:55" ht="25.5" customHeight="1"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BA507" s="310"/>
      <c r="BB507" s="310"/>
      <c r="BC507" s="310"/>
    </row>
    <row r="508" spans="2:55" ht="25.5" customHeight="1"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BA508" s="310"/>
      <c r="BB508" s="310"/>
      <c r="BC508" s="310"/>
    </row>
    <row r="509" spans="2:55" ht="25.5" customHeight="1"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BA509" s="310"/>
      <c r="BB509" s="310"/>
      <c r="BC509" s="310"/>
    </row>
    <row r="510" spans="2:55" ht="25.5" customHeight="1"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BA510" s="310"/>
      <c r="BB510" s="310"/>
      <c r="BC510" s="310"/>
    </row>
    <row r="511" spans="2:55" ht="25.5" customHeight="1"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BA511" s="310"/>
      <c r="BB511" s="310"/>
      <c r="BC511" s="310"/>
    </row>
    <row r="512" spans="2:55" ht="25.5" customHeight="1"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BA512" s="310"/>
      <c r="BB512" s="310"/>
      <c r="BC512" s="310"/>
    </row>
    <row r="513" spans="2:55" ht="25.5" customHeight="1"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BA513" s="310"/>
      <c r="BB513" s="310"/>
      <c r="BC513" s="310"/>
    </row>
    <row r="514" spans="2:55" ht="25.5" customHeight="1"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BA514" s="310"/>
      <c r="BB514" s="310"/>
      <c r="BC514" s="310"/>
    </row>
    <row r="515" spans="2:55" ht="25.5" customHeight="1"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BA515" s="310"/>
      <c r="BB515" s="310"/>
      <c r="BC515" s="310"/>
    </row>
    <row r="516" spans="2:55" ht="25.5" customHeight="1"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BA516" s="310"/>
      <c r="BB516" s="310"/>
      <c r="BC516" s="310"/>
    </row>
    <row r="517" spans="2:55" ht="25.5" customHeight="1"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BA517" s="310"/>
      <c r="BB517" s="310"/>
      <c r="BC517" s="310"/>
    </row>
    <row r="518" spans="2:55" ht="25.5" customHeight="1"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BA518" s="310"/>
      <c r="BB518" s="310"/>
      <c r="BC518" s="310"/>
    </row>
    <row r="519" spans="2:55" ht="25.5" customHeight="1"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BA519" s="310"/>
      <c r="BB519" s="310"/>
      <c r="BC519" s="310"/>
    </row>
    <row r="520" spans="2:55" ht="25.5" customHeight="1"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BA520" s="310"/>
      <c r="BB520" s="310"/>
      <c r="BC520" s="310"/>
    </row>
    <row r="521" spans="2:55" ht="25.5" customHeight="1"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BA521" s="310"/>
      <c r="BB521" s="310"/>
      <c r="BC521" s="310"/>
    </row>
    <row r="522" spans="2:55" ht="25.5" customHeight="1"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BA522" s="310"/>
      <c r="BB522" s="310"/>
      <c r="BC522" s="310"/>
    </row>
    <row r="523" spans="2:55" ht="25.5" customHeight="1"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BA523" s="310"/>
      <c r="BB523" s="310"/>
      <c r="BC523" s="310"/>
    </row>
    <row r="524" spans="2:55" ht="25.5" customHeight="1"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BA524" s="310"/>
      <c r="BB524" s="310"/>
      <c r="BC524" s="310"/>
    </row>
    <row r="525" spans="2:55" ht="25.5" customHeight="1"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BA525" s="310"/>
      <c r="BB525" s="310"/>
      <c r="BC525" s="310"/>
    </row>
    <row r="526" spans="2:55" ht="25.5" customHeight="1"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BA526" s="310"/>
      <c r="BB526" s="310"/>
      <c r="BC526" s="310"/>
    </row>
    <row r="527" spans="2:55" ht="25.5" customHeight="1"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BA527" s="310"/>
      <c r="BB527" s="310"/>
      <c r="BC527" s="310"/>
    </row>
    <row r="528" spans="2:55" ht="25.5" customHeight="1"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BA528" s="310"/>
      <c r="BB528" s="310"/>
      <c r="BC528" s="310"/>
    </row>
    <row r="529" spans="2:55" ht="25.5" customHeight="1"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BA529" s="310"/>
      <c r="BB529" s="310"/>
      <c r="BC529" s="310"/>
    </row>
    <row r="530" spans="2:55" ht="25.5" customHeight="1"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BA530" s="310"/>
      <c r="BB530" s="310"/>
      <c r="BC530" s="310"/>
    </row>
    <row r="531" spans="2:55" ht="25.5" customHeight="1"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BA531" s="310"/>
      <c r="BB531" s="310"/>
      <c r="BC531" s="310"/>
    </row>
    <row r="532" spans="2:55" ht="25.5" customHeight="1"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BA532" s="310"/>
      <c r="BB532" s="310"/>
      <c r="BC532" s="310"/>
    </row>
    <row r="533" spans="2:55" ht="25.5" customHeight="1"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BA533" s="310"/>
      <c r="BB533" s="310"/>
      <c r="BC533" s="310"/>
    </row>
    <row r="534" spans="2:55" ht="25.5" customHeight="1"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BA534" s="310"/>
      <c r="BB534" s="310"/>
      <c r="BC534" s="310"/>
    </row>
    <row r="535" spans="2:55" ht="25.5" customHeight="1"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BA535" s="310"/>
      <c r="BB535" s="310"/>
      <c r="BC535" s="310"/>
    </row>
    <row r="536" spans="2:55" ht="25.5" customHeight="1"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BA536" s="310"/>
      <c r="BB536" s="310"/>
      <c r="BC536" s="310"/>
    </row>
    <row r="537" spans="2:55" ht="25.5" customHeight="1"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BA537" s="310"/>
      <c r="BB537" s="310"/>
      <c r="BC537" s="310"/>
    </row>
    <row r="538" spans="2:55" ht="25.5" customHeight="1"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BA538" s="310"/>
      <c r="BB538" s="310"/>
      <c r="BC538" s="310"/>
    </row>
    <row r="539" spans="2:55" ht="25.5" customHeight="1"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BA539" s="310"/>
      <c r="BB539" s="310"/>
      <c r="BC539" s="310"/>
    </row>
    <row r="540" spans="2:55" ht="25.5" customHeight="1"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BA540" s="310"/>
      <c r="BB540" s="310"/>
      <c r="BC540" s="310"/>
    </row>
    <row r="541" spans="2:55" ht="25.5" customHeight="1"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BA541" s="310"/>
      <c r="BB541" s="310"/>
      <c r="BC541" s="310"/>
    </row>
    <row r="542" spans="2:55" ht="25.5" customHeight="1"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BA542" s="310"/>
      <c r="BB542" s="310"/>
      <c r="BC542" s="310"/>
    </row>
    <row r="543" spans="2:55" ht="25.5" customHeight="1"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BA543" s="310"/>
      <c r="BB543" s="310"/>
      <c r="BC543" s="310"/>
    </row>
    <row r="544" spans="2:55" ht="25.5" customHeight="1"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BA544" s="310"/>
      <c r="BB544" s="310"/>
      <c r="BC544" s="310"/>
    </row>
    <row r="545" spans="2:55" ht="25.5" customHeight="1"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BA545" s="310"/>
      <c r="BB545" s="310"/>
      <c r="BC545" s="310"/>
    </row>
    <row r="546" spans="2:55" ht="25.5" customHeight="1"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BA546" s="310"/>
      <c r="BB546" s="310"/>
      <c r="BC546" s="310"/>
    </row>
    <row r="547" spans="2:55" ht="25.5" customHeight="1"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BA547" s="310"/>
      <c r="BB547" s="310"/>
      <c r="BC547" s="310"/>
    </row>
    <row r="548" spans="2:55" ht="25.5" customHeight="1"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BA548" s="310"/>
      <c r="BB548" s="310"/>
      <c r="BC548" s="310"/>
    </row>
    <row r="549" spans="2:55" ht="25.5" customHeight="1"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BA549" s="310"/>
      <c r="BB549" s="310"/>
      <c r="BC549" s="310"/>
    </row>
    <row r="550" spans="2:55" ht="25.5" customHeight="1"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BA550" s="310"/>
      <c r="BB550" s="310"/>
      <c r="BC550" s="310"/>
    </row>
    <row r="551" spans="2:55" ht="25.5" customHeight="1"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BA551" s="310"/>
      <c r="BB551" s="310"/>
      <c r="BC551" s="310"/>
    </row>
    <row r="552" spans="2:55" ht="25.5" customHeight="1"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BA552" s="310"/>
      <c r="BB552" s="310"/>
      <c r="BC552" s="310"/>
    </row>
    <row r="553" spans="2:55" ht="25.5" customHeight="1"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BA553" s="310"/>
      <c r="BB553" s="310"/>
      <c r="BC553" s="310"/>
    </row>
    <row r="554" spans="2:55" ht="25.5" customHeight="1"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BA554" s="310"/>
      <c r="BB554" s="310"/>
      <c r="BC554" s="310"/>
    </row>
    <row r="555" spans="2:55" ht="25.5" customHeight="1"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BA555" s="310"/>
      <c r="BB555" s="310"/>
      <c r="BC555" s="310"/>
    </row>
    <row r="556" spans="2:55" ht="25.5" customHeight="1"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BA556" s="310"/>
      <c r="BB556" s="310"/>
      <c r="BC556" s="310"/>
    </row>
    <row r="557" spans="2:55" ht="25.5" customHeight="1"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BA557" s="310"/>
      <c r="BB557" s="310"/>
      <c r="BC557" s="310"/>
    </row>
    <row r="558" spans="2:55" ht="25.5" customHeight="1"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BA558" s="310"/>
      <c r="BB558" s="310"/>
      <c r="BC558" s="310"/>
    </row>
    <row r="559" spans="2:55" ht="25.5" customHeight="1"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BA559" s="310"/>
      <c r="BB559" s="310"/>
      <c r="BC559" s="310"/>
    </row>
    <row r="560" spans="2:55" ht="25.5" customHeight="1"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BA560" s="310"/>
      <c r="BB560" s="310"/>
      <c r="BC560" s="310"/>
    </row>
    <row r="561" spans="2:55" ht="25.5" customHeight="1"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BA561" s="310"/>
      <c r="BB561" s="310"/>
      <c r="BC561" s="310"/>
    </row>
    <row r="562" spans="2:55" ht="25.5" customHeight="1"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BA562" s="310"/>
      <c r="BB562" s="310"/>
      <c r="BC562" s="310"/>
    </row>
    <row r="563" spans="2:55" ht="25.5" customHeight="1"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BA563" s="310"/>
      <c r="BB563" s="310"/>
      <c r="BC563" s="310"/>
    </row>
    <row r="564" spans="2:55" ht="25.5" customHeight="1"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BA564" s="310"/>
      <c r="BB564" s="310"/>
      <c r="BC564" s="310"/>
    </row>
    <row r="565" spans="2:55" ht="25.5" customHeight="1"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BA565" s="310"/>
      <c r="BB565" s="310"/>
      <c r="BC565" s="310"/>
    </row>
    <row r="566" spans="2:55" ht="25.5" customHeight="1"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BA566" s="310"/>
      <c r="BB566" s="310"/>
      <c r="BC566" s="310"/>
    </row>
    <row r="567" spans="2:55" ht="25.5" customHeight="1"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BA567" s="310"/>
      <c r="BB567" s="310"/>
      <c r="BC567" s="310"/>
    </row>
    <row r="568" spans="2:55" ht="25.5" customHeight="1"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BA568" s="310"/>
      <c r="BB568" s="310"/>
      <c r="BC568" s="310"/>
    </row>
    <row r="569" spans="2:55" ht="25.5" customHeight="1"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BA569" s="310"/>
      <c r="BB569" s="310"/>
      <c r="BC569" s="310"/>
    </row>
    <row r="570" spans="2:55" ht="25.5" customHeight="1"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BA570" s="310"/>
      <c r="BB570" s="310"/>
      <c r="BC570" s="310"/>
    </row>
    <row r="571" spans="2:55" ht="25.5" customHeight="1"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BA571" s="310"/>
      <c r="BB571" s="310"/>
      <c r="BC571" s="310"/>
    </row>
    <row r="572" spans="2:55" ht="25.5" customHeight="1"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BA572" s="310"/>
      <c r="BB572" s="310"/>
      <c r="BC572" s="310"/>
    </row>
    <row r="573" spans="2:55" ht="25.5" customHeight="1"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BA573" s="310"/>
      <c r="BB573" s="310"/>
      <c r="BC573" s="310"/>
    </row>
    <row r="574" spans="2:55" ht="25.5" customHeight="1"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BA574" s="310"/>
      <c r="BB574" s="310"/>
      <c r="BC574" s="310"/>
    </row>
    <row r="575" spans="2:55" ht="25.5" customHeight="1"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BA575" s="310"/>
      <c r="BB575" s="310"/>
      <c r="BC575" s="310"/>
    </row>
    <row r="576" spans="2:55" ht="25.5" customHeight="1"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BA576" s="310"/>
      <c r="BB576" s="310"/>
      <c r="BC576" s="310"/>
    </row>
    <row r="577" spans="2:55" ht="25.5" customHeight="1"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BA577" s="310"/>
      <c r="BB577" s="310"/>
      <c r="BC577" s="310"/>
    </row>
    <row r="578" spans="2:55" ht="25.5" customHeight="1"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BA578" s="310"/>
      <c r="BB578" s="310"/>
      <c r="BC578" s="310"/>
    </row>
    <row r="579" spans="2:55" ht="25.5" customHeight="1"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BA579" s="310"/>
      <c r="BB579" s="310"/>
      <c r="BC579" s="310"/>
    </row>
    <row r="580" spans="2:55" ht="25.5" customHeight="1"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BA580" s="310"/>
      <c r="BB580" s="310"/>
      <c r="BC580" s="310"/>
    </row>
    <row r="581" spans="2:55" ht="25.5" customHeight="1"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BA581" s="310"/>
      <c r="BB581" s="310"/>
      <c r="BC581" s="310"/>
    </row>
    <row r="582" spans="2:55" ht="25.5" customHeight="1"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BA582" s="310"/>
      <c r="BB582" s="310"/>
      <c r="BC582" s="310"/>
    </row>
    <row r="583" spans="2:55" ht="25.5" customHeight="1"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BA583" s="310"/>
      <c r="BB583" s="310"/>
      <c r="BC583" s="310"/>
    </row>
    <row r="584" spans="2:55" ht="25.5" customHeight="1"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BA584" s="310"/>
      <c r="BB584" s="310"/>
      <c r="BC584" s="310"/>
    </row>
    <row r="585" spans="2:55" ht="25.5" customHeight="1"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BA585" s="310"/>
      <c r="BB585" s="310"/>
      <c r="BC585" s="310"/>
    </row>
    <row r="586" spans="2:55" ht="25.5" customHeight="1"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BA586" s="310"/>
      <c r="BB586" s="310"/>
      <c r="BC586" s="310"/>
    </row>
    <row r="587" spans="2:55" ht="25.5" customHeight="1"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BA587" s="310"/>
      <c r="BB587" s="310"/>
      <c r="BC587" s="310"/>
    </row>
    <row r="588" spans="2:55" ht="25.5" customHeight="1"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BA588" s="310"/>
      <c r="BB588" s="310"/>
      <c r="BC588" s="310"/>
    </row>
    <row r="589" spans="2:55" ht="25.5" customHeight="1"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BA589" s="310"/>
      <c r="BB589" s="310"/>
      <c r="BC589" s="310"/>
    </row>
    <row r="590" spans="2:55" ht="25.5" customHeight="1"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BA590" s="310"/>
      <c r="BB590" s="310"/>
      <c r="BC590" s="310"/>
    </row>
    <row r="591" spans="2:55" ht="25.5" customHeight="1"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BA591" s="310"/>
      <c r="BB591" s="310"/>
      <c r="BC591" s="310"/>
    </row>
    <row r="592" spans="2:55" ht="25.5" customHeight="1"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BA592" s="310"/>
      <c r="BB592" s="310"/>
      <c r="BC592" s="310"/>
    </row>
    <row r="593" spans="2:55" ht="25.5" customHeight="1"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BA593" s="310"/>
      <c r="BB593" s="310"/>
      <c r="BC593" s="310"/>
    </row>
    <row r="594" spans="2:55" ht="25.5" customHeight="1"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BA594" s="310"/>
      <c r="BB594" s="310"/>
      <c r="BC594" s="310"/>
    </row>
    <row r="595" spans="2:55" ht="25.5" customHeight="1"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BA595" s="310"/>
      <c r="BB595" s="310"/>
      <c r="BC595" s="310"/>
    </row>
    <row r="596" spans="2:55" ht="25.5" customHeight="1"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BA596" s="310"/>
      <c r="BB596" s="310"/>
      <c r="BC596" s="310"/>
    </row>
    <row r="597" spans="2:55" ht="25.5" customHeight="1"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BA597" s="310"/>
      <c r="BB597" s="310"/>
      <c r="BC597" s="310"/>
    </row>
    <row r="598" spans="2:55" ht="25.5" customHeight="1"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BA598" s="310"/>
      <c r="BB598" s="310"/>
      <c r="BC598" s="310"/>
    </row>
    <row r="599" spans="2:55" ht="25.5" customHeight="1"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BA599" s="310"/>
      <c r="BB599" s="310"/>
      <c r="BC599" s="310"/>
    </row>
    <row r="600" spans="2:55" ht="25.5" customHeight="1"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BA600" s="310"/>
      <c r="BB600" s="310"/>
      <c r="BC600" s="310"/>
    </row>
    <row r="601" spans="2:55" ht="25.5" customHeight="1"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BA601" s="310"/>
      <c r="BB601" s="310"/>
      <c r="BC601" s="310"/>
    </row>
    <row r="602" spans="2:55" ht="25.5" customHeight="1"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BA602" s="310"/>
      <c r="BB602" s="310"/>
      <c r="BC602" s="310"/>
    </row>
    <row r="603" spans="2:55" ht="25.5" customHeight="1"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BA603" s="310"/>
      <c r="BB603" s="310"/>
      <c r="BC603" s="310"/>
    </row>
    <row r="604" spans="2:55" ht="25.5" customHeight="1"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BA604" s="310"/>
      <c r="BB604" s="310"/>
      <c r="BC604" s="310"/>
    </row>
    <row r="605" spans="2:55" ht="25.5" customHeight="1"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BA605" s="310"/>
      <c r="BB605" s="310"/>
      <c r="BC605" s="310"/>
    </row>
    <row r="606" spans="2:55" ht="25.5" customHeight="1"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BA606" s="310"/>
      <c r="BB606" s="310"/>
      <c r="BC606" s="310"/>
    </row>
    <row r="607" spans="2:55" ht="25.5" customHeight="1"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BA607" s="310"/>
      <c r="BB607" s="310"/>
      <c r="BC607" s="310"/>
    </row>
    <row r="608" spans="2:55" ht="25.5" customHeight="1"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BA608" s="310"/>
      <c r="BB608" s="310"/>
      <c r="BC608" s="310"/>
    </row>
    <row r="609" spans="2:55" ht="25.5" customHeight="1"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BA609" s="310"/>
      <c r="BB609" s="310"/>
      <c r="BC609" s="310"/>
    </row>
    <row r="610" spans="2:55" ht="25.5" customHeight="1"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BA610" s="310"/>
      <c r="BB610" s="310"/>
      <c r="BC610" s="310"/>
    </row>
    <row r="611" spans="2:55" ht="25.5" customHeight="1"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BA611" s="310"/>
      <c r="BB611" s="310"/>
      <c r="BC611" s="310"/>
    </row>
    <row r="612" spans="2:55" ht="25.5" customHeight="1"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BA612" s="310"/>
      <c r="BB612" s="310"/>
      <c r="BC612" s="310"/>
    </row>
    <row r="613" spans="2:55" ht="25.5" customHeight="1"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BA613" s="310"/>
      <c r="BB613" s="310"/>
      <c r="BC613" s="310"/>
    </row>
    <row r="614" spans="2:55" ht="25.5" customHeight="1"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BA614" s="310"/>
      <c r="BB614" s="310"/>
      <c r="BC614" s="310"/>
    </row>
    <row r="615" spans="2:55" ht="25.5" customHeight="1"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BA615" s="310"/>
      <c r="BB615" s="310"/>
      <c r="BC615" s="310"/>
    </row>
    <row r="616" spans="2:55" ht="25.5" customHeight="1"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BA616" s="310"/>
      <c r="BB616" s="310"/>
      <c r="BC616" s="310"/>
    </row>
    <row r="617" spans="2:55" ht="25.5" customHeight="1"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BA617" s="310"/>
      <c r="BB617" s="310"/>
      <c r="BC617" s="310"/>
    </row>
    <row r="618" spans="2:55" ht="25.5" customHeight="1"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BA618" s="310"/>
      <c r="BB618" s="310"/>
      <c r="BC618" s="310"/>
    </row>
    <row r="619" spans="2:55" ht="25.5" customHeight="1"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BA619" s="310"/>
      <c r="BB619" s="310"/>
      <c r="BC619" s="310"/>
    </row>
    <row r="620" spans="2:55" ht="25.5" customHeight="1"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BA620" s="310"/>
      <c r="BB620" s="310"/>
      <c r="BC620" s="310"/>
    </row>
    <row r="621" spans="2:55" ht="25.5" customHeight="1"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BA621" s="310"/>
      <c r="BB621" s="310"/>
      <c r="BC621" s="310"/>
    </row>
    <row r="622" spans="2:55" ht="25.5" customHeight="1"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BA622" s="310"/>
      <c r="BB622" s="310"/>
      <c r="BC622" s="310"/>
    </row>
    <row r="623" spans="2:55" ht="25.5" customHeight="1"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BA623" s="310"/>
      <c r="BB623" s="310"/>
      <c r="BC623" s="310"/>
    </row>
    <row r="624" spans="2:55" ht="25.5" customHeight="1"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BA624" s="310"/>
      <c r="BB624" s="310"/>
      <c r="BC624" s="310"/>
    </row>
    <row r="625" spans="2:55" ht="25.5" customHeight="1"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BA625" s="310"/>
      <c r="BB625" s="310"/>
      <c r="BC625" s="310"/>
    </row>
    <row r="626" spans="2:55" ht="25.5" customHeight="1"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BA626" s="310"/>
      <c r="BB626" s="310"/>
      <c r="BC626" s="310"/>
    </row>
    <row r="627" spans="2:55" ht="25.5" customHeight="1"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BA627" s="310"/>
      <c r="BB627" s="310"/>
      <c r="BC627" s="310"/>
    </row>
    <row r="628" spans="2:55" ht="25.5" customHeight="1"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BA628" s="310"/>
      <c r="BB628" s="310"/>
      <c r="BC628" s="310"/>
    </row>
    <row r="629" spans="2:55" ht="25.5" customHeight="1"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BA629" s="310"/>
      <c r="BB629" s="310"/>
      <c r="BC629" s="310"/>
    </row>
    <row r="630" spans="2:55" ht="25.5" customHeight="1"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BA630" s="310"/>
      <c r="BB630" s="310"/>
      <c r="BC630" s="310"/>
    </row>
    <row r="631" spans="2:55" ht="25.5" customHeight="1"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BA631" s="310"/>
      <c r="BB631" s="310"/>
      <c r="BC631" s="310"/>
    </row>
    <row r="632" spans="2:55" ht="25.5" customHeight="1"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BA632" s="310"/>
      <c r="BB632" s="310"/>
      <c r="BC632" s="310"/>
    </row>
    <row r="633" spans="2:55" ht="25.5" customHeight="1"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BA633" s="310"/>
      <c r="BB633" s="310"/>
      <c r="BC633" s="310"/>
    </row>
    <row r="634" spans="2:55" ht="25.5" customHeight="1"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BA634" s="310"/>
      <c r="BB634" s="310"/>
      <c r="BC634" s="310"/>
    </row>
    <row r="635" spans="2:55" ht="25.5" customHeight="1"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BA635" s="310"/>
      <c r="BB635" s="310"/>
      <c r="BC635" s="310"/>
    </row>
    <row r="636" spans="2:55" ht="25.5" customHeight="1"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BA636" s="310"/>
      <c r="BB636" s="310"/>
      <c r="BC636" s="310"/>
    </row>
    <row r="637" spans="2:55" ht="25.5" customHeight="1"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BA637" s="310"/>
      <c r="BB637" s="310"/>
      <c r="BC637" s="310"/>
    </row>
    <row r="638" spans="2:55" ht="25.5" customHeight="1"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BA638" s="310"/>
      <c r="BB638" s="310"/>
      <c r="BC638" s="310"/>
    </row>
    <row r="639" spans="2:55" ht="25.5" customHeight="1"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BA639" s="310"/>
      <c r="BB639" s="310"/>
      <c r="BC639" s="310"/>
    </row>
    <row r="640" spans="2:55" ht="25.5" customHeight="1"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BA640" s="310"/>
      <c r="BB640" s="310"/>
      <c r="BC640" s="310"/>
    </row>
    <row r="641" spans="2:55" ht="25.5" customHeight="1"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BA641" s="310"/>
      <c r="BB641" s="310"/>
      <c r="BC641" s="310"/>
    </row>
    <row r="642" spans="2:55" ht="25.5" customHeight="1"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BA642" s="310"/>
      <c r="BB642" s="310"/>
      <c r="BC642" s="310"/>
    </row>
    <row r="643" spans="2:55" ht="25.5" customHeight="1"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BA643" s="310"/>
      <c r="BB643" s="310"/>
      <c r="BC643" s="310"/>
    </row>
    <row r="644" spans="2:55" ht="25.5" customHeight="1"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BA644" s="310"/>
      <c r="BB644" s="310"/>
      <c r="BC644" s="310"/>
    </row>
    <row r="645" spans="2:55" ht="25.5" customHeight="1"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BA645" s="310"/>
      <c r="BB645" s="310"/>
      <c r="BC645" s="310"/>
    </row>
    <row r="646" spans="2:55" ht="25.5" customHeight="1"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BA646" s="310"/>
      <c r="BB646" s="310"/>
      <c r="BC646" s="310"/>
    </row>
    <row r="647" spans="2:55" ht="25.5" customHeight="1"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BA647" s="310"/>
      <c r="BB647" s="310"/>
      <c r="BC647" s="310"/>
    </row>
    <row r="648" spans="2:55" ht="25.5" customHeight="1"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BA648" s="310"/>
      <c r="BB648" s="310"/>
      <c r="BC648" s="310"/>
    </row>
    <row r="649" spans="2:55" ht="25.5" customHeight="1"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BA649" s="310"/>
      <c r="BB649" s="310"/>
      <c r="BC649" s="310"/>
    </row>
    <row r="650" spans="2:55" ht="25.5" customHeight="1"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BA650" s="310"/>
      <c r="BB650" s="310"/>
      <c r="BC650" s="310"/>
    </row>
    <row r="651" spans="2:55" ht="25.5" customHeight="1"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BA651" s="310"/>
      <c r="BB651" s="310"/>
      <c r="BC651" s="310"/>
    </row>
    <row r="652" spans="2:55" ht="25.5" customHeight="1"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BA652" s="310"/>
      <c r="BB652" s="310"/>
      <c r="BC652" s="310"/>
    </row>
    <row r="653" spans="2:55" ht="25.5" customHeight="1"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BA653" s="310"/>
      <c r="BB653" s="310"/>
      <c r="BC653" s="310"/>
    </row>
    <row r="654" spans="2:55" ht="25.5" customHeight="1"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BA654" s="310"/>
      <c r="BB654" s="310"/>
      <c r="BC654" s="310"/>
    </row>
    <row r="655" spans="2:55" ht="25.5" customHeight="1"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BA655" s="310"/>
      <c r="BB655" s="310"/>
      <c r="BC655" s="310"/>
    </row>
    <row r="656" spans="2:55" ht="25.5" customHeight="1"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BA656" s="310"/>
      <c r="BB656" s="310"/>
      <c r="BC656" s="310"/>
    </row>
    <row r="657" spans="2:55" ht="25.5" customHeight="1"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BA657" s="310"/>
      <c r="BB657" s="310"/>
      <c r="BC657" s="310"/>
    </row>
    <row r="658" spans="2:55" ht="25.5" customHeight="1"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BA658" s="310"/>
      <c r="BB658" s="310"/>
      <c r="BC658" s="310"/>
    </row>
    <row r="659" spans="2:55" ht="25.5" customHeight="1"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BA659" s="310"/>
      <c r="BB659" s="310"/>
      <c r="BC659" s="310"/>
    </row>
    <row r="660" spans="2:55" ht="25.5" customHeight="1"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BA660" s="310"/>
      <c r="BB660" s="310"/>
      <c r="BC660" s="310"/>
    </row>
    <row r="661" spans="2:55" ht="25.5" customHeight="1"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BA661" s="310"/>
      <c r="BB661" s="310"/>
      <c r="BC661" s="310"/>
    </row>
    <row r="662" spans="2:55" ht="25.5" customHeight="1"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BA662" s="310"/>
      <c r="BB662" s="310"/>
      <c r="BC662" s="310"/>
    </row>
    <row r="663" spans="2:55" ht="25.5" customHeight="1"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BA663" s="310"/>
      <c r="BB663" s="310"/>
      <c r="BC663" s="310"/>
    </row>
    <row r="664" spans="2:55" ht="25.5" customHeight="1"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BA664" s="310"/>
      <c r="BB664" s="310"/>
      <c r="BC664" s="310"/>
    </row>
    <row r="665" spans="2:55" ht="25.5" customHeight="1"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BA665" s="310"/>
      <c r="BB665" s="310"/>
      <c r="BC665" s="310"/>
    </row>
    <row r="666" spans="2:55" ht="25.5" customHeight="1"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BA666" s="310"/>
      <c r="BB666" s="310"/>
      <c r="BC666" s="310"/>
    </row>
    <row r="667" spans="2:55" ht="25.5" customHeight="1"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BA667" s="310"/>
      <c r="BB667" s="310"/>
      <c r="BC667" s="310"/>
    </row>
    <row r="668" spans="2:55" ht="25.5" customHeight="1"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BA668" s="310"/>
      <c r="BB668" s="310"/>
      <c r="BC668" s="310"/>
    </row>
    <row r="669" spans="2:55" ht="25.5" customHeight="1"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BA669" s="310"/>
      <c r="BB669" s="310"/>
      <c r="BC669" s="310"/>
    </row>
    <row r="670" spans="2:55" ht="25.5" customHeight="1"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BA670" s="310"/>
      <c r="BB670" s="310"/>
      <c r="BC670" s="310"/>
    </row>
    <row r="671" spans="2:55" ht="25.5" customHeight="1"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BA671" s="310"/>
      <c r="BB671" s="310"/>
      <c r="BC671" s="310"/>
    </row>
    <row r="672" spans="2:55" ht="25.5" customHeight="1"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BA672" s="310"/>
      <c r="BB672" s="310"/>
      <c r="BC672" s="310"/>
    </row>
    <row r="673" spans="2:55" ht="25.5" customHeight="1"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BA673" s="310"/>
      <c r="BB673" s="310"/>
      <c r="BC673" s="310"/>
    </row>
    <row r="674" spans="2:55" ht="25.5" customHeight="1"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BA674" s="310"/>
      <c r="BB674" s="310"/>
      <c r="BC674" s="310"/>
    </row>
    <row r="675" spans="2:55" ht="25.5" customHeight="1"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BA675" s="310"/>
      <c r="BB675" s="310"/>
      <c r="BC675" s="310"/>
    </row>
    <row r="676" spans="2:55" ht="25.5" customHeight="1"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BA676" s="310"/>
      <c r="BB676" s="310"/>
      <c r="BC676" s="310"/>
    </row>
    <row r="677" spans="2:55" ht="25.5" customHeight="1"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BA677" s="310"/>
      <c r="BB677" s="310"/>
      <c r="BC677" s="310"/>
    </row>
    <row r="678" spans="2:55" ht="25.5" customHeight="1"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BA678" s="310"/>
      <c r="BB678" s="310"/>
      <c r="BC678" s="310"/>
    </row>
    <row r="679" spans="2:55" ht="25.5" customHeight="1"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BA679" s="310"/>
      <c r="BB679" s="310"/>
      <c r="BC679" s="310"/>
    </row>
    <row r="680" spans="2:55" ht="25.5" customHeight="1"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BA680" s="310"/>
      <c r="BB680" s="310"/>
      <c r="BC680" s="310"/>
    </row>
    <row r="681" spans="2:55" ht="25.5" customHeight="1"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BA681" s="310"/>
      <c r="BB681" s="310"/>
      <c r="BC681" s="310"/>
    </row>
    <row r="682" spans="2:55" ht="25.5" customHeight="1"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BA682" s="310"/>
      <c r="BB682" s="310"/>
      <c r="BC682" s="310"/>
    </row>
    <row r="683" spans="2:55" ht="25.5" customHeight="1"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BA683" s="310"/>
      <c r="BB683" s="310"/>
      <c r="BC683" s="310"/>
    </row>
    <row r="684" spans="2:55" ht="25.5" customHeight="1"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BA684" s="310"/>
      <c r="BB684" s="310"/>
      <c r="BC684" s="310"/>
    </row>
    <row r="685" spans="2:55" ht="25.5" customHeight="1"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BA685" s="310"/>
      <c r="BB685" s="310"/>
      <c r="BC685" s="310"/>
    </row>
    <row r="686" spans="2:55" ht="25.5" customHeight="1"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BA686" s="310"/>
      <c r="BB686" s="310"/>
      <c r="BC686" s="310"/>
    </row>
    <row r="687" spans="2:55" ht="25.5" customHeight="1"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BA687" s="310"/>
      <c r="BB687" s="310"/>
      <c r="BC687" s="310"/>
    </row>
    <row r="688" spans="2:55" ht="25.5" customHeight="1"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BA688" s="310"/>
      <c r="BB688" s="310"/>
      <c r="BC688" s="310"/>
    </row>
    <row r="689" spans="2:55" ht="25.5" customHeight="1"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BA689" s="310"/>
      <c r="BB689" s="310"/>
      <c r="BC689" s="310"/>
    </row>
    <row r="690" spans="2:55" ht="25.5" customHeight="1"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BA690" s="310"/>
      <c r="BB690" s="310"/>
      <c r="BC690" s="310"/>
    </row>
    <row r="691" spans="2:55" ht="25.5" customHeight="1"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BA691" s="310"/>
      <c r="BB691" s="310"/>
      <c r="BC691" s="310"/>
    </row>
    <row r="692" spans="2:55" ht="25.5" customHeight="1"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BA692" s="310"/>
      <c r="BB692" s="310"/>
      <c r="BC692" s="310"/>
    </row>
    <row r="693" spans="2:55" ht="25.5" customHeight="1"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BA693" s="310"/>
      <c r="BB693" s="310"/>
      <c r="BC693" s="310"/>
    </row>
    <row r="694" spans="2:55" ht="25.5" customHeight="1"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BA694" s="310"/>
      <c r="BB694" s="310"/>
      <c r="BC694" s="310"/>
    </row>
    <row r="695" spans="2:55" ht="25.5" customHeight="1"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BA695" s="310"/>
      <c r="BB695" s="310"/>
      <c r="BC695" s="310"/>
    </row>
    <row r="696" spans="2:55" ht="25.5" customHeight="1"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BA696" s="310"/>
      <c r="BB696" s="310"/>
      <c r="BC696" s="310"/>
    </row>
    <row r="697" spans="2:55" ht="25.5" customHeight="1"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BA697" s="310"/>
      <c r="BB697" s="310"/>
      <c r="BC697" s="310"/>
    </row>
    <row r="698" spans="2:55" ht="25.5" customHeight="1"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BA698" s="310"/>
      <c r="BB698" s="310"/>
      <c r="BC698" s="310"/>
    </row>
    <row r="699" spans="2:55" ht="25.5" customHeight="1"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BA699" s="310"/>
      <c r="BB699" s="310"/>
      <c r="BC699" s="310"/>
    </row>
    <row r="700" spans="2:55" ht="25.5" customHeight="1"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BA700" s="310"/>
      <c r="BB700" s="310"/>
      <c r="BC700" s="310"/>
    </row>
    <row r="701" spans="2:55" ht="25.5" customHeight="1"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BA701" s="310"/>
      <c r="BB701" s="310"/>
      <c r="BC701" s="310"/>
    </row>
    <row r="702" spans="2:55" ht="25.5" customHeight="1"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BA702" s="310"/>
      <c r="BB702" s="310"/>
      <c r="BC702" s="310"/>
    </row>
    <row r="703" spans="2:55" ht="25.5" customHeight="1"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BA703" s="310"/>
      <c r="BB703" s="310"/>
      <c r="BC703" s="310"/>
    </row>
    <row r="704" spans="2:55" ht="25.5" customHeight="1"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BA704" s="310"/>
      <c r="BB704" s="310"/>
      <c r="BC704" s="310"/>
    </row>
    <row r="705" spans="2:55" ht="25.5" customHeight="1"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BA705" s="310"/>
      <c r="BB705" s="310"/>
      <c r="BC705" s="310"/>
    </row>
    <row r="706" spans="2:55" ht="25.5" customHeight="1"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BA706" s="310"/>
      <c r="BB706" s="310"/>
      <c r="BC706" s="310"/>
    </row>
    <row r="707" spans="2:55" ht="25.5" customHeight="1"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BA707" s="310"/>
      <c r="BB707" s="310"/>
      <c r="BC707" s="310"/>
    </row>
    <row r="708" spans="2:55" ht="25.5" customHeight="1"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BA708" s="310"/>
      <c r="BB708" s="310"/>
      <c r="BC708" s="310"/>
    </row>
    <row r="709" spans="2:55" ht="25.5" customHeight="1"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BA709" s="310"/>
      <c r="BB709" s="310"/>
      <c r="BC709" s="310"/>
    </row>
    <row r="710" spans="2:55" ht="25.5" customHeight="1"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BA710" s="310"/>
      <c r="BB710" s="310"/>
      <c r="BC710" s="310"/>
    </row>
    <row r="711" spans="2:55" ht="25.5" customHeight="1"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BA711" s="310"/>
      <c r="BB711" s="310"/>
      <c r="BC711" s="310"/>
    </row>
    <row r="712" spans="2:55" ht="25.5" customHeight="1"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BA712" s="310"/>
      <c r="BB712" s="310"/>
      <c r="BC712" s="310"/>
    </row>
    <row r="713" spans="2:55" ht="25.5" customHeight="1"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BA713" s="310"/>
      <c r="BB713" s="310"/>
      <c r="BC713" s="310"/>
    </row>
    <row r="714" spans="2:55" ht="25.5" customHeight="1"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BA714" s="310"/>
      <c r="BB714" s="310"/>
      <c r="BC714" s="310"/>
    </row>
    <row r="715" spans="2:55" ht="25.5" customHeight="1"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BA715" s="310"/>
      <c r="BB715" s="310"/>
      <c r="BC715" s="310"/>
    </row>
    <row r="716" spans="2:55" ht="25.5" customHeight="1"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BA716" s="310"/>
      <c r="BB716" s="310"/>
      <c r="BC716" s="310"/>
    </row>
    <row r="717" spans="2:55" ht="25.5" customHeight="1"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BA717" s="310"/>
      <c r="BB717" s="310"/>
      <c r="BC717" s="310"/>
    </row>
    <row r="718" spans="2:55" ht="25.5" customHeight="1"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BA718" s="310"/>
      <c r="BB718" s="310"/>
      <c r="BC718" s="310"/>
    </row>
    <row r="719" spans="2:55" ht="25.5" customHeight="1"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BA719" s="310"/>
      <c r="BB719" s="310"/>
      <c r="BC719" s="310"/>
    </row>
    <row r="720" spans="2:55" ht="25.5" customHeight="1"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BA720" s="310"/>
      <c r="BB720" s="310"/>
      <c r="BC720" s="310"/>
    </row>
    <row r="721" spans="2:55" ht="25.5" customHeight="1"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BA721" s="310"/>
      <c r="BB721" s="310"/>
      <c r="BC721" s="310"/>
    </row>
    <row r="722" spans="2:55" ht="25.5" customHeight="1"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BA722" s="310"/>
      <c r="BB722" s="310"/>
      <c r="BC722" s="310"/>
    </row>
    <row r="723" spans="2:55" ht="25.5" customHeight="1"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BA723" s="310"/>
      <c r="BB723" s="310"/>
      <c r="BC723" s="310"/>
    </row>
    <row r="724" spans="2:55" ht="25.5" customHeight="1"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BA724" s="310"/>
      <c r="BB724" s="310"/>
      <c r="BC724" s="310"/>
    </row>
    <row r="725" spans="2:55" ht="25.5" customHeight="1"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BA725" s="310"/>
      <c r="BB725" s="310"/>
      <c r="BC725" s="310"/>
    </row>
    <row r="726" spans="2:55" ht="25.5" customHeight="1"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BA726" s="310"/>
      <c r="BB726" s="310"/>
      <c r="BC726" s="310"/>
    </row>
    <row r="727" spans="2:55" ht="25.5" customHeight="1"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BA727" s="310"/>
      <c r="BB727" s="310"/>
      <c r="BC727" s="310"/>
    </row>
    <row r="728" spans="2:55" ht="25.5" customHeight="1"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BA728" s="310"/>
      <c r="BB728" s="310"/>
      <c r="BC728" s="310"/>
    </row>
    <row r="729" spans="2:55" ht="25.5" customHeight="1"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BA729" s="310"/>
      <c r="BB729" s="310"/>
      <c r="BC729" s="310"/>
    </row>
    <row r="730" spans="2:55" ht="25.5" customHeight="1"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BA730" s="310"/>
      <c r="BB730" s="310"/>
      <c r="BC730" s="310"/>
    </row>
    <row r="731" spans="2:55" ht="25.5" customHeight="1"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BA731" s="310"/>
      <c r="BB731" s="310"/>
      <c r="BC731" s="310"/>
    </row>
    <row r="732" spans="2:55" ht="25.5" customHeight="1"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BA732" s="310"/>
      <c r="BB732" s="310"/>
      <c r="BC732" s="310"/>
    </row>
    <row r="733" spans="2:55" ht="25.5" customHeight="1"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BA733" s="310"/>
      <c r="BB733" s="310"/>
      <c r="BC733" s="310"/>
    </row>
    <row r="734" spans="2:55" ht="25.5" customHeight="1"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BA734" s="310"/>
      <c r="BB734" s="310"/>
      <c r="BC734" s="310"/>
    </row>
    <row r="735" spans="2:55" ht="25.5" customHeight="1"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BA735" s="310"/>
      <c r="BB735" s="310"/>
      <c r="BC735" s="310"/>
    </row>
    <row r="736" spans="2:55" ht="25.5" customHeight="1"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BA736" s="310"/>
      <c r="BB736" s="310"/>
      <c r="BC736" s="310"/>
    </row>
    <row r="737" spans="2:55" ht="25.5" customHeight="1"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BA737" s="310"/>
      <c r="BB737" s="310"/>
      <c r="BC737" s="310"/>
    </row>
    <row r="738" spans="2:55" ht="25.5" customHeight="1"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BA738" s="310"/>
      <c r="BB738" s="310"/>
      <c r="BC738" s="310"/>
    </row>
    <row r="739" spans="2:55" ht="25.5" customHeight="1"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BA739" s="310"/>
      <c r="BB739" s="310"/>
      <c r="BC739" s="310"/>
    </row>
    <row r="740" spans="2:55" ht="25.5" customHeight="1"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BA740" s="310"/>
      <c r="BB740" s="310"/>
      <c r="BC740" s="310"/>
    </row>
    <row r="741" spans="2:55" ht="25.5" customHeight="1"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BA741" s="310"/>
      <c r="BB741" s="310"/>
      <c r="BC741" s="310"/>
    </row>
    <row r="742" spans="2:55" ht="25.5" customHeight="1"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BA742" s="310"/>
      <c r="BB742" s="310"/>
      <c r="BC742" s="310"/>
    </row>
    <row r="743" spans="2:55" ht="25.5" customHeight="1"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BA743" s="310"/>
      <c r="BB743" s="310"/>
      <c r="BC743" s="310"/>
    </row>
    <row r="744" spans="2:55" ht="25.5" customHeight="1"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BA744" s="310"/>
      <c r="BB744" s="310"/>
      <c r="BC744" s="310"/>
    </row>
    <row r="745" spans="2:55" ht="25.5" customHeight="1"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BA745" s="310"/>
      <c r="BB745" s="310"/>
      <c r="BC745" s="310"/>
    </row>
    <row r="746" spans="2:55" ht="25.5" customHeight="1"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BA746" s="310"/>
      <c r="BB746" s="310"/>
      <c r="BC746" s="310"/>
    </row>
    <row r="747" spans="2:55" ht="25.5" customHeight="1"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BA747" s="310"/>
      <c r="BB747" s="310"/>
      <c r="BC747" s="310"/>
    </row>
    <row r="748" spans="2:55" ht="25.5" customHeight="1"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BA748" s="310"/>
      <c r="BB748" s="310"/>
      <c r="BC748" s="310"/>
    </row>
    <row r="749" spans="2:55" ht="25.5" customHeight="1"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BA749" s="310"/>
      <c r="BB749" s="310"/>
      <c r="BC749" s="310"/>
    </row>
    <row r="750" spans="2:55" ht="25.5" customHeight="1"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BA750" s="310"/>
      <c r="BB750" s="310"/>
      <c r="BC750" s="310"/>
    </row>
    <row r="751" spans="2:55" ht="25.5" customHeight="1"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BA751" s="310"/>
      <c r="BB751" s="310"/>
      <c r="BC751" s="310"/>
    </row>
    <row r="752" spans="2:55" ht="25.5" customHeight="1"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BA752" s="310"/>
      <c r="BB752" s="310"/>
      <c r="BC752" s="310"/>
    </row>
    <row r="753" spans="2:55" ht="25.5" customHeight="1"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BA753" s="310"/>
      <c r="BB753" s="310"/>
      <c r="BC753" s="310"/>
    </row>
    <row r="754" spans="2:55" ht="25.5" customHeight="1"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BA754" s="310"/>
      <c r="BB754" s="310"/>
      <c r="BC754" s="310"/>
    </row>
    <row r="755" spans="2:55" ht="25.5" customHeight="1"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BA755" s="310"/>
      <c r="BB755" s="310"/>
      <c r="BC755" s="310"/>
    </row>
    <row r="756" spans="2:55" ht="25.5" customHeight="1"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BA756" s="310"/>
      <c r="BB756" s="310"/>
      <c r="BC756" s="310"/>
    </row>
    <row r="757" spans="2:55" ht="25.5" customHeight="1"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BA757" s="310"/>
      <c r="BB757" s="310"/>
      <c r="BC757" s="310"/>
    </row>
    <row r="758" spans="2:55" ht="25.5" customHeight="1"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BA758" s="310"/>
      <c r="BB758" s="310"/>
      <c r="BC758" s="310"/>
    </row>
    <row r="759" spans="2:55" ht="25.5" customHeight="1"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BA759" s="310"/>
      <c r="BB759" s="310"/>
      <c r="BC759" s="310"/>
    </row>
    <row r="760" spans="2:55" ht="25.5" customHeight="1"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BA760" s="310"/>
      <c r="BB760" s="310"/>
      <c r="BC760" s="310"/>
    </row>
    <row r="761" spans="2:55" ht="25.5" customHeight="1"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BA761" s="310"/>
      <c r="BB761" s="310"/>
      <c r="BC761" s="310"/>
    </row>
    <row r="762" spans="2:55" ht="25.5" customHeight="1"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BA762" s="310"/>
      <c r="BB762" s="310"/>
      <c r="BC762" s="310"/>
    </row>
    <row r="763" spans="2:55" ht="25.5" customHeight="1"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BA763" s="310"/>
      <c r="BB763" s="310"/>
      <c r="BC763" s="310"/>
    </row>
    <row r="764" spans="2:55" ht="25.5" customHeight="1"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BA764" s="310"/>
      <c r="BB764" s="310"/>
      <c r="BC764" s="310"/>
    </row>
    <row r="765" spans="2:55" ht="25.5" customHeight="1"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BA765" s="310"/>
      <c r="BB765" s="310"/>
      <c r="BC765" s="310"/>
    </row>
    <row r="766" spans="2:55" ht="25.5" customHeight="1"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BA766" s="310"/>
      <c r="BB766" s="310"/>
      <c r="BC766" s="310"/>
    </row>
    <row r="767" spans="2:55" ht="25.5" customHeight="1"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BA767" s="310"/>
      <c r="BB767" s="310"/>
      <c r="BC767" s="310"/>
    </row>
    <row r="768" spans="2:55" ht="25.5" customHeight="1"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BA768" s="310"/>
      <c r="BB768" s="310"/>
      <c r="BC768" s="310"/>
    </row>
    <row r="769" spans="2:55" ht="25.5" customHeight="1"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BA769" s="310"/>
      <c r="BB769" s="310"/>
      <c r="BC769" s="310"/>
    </row>
    <row r="770" spans="2:55" ht="25.5" customHeight="1"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BA770" s="310"/>
      <c r="BB770" s="310"/>
      <c r="BC770" s="310"/>
    </row>
    <row r="771" spans="2:55" ht="25.5" customHeight="1"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BA771" s="310"/>
      <c r="BB771" s="310"/>
      <c r="BC771" s="310"/>
    </row>
    <row r="772" spans="2:55" ht="25.5" customHeight="1"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BA772" s="310"/>
      <c r="BB772" s="310"/>
      <c r="BC772" s="310"/>
    </row>
    <row r="773" spans="2:55" ht="25.5" customHeight="1"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BA773" s="310"/>
      <c r="BB773" s="310"/>
      <c r="BC773" s="310"/>
    </row>
    <row r="774" spans="2:55" ht="25.5" customHeight="1"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BA774" s="310"/>
      <c r="BB774" s="310"/>
      <c r="BC774" s="310"/>
    </row>
    <row r="775" spans="2:55" ht="25.5" customHeight="1"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BA775" s="310"/>
      <c r="BB775" s="310"/>
      <c r="BC775" s="310"/>
    </row>
    <row r="776" spans="2:55" ht="25.5" customHeight="1"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BA776" s="310"/>
      <c r="BB776" s="310"/>
      <c r="BC776" s="310"/>
    </row>
    <row r="777" spans="2:55" ht="25.5" customHeight="1"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BA777" s="310"/>
      <c r="BB777" s="310"/>
      <c r="BC777" s="310"/>
    </row>
    <row r="778" spans="2:55" ht="25.5" customHeight="1"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BA778" s="310"/>
      <c r="BB778" s="310"/>
      <c r="BC778" s="310"/>
    </row>
    <row r="779" spans="2:55" ht="25.5" customHeight="1"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BA779" s="310"/>
      <c r="BB779" s="310"/>
      <c r="BC779" s="310"/>
    </row>
    <row r="780" spans="2:55" ht="25.5" customHeight="1"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BA780" s="310"/>
      <c r="BB780" s="310"/>
      <c r="BC780" s="310"/>
    </row>
    <row r="781" spans="2:55" ht="25.5" customHeight="1"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BA781" s="310"/>
      <c r="BB781" s="310"/>
      <c r="BC781" s="310"/>
    </row>
    <row r="782" spans="2:55" ht="25.5" customHeight="1"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BA782" s="310"/>
      <c r="BB782" s="310"/>
      <c r="BC782" s="310"/>
    </row>
    <row r="783" spans="2:55" ht="25.5" customHeight="1"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BA783" s="310"/>
      <c r="BB783" s="310"/>
      <c r="BC783" s="310"/>
    </row>
    <row r="784" spans="2:55" ht="25.5" customHeight="1"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BA784" s="310"/>
      <c r="BB784" s="310"/>
      <c r="BC784" s="310"/>
    </row>
    <row r="785" spans="2:55" ht="25.5" customHeight="1"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BA785" s="310"/>
      <c r="BB785" s="310"/>
      <c r="BC785" s="310"/>
    </row>
    <row r="786" spans="2:55" ht="25.5" customHeight="1"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BA786" s="310"/>
      <c r="BB786" s="310"/>
      <c r="BC786" s="310"/>
    </row>
    <row r="787" spans="2:55" ht="25.5" customHeight="1"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BA787" s="310"/>
      <c r="BB787" s="310"/>
      <c r="BC787" s="310"/>
    </row>
    <row r="788" spans="2:55" ht="25.5" customHeight="1"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BA788" s="310"/>
      <c r="BB788" s="310"/>
      <c r="BC788" s="310"/>
    </row>
    <row r="789" spans="2:55" ht="25.5" customHeight="1"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BA789" s="310"/>
      <c r="BB789" s="310"/>
      <c r="BC789" s="310"/>
    </row>
    <row r="790" spans="2:55" ht="25.5" customHeight="1"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BA790" s="310"/>
      <c r="BB790" s="310"/>
      <c r="BC790" s="310"/>
    </row>
    <row r="791" spans="2:55" ht="25.5" customHeight="1"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BA791" s="310"/>
      <c r="BB791" s="310"/>
      <c r="BC791" s="310"/>
    </row>
    <row r="792" spans="2:55" ht="25.5" customHeight="1"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BA792" s="310"/>
      <c r="BB792" s="310"/>
      <c r="BC792" s="310"/>
    </row>
    <row r="793" spans="2:55" ht="25.5" customHeight="1"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BA793" s="310"/>
      <c r="BB793" s="310"/>
      <c r="BC793" s="310"/>
    </row>
    <row r="794" spans="2:55" ht="25.5" customHeight="1"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BA794" s="310"/>
      <c r="BB794" s="310"/>
      <c r="BC794" s="310"/>
    </row>
    <row r="795" spans="2:55" ht="25.5" customHeight="1"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BA795" s="310"/>
      <c r="BB795" s="310"/>
      <c r="BC795" s="310"/>
    </row>
    <row r="796" spans="2:55" ht="25.5" customHeight="1"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BA796" s="310"/>
      <c r="BB796" s="310"/>
      <c r="BC796" s="310"/>
    </row>
    <row r="797" spans="2:55" ht="25.5" customHeight="1"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BA797" s="310"/>
      <c r="BB797" s="310"/>
      <c r="BC797" s="310"/>
    </row>
    <row r="798" spans="2:55" ht="25.5" customHeight="1"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BA798" s="310"/>
      <c r="BB798" s="310"/>
      <c r="BC798" s="310"/>
    </row>
    <row r="799" spans="2:55" ht="25.5" customHeight="1"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BA799" s="310"/>
      <c r="BB799" s="310"/>
      <c r="BC799" s="310"/>
    </row>
    <row r="800" spans="2:55" ht="25.5" customHeight="1"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BA800" s="310"/>
      <c r="BB800" s="310"/>
      <c r="BC800" s="310"/>
    </row>
    <row r="801" spans="2:55" ht="25.5" customHeight="1"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BA801" s="310"/>
      <c r="BB801" s="310"/>
      <c r="BC801" s="310"/>
    </row>
    <row r="802" spans="2:55" ht="25.5" customHeight="1"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BA802" s="310"/>
      <c r="BB802" s="310"/>
      <c r="BC802" s="310"/>
    </row>
    <row r="803" spans="2:55" ht="25.5" customHeight="1"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BA803" s="310"/>
      <c r="BB803" s="310"/>
      <c r="BC803" s="310"/>
    </row>
    <row r="804" spans="2:55" ht="25.5" customHeight="1"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BA804" s="310"/>
      <c r="BB804" s="310"/>
      <c r="BC804" s="310"/>
    </row>
    <row r="805" spans="2:55" ht="25.5" customHeight="1"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BA805" s="310"/>
      <c r="BB805" s="310"/>
      <c r="BC805" s="310"/>
    </row>
    <row r="806" spans="2:55" ht="25.5" customHeight="1"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BA806" s="310"/>
      <c r="BB806" s="310"/>
      <c r="BC806" s="310"/>
    </row>
    <row r="807" spans="2:55" ht="25.5" customHeight="1"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BA807" s="310"/>
      <c r="BB807" s="310"/>
      <c r="BC807" s="310"/>
    </row>
    <row r="808" spans="2:55" ht="25.5" customHeight="1"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BA808" s="310"/>
      <c r="BB808" s="310"/>
      <c r="BC808" s="310"/>
    </row>
    <row r="809" spans="2:55" ht="25.5" customHeight="1"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BA809" s="310"/>
      <c r="BB809" s="310"/>
      <c r="BC809" s="310"/>
    </row>
    <row r="810" spans="2:55" ht="25.5" customHeight="1"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BA810" s="310"/>
      <c r="BB810" s="310"/>
      <c r="BC810" s="310"/>
    </row>
    <row r="811" spans="2:55" ht="25.5" customHeight="1"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BA811" s="310"/>
      <c r="BB811" s="310"/>
      <c r="BC811" s="310"/>
    </row>
    <row r="812" spans="2:55" ht="25.5" customHeight="1"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BA812" s="310"/>
      <c r="BB812" s="310"/>
      <c r="BC812" s="310"/>
    </row>
    <row r="813" spans="2:55" ht="25.5" customHeight="1"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BA813" s="310"/>
      <c r="BB813" s="310"/>
      <c r="BC813" s="310"/>
    </row>
    <row r="814" spans="2:55" ht="25.5" customHeight="1"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BA814" s="310"/>
      <c r="BB814" s="310"/>
      <c r="BC814" s="310"/>
    </row>
    <row r="815" spans="2:55" ht="25.5" customHeight="1"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BA815" s="310"/>
      <c r="BB815" s="310"/>
      <c r="BC815" s="310"/>
    </row>
    <row r="816" spans="2:55" ht="25.5" customHeight="1"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BA816" s="310"/>
      <c r="BB816" s="310"/>
      <c r="BC816" s="310"/>
    </row>
    <row r="817" spans="2:55" ht="25.5" customHeight="1"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BA817" s="310"/>
      <c r="BB817" s="310"/>
      <c r="BC817" s="310"/>
    </row>
    <row r="818" spans="2:55" ht="25.5" customHeight="1"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BA818" s="310"/>
      <c r="BB818" s="310"/>
      <c r="BC818" s="310"/>
    </row>
    <row r="819" spans="2:55" ht="25.5" customHeight="1"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BA819" s="310"/>
      <c r="BB819" s="310"/>
      <c r="BC819" s="310"/>
    </row>
    <row r="820" spans="2:55" ht="25.5" customHeight="1"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BA820" s="310"/>
      <c r="BB820" s="310"/>
      <c r="BC820" s="310"/>
    </row>
    <row r="821" spans="2:55" ht="25.5" customHeight="1"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BA821" s="310"/>
      <c r="BB821" s="310"/>
      <c r="BC821" s="310"/>
    </row>
    <row r="822" spans="2:55" ht="25.5" customHeight="1"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BA822" s="310"/>
      <c r="BB822" s="310"/>
      <c r="BC822" s="310"/>
    </row>
    <row r="823" spans="2:55" ht="25.5" customHeight="1"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BA823" s="310"/>
      <c r="BB823" s="310"/>
      <c r="BC823" s="310"/>
    </row>
    <row r="824" spans="2:55" ht="25.5" customHeight="1"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BA824" s="310"/>
      <c r="BB824" s="310"/>
      <c r="BC824" s="310"/>
    </row>
    <row r="825" spans="2:55" ht="25.5" customHeight="1"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BA825" s="310"/>
      <c r="BB825" s="310"/>
      <c r="BC825" s="310"/>
    </row>
    <row r="826" spans="2:55" ht="25.5" customHeight="1"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BA826" s="310"/>
      <c r="BB826" s="310"/>
      <c r="BC826" s="310"/>
    </row>
    <row r="827" spans="2:55" ht="25.5" customHeight="1"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BA827" s="310"/>
      <c r="BB827" s="310"/>
      <c r="BC827" s="310"/>
    </row>
    <row r="828" spans="2:55" ht="25.5" customHeight="1"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BA828" s="310"/>
      <c r="BB828" s="310"/>
      <c r="BC828" s="310"/>
    </row>
    <row r="829" spans="2:55" ht="25.5" customHeight="1"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BA829" s="310"/>
      <c r="BB829" s="310"/>
      <c r="BC829" s="310"/>
    </row>
    <row r="830" spans="2:55" ht="25.5" customHeight="1"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BA830" s="310"/>
      <c r="BB830" s="310"/>
      <c r="BC830" s="310"/>
    </row>
    <row r="831" spans="2:55" ht="25.5" customHeight="1"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BA831" s="310"/>
      <c r="BB831" s="310"/>
      <c r="BC831" s="310"/>
    </row>
    <row r="832" spans="2:55" ht="25.5" customHeight="1"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BA832" s="310"/>
      <c r="BB832" s="310"/>
      <c r="BC832" s="310"/>
    </row>
    <row r="833" spans="2:55" ht="25.5" customHeight="1"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BA833" s="310"/>
      <c r="BB833" s="310"/>
      <c r="BC833" s="310"/>
    </row>
    <row r="834" spans="2:55" ht="25.5" customHeight="1"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BA834" s="310"/>
      <c r="BB834" s="310"/>
      <c r="BC834" s="310"/>
    </row>
    <row r="835" spans="2:55" ht="25.5" customHeight="1"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BA835" s="310"/>
      <c r="BB835" s="310"/>
      <c r="BC835" s="310"/>
    </row>
    <row r="836" spans="2:55" ht="25.5" customHeight="1"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BA836" s="310"/>
      <c r="BB836" s="310"/>
      <c r="BC836" s="310"/>
    </row>
    <row r="837" spans="2:55" ht="25.5" customHeight="1"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BA837" s="310"/>
      <c r="BB837" s="310"/>
      <c r="BC837" s="310"/>
    </row>
    <row r="838" spans="2:55" ht="25.5" customHeight="1"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BA838" s="310"/>
      <c r="BB838" s="310"/>
      <c r="BC838" s="310"/>
    </row>
    <row r="839" spans="2:55" ht="25.5" customHeight="1"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BA839" s="310"/>
      <c r="BB839" s="310"/>
      <c r="BC839" s="310"/>
    </row>
    <row r="840" spans="2:55" ht="25.5" customHeight="1"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BA840" s="310"/>
      <c r="BB840" s="310"/>
      <c r="BC840" s="310"/>
    </row>
    <row r="841" spans="2:55" ht="25.5" customHeight="1"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BA841" s="310"/>
      <c r="BB841" s="310"/>
      <c r="BC841" s="310"/>
    </row>
    <row r="842" spans="2:55" ht="25.5" customHeight="1"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BA842" s="310"/>
      <c r="BB842" s="310"/>
      <c r="BC842" s="310"/>
    </row>
    <row r="843" spans="2:55" ht="25.5" customHeight="1"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BA843" s="310"/>
      <c r="BB843" s="310"/>
      <c r="BC843" s="310"/>
    </row>
    <row r="844" spans="2:55" ht="25.5" customHeight="1"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BA844" s="310"/>
      <c r="BB844" s="310"/>
      <c r="BC844" s="310"/>
    </row>
    <row r="845" spans="2:55" ht="25.5" customHeight="1"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BA845" s="310"/>
      <c r="BB845" s="310"/>
      <c r="BC845" s="310"/>
    </row>
    <row r="846" spans="2:55" ht="25.5" customHeight="1"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BA846" s="310"/>
      <c r="BB846" s="310"/>
      <c r="BC846" s="310"/>
    </row>
    <row r="847" spans="2:55" ht="25.5" customHeight="1"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BA847" s="310"/>
      <c r="BB847" s="310"/>
      <c r="BC847" s="310"/>
    </row>
    <row r="848" spans="2:55" ht="25.5" customHeight="1"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BA848" s="310"/>
      <c r="BB848" s="310"/>
      <c r="BC848" s="310"/>
    </row>
    <row r="849" spans="2:55" ht="25.5" customHeight="1"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BA849" s="310"/>
      <c r="BB849" s="310"/>
      <c r="BC849" s="310"/>
    </row>
    <row r="850" spans="2:55" ht="25.5" customHeight="1"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BA850" s="310"/>
      <c r="BB850" s="310"/>
      <c r="BC850" s="310"/>
    </row>
    <row r="851" spans="2:55" ht="25.5" customHeight="1"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BA851" s="310"/>
      <c r="BB851" s="310"/>
      <c r="BC851" s="310"/>
    </row>
    <row r="852" spans="2:55" ht="25.5" customHeight="1"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BA852" s="310"/>
      <c r="BB852" s="310"/>
      <c r="BC852" s="310"/>
    </row>
    <row r="853" spans="2:55" ht="25.5" customHeight="1"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BA853" s="310"/>
      <c r="BB853" s="310"/>
      <c r="BC853" s="310"/>
    </row>
    <row r="854" spans="2:55" ht="25.5" customHeight="1"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BA854" s="310"/>
      <c r="BB854" s="310"/>
      <c r="BC854" s="310"/>
    </row>
    <row r="855" spans="2:55" ht="25.5" customHeight="1"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BA855" s="310"/>
      <c r="BB855" s="310"/>
      <c r="BC855" s="310"/>
    </row>
    <row r="856" spans="2:55" ht="25.5" customHeight="1"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BA856" s="310"/>
      <c r="BB856" s="310"/>
      <c r="BC856" s="310"/>
    </row>
    <row r="857" spans="2:55" ht="25.5" customHeight="1"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BA857" s="310"/>
      <c r="BB857" s="310"/>
      <c r="BC857" s="310"/>
    </row>
    <row r="858" spans="2:55" ht="25.5" customHeight="1"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BA858" s="310"/>
      <c r="BB858" s="310"/>
      <c r="BC858" s="310"/>
    </row>
    <row r="859" spans="2:55" ht="25.5" customHeight="1"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BA859" s="310"/>
      <c r="BB859" s="310"/>
      <c r="BC859" s="310"/>
    </row>
    <row r="860" spans="2:55" ht="25.5" customHeight="1"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BA860" s="310"/>
      <c r="BB860" s="310"/>
      <c r="BC860" s="310"/>
    </row>
    <row r="861" spans="2:55" ht="25.5" customHeight="1"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BA861" s="310"/>
      <c r="BB861" s="310"/>
      <c r="BC861" s="310"/>
    </row>
    <row r="862" spans="2:55" ht="25.5" customHeight="1"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BA862" s="310"/>
      <c r="BB862" s="310"/>
      <c r="BC862" s="310"/>
    </row>
    <row r="863" spans="2:55" ht="25.5" customHeight="1"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BA863" s="310"/>
      <c r="BB863" s="310"/>
      <c r="BC863" s="310"/>
    </row>
    <row r="864" spans="2:55" ht="25.5" customHeight="1"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BA864" s="310"/>
      <c r="BB864" s="310"/>
      <c r="BC864" s="310"/>
    </row>
    <row r="865" spans="2:55" ht="25.5" customHeight="1"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BA865" s="310"/>
      <c r="BB865" s="310"/>
      <c r="BC865" s="310"/>
    </row>
    <row r="866" spans="2:55" ht="25.5" customHeight="1"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BA866" s="310"/>
      <c r="BB866" s="310"/>
      <c r="BC866" s="310"/>
    </row>
    <row r="867" spans="2:55" ht="25.5" customHeight="1"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BA867" s="310"/>
      <c r="BB867" s="310"/>
      <c r="BC867" s="310"/>
    </row>
    <row r="868" spans="2:55" ht="25.5" customHeight="1"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BA868" s="310"/>
      <c r="BB868" s="310"/>
      <c r="BC868" s="310"/>
    </row>
    <row r="869" spans="2:55" ht="25.5" customHeight="1"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BA869" s="310"/>
      <c r="BB869" s="310"/>
      <c r="BC869" s="310"/>
    </row>
    <row r="870" spans="2:55" ht="25.5" customHeight="1"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BA870" s="310"/>
      <c r="BB870" s="310"/>
      <c r="BC870" s="310"/>
    </row>
    <row r="871" spans="2:55" ht="25.5" customHeight="1"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BA871" s="310"/>
      <c r="BB871" s="310"/>
      <c r="BC871" s="310"/>
    </row>
    <row r="872" spans="2:55" ht="25.5" customHeight="1"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BA872" s="310"/>
      <c r="BB872" s="310"/>
      <c r="BC872" s="310"/>
    </row>
    <row r="873" spans="2:55" ht="25.5" customHeight="1"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BA873" s="310"/>
      <c r="BB873" s="310"/>
      <c r="BC873" s="310"/>
    </row>
    <row r="874" spans="2:55" ht="25.5" customHeight="1"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BA874" s="310"/>
      <c r="BB874" s="310"/>
      <c r="BC874" s="310"/>
    </row>
    <row r="875" spans="2:55" ht="25.5" customHeight="1"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BA875" s="310"/>
      <c r="BB875" s="310"/>
      <c r="BC875" s="310"/>
    </row>
    <row r="876" spans="2:55" ht="25.5" customHeight="1"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BA876" s="310"/>
      <c r="BB876" s="310"/>
      <c r="BC876" s="310"/>
    </row>
    <row r="877" spans="2:55" ht="25.5" customHeight="1"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BA877" s="310"/>
      <c r="BB877" s="310"/>
      <c r="BC877" s="310"/>
    </row>
    <row r="878" spans="2:55" ht="25.5" customHeight="1"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BA878" s="310"/>
      <c r="BB878" s="310"/>
      <c r="BC878" s="310"/>
    </row>
    <row r="879" spans="2:55" ht="25.5" customHeight="1"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BA879" s="310"/>
      <c r="BB879" s="310"/>
      <c r="BC879" s="310"/>
    </row>
    <row r="880" spans="2:55" ht="25.5" customHeight="1"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BA880" s="310"/>
      <c r="BB880" s="310"/>
      <c r="BC880" s="310"/>
    </row>
    <row r="881" spans="2:55" ht="25.5" customHeight="1"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BA881" s="310"/>
      <c r="BB881" s="310"/>
      <c r="BC881" s="310"/>
    </row>
    <row r="882" spans="2:55" ht="25.5" customHeight="1"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BA882" s="310"/>
      <c r="BB882" s="310"/>
      <c r="BC882" s="310"/>
    </row>
    <row r="883" spans="2:55" ht="25.5" customHeight="1"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BA883" s="310"/>
      <c r="BB883" s="310"/>
      <c r="BC883" s="310"/>
    </row>
    <row r="884" spans="2:55" ht="25.5" customHeight="1"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BA884" s="310"/>
      <c r="BB884" s="310"/>
      <c r="BC884" s="310"/>
    </row>
    <row r="885" spans="2:55" ht="25.5" customHeight="1"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BA885" s="310"/>
      <c r="BB885" s="310"/>
      <c r="BC885" s="310"/>
    </row>
    <row r="886" spans="2:55" ht="25.5" customHeight="1"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BA886" s="310"/>
      <c r="BB886" s="310"/>
      <c r="BC886" s="310"/>
    </row>
    <row r="887" spans="2:55" ht="25.5" customHeight="1"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BA887" s="310"/>
      <c r="BB887" s="310"/>
      <c r="BC887" s="310"/>
    </row>
    <row r="888" spans="2:55" ht="25.5" customHeight="1"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BA888" s="310"/>
      <c r="BB888" s="310"/>
      <c r="BC888" s="310"/>
    </row>
    <row r="889" spans="2:55" ht="25.5" customHeight="1"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BA889" s="310"/>
      <c r="BB889" s="310"/>
      <c r="BC889" s="310"/>
    </row>
    <row r="890" spans="2:55" ht="25.5" customHeight="1"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BA890" s="310"/>
      <c r="BB890" s="310"/>
      <c r="BC890" s="310"/>
    </row>
    <row r="891" spans="2:55" ht="25.5" customHeight="1"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BA891" s="310"/>
      <c r="BB891" s="310"/>
      <c r="BC891" s="310"/>
    </row>
    <row r="892" spans="2:55" ht="25.5" customHeight="1"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BA892" s="310"/>
      <c r="BB892" s="310"/>
      <c r="BC892" s="310"/>
    </row>
    <row r="893" spans="2:55" ht="25.5" customHeight="1"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BA893" s="310"/>
      <c r="BB893" s="310"/>
      <c r="BC893" s="310"/>
    </row>
    <row r="894" spans="2:55" ht="25.5" customHeight="1"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BA894" s="310"/>
      <c r="BB894" s="310"/>
      <c r="BC894" s="310"/>
    </row>
    <row r="895" spans="2:55" ht="25.5" customHeight="1"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BA895" s="310"/>
      <c r="BB895" s="310"/>
      <c r="BC895" s="310"/>
    </row>
    <row r="896" spans="2:55" ht="25.5" customHeight="1"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BA896" s="310"/>
      <c r="BB896" s="310"/>
      <c r="BC896" s="310"/>
    </row>
    <row r="897" spans="2:55" ht="25.5" customHeight="1"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BA897" s="310"/>
      <c r="BB897" s="310"/>
      <c r="BC897" s="310"/>
    </row>
    <row r="898" spans="2:55" ht="25.5" customHeight="1"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BA898" s="310"/>
      <c r="BB898" s="310"/>
      <c r="BC898" s="310"/>
    </row>
    <row r="899" spans="2:55" ht="25.5" customHeight="1"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BA899" s="310"/>
      <c r="BB899" s="310"/>
      <c r="BC899" s="310"/>
    </row>
    <row r="900" spans="2:55" ht="25.5" customHeight="1"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BA900" s="310"/>
      <c r="BB900" s="310"/>
      <c r="BC900" s="310"/>
    </row>
    <row r="901" spans="2:55" ht="25.5" customHeight="1"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BA901" s="310"/>
      <c r="BB901" s="310"/>
      <c r="BC901" s="310"/>
    </row>
    <row r="902" spans="2:55" ht="25.5" customHeight="1"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BA902" s="310"/>
      <c r="BB902" s="310"/>
      <c r="BC902" s="310"/>
    </row>
    <row r="903" spans="2:55" ht="25.5" customHeight="1"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BA903" s="310"/>
      <c r="BB903" s="310"/>
      <c r="BC903" s="310"/>
    </row>
    <row r="904" spans="2:55" ht="25.5" customHeight="1"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BA904" s="310"/>
      <c r="BB904" s="310"/>
      <c r="BC904" s="310"/>
    </row>
    <row r="905" spans="2:55" ht="25.5" customHeight="1"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BA905" s="310"/>
      <c r="BB905" s="310"/>
      <c r="BC905" s="310"/>
    </row>
    <row r="906" spans="2:55" ht="25.5" customHeight="1"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BA906" s="310"/>
      <c r="BB906" s="310"/>
      <c r="BC906" s="310"/>
    </row>
    <row r="907" spans="2:55" ht="25.5" customHeight="1"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BA907" s="310"/>
      <c r="BB907" s="310"/>
      <c r="BC907" s="310"/>
    </row>
    <row r="908" spans="2:55" ht="25.5" customHeight="1"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BA908" s="310"/>
      <c r="BB908" s="310"/>
      <c r="BC908" s="310"/>
    </row>
    <row r="909" spans="2:55" ht="25.5" customHeight="1"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BA909" s="310"/>
      <c r="BB909" s="310"/>
      <c r="BC909" s="310"/>
    </row>
    <row r="910" spans="2:55" ht="25.5" customHeight="1"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BA910" s="310"/>
      <c r="BB910" s="310"/>
      <c r="BC910" s="310"/>
    </row>
    <row r="911" spans="2:55" ht="25.5" customHeight="1"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BA911" s="310"/>
      <c r="BB911" s="310"/>
      <c r="BC911" s="310"/>
    </row>
    <row r="912" spans="2:55" ht="25.5" customHeight="1"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BA912" s="310"/>
      <c r="BB912" s="310"/>
      <c r="BC912" s="310"/>
    </row>
    <row r="913" spans="2:55" ht="25.5" customHeight="1"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BA913" s="310"/>
      <c r="BB913" s="310"/>
      <c r="BC913" s="310"/>
    </row>
    <row r="914" spans="2:55" ht="25.5" customHeight="1"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BA914" s="310"/>
      <c r="BB914" s="310"/>
      <c r="BC914" s="310"/>
    </row>
    <row r="915" spans="2:55" ht="25.5" customHeight="1"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BA915" s="310"/>
      <c r="BB915" s="310"/>
      <c r="BC915" s="310"/>
    </row>
    <row r="916" spans="2:55" ht="25.5" customHeight="1"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BA916" s="310"/>
      <c r="BB916" s="310"/>
      <c r="BC916" s="310"/>
    </row>
    <row r="917" spans="2:55" ht="25.5" customHeight="1"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BA917" s="310"/>
      <c r="BB917" s="310"/>
      <c r="BC917" s="310"/>
    </row>
    <row r="918" spans="2:55" ht="25.5" customHeight="1"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BA918" s="310"/>
      <c r="BB918" s="310"/>
      <c r="BC918" s="310"/>
    </row>
    <row r="919" spans="2:55" ht="25.5" customHeight="1"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BA919" s="310"/>
      <c r="BB919" s="310"/>
      <c r="BC919" s="310"/>
    </row>
    <row r="920" spans="2:55" ht="25.5" customHeight="1"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BA920" s="310"/>
      <c r="BB920" s="310"/>
      <c r="BC920" s="310"/>
    </row>
    <row r="921" spans="2:55" ht="25.5" customHeight="1"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BA921" s="310"/>
      <c r="BB921" s="310"/>
      <c r="BC921" s="310"/>
    </row>
    <row r="922" spans="2:55" ht="25.5" customHeight="1"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BA922" s="310"/>
      <c r="BB922" s="310"/>
      <c r="BC922" s="310"/>
    </row>
    <row r="923" spans="2:55" ht="25.5" customHeight="1"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BA923" s="310"/>
      <c r="BB923" s="310"/>
      <c r="BC923" s="310"/>
    </row>
    <row r="924" spans="2:55" ht="25.5" customHeight="1"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BA924" s="310"/>
      <c r="BB924" s="310"/>
      <c r="BC924" s="310"/>
    </row>
    <row r="925" spans="2:55" ht="25.5" customHeight="1"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BA925" s="310"/>
      <c r="BB925" s="310"/>
      <c r="BC925" s="310"/>
    </row>
    <row r="926" spans="2:55" ht="25.5" customHeight="1"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BA926" s="310"/>
      <c r="BB926" s="310"/>
      <c r="BC926" s="310"/>
    </row>
    <row r="927" spans="2:55" ht="25.5" customHeight="1"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BA927" s="310"/>
      <c r="BB927" s="310"/>
      <c r="BC927" s="310"/>
    </row>
    <row r="928" spans="2:55" ht="25.5" customHeight="1"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BA928" s="310"/>
      <c r="BB928" s="310"/>
      <c r="BC928" s="310"/>
    </row>
    <row r="929" spans="2:55" ht="25.5" customHeight="1"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BA929" s="310"/>
      <c r="BB929" s="310"/>
      <c r="BC929" s="310"/>
    </row>
    <row r="930" spans="2:55" ht="25.5" customHeight="1"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BA930" s="310"/>
      <c r="BB930" s="310"/>
      <c r="BC930" s="310"/>
    </row>
    <row r="931" spans="2:55" ht="25.5" customHeight="1"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BA931" s="310"/>
      <c r="BB931" s="310"/>
      <c r="BC931" s="310"/>
    </row>
    <row r="932" spans="2:55" ht="25.5" customHeight="1"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BA932" s="310"/>
      <c r="BB932" s="310"/>
      <c r="BC932" s="310"/>
    </row>
    <row r="933" spans="2:55" ht="25.5" customHeight="1"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BA933" s="310"/>
      <c r="BB933" s="310"/>
      <c r="BC933" s="310"/>
    </row>
    <row r="934" spans="2:55" ht="25.5" customHeight="1"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BA934" s="310"/>
      <c r="BB934" s="310"/>
      <c r="BC934" s="310"/>
    </row>
    <row r="935" spans="2:55" ht="25.5" customHeight="1"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BA935" s="310"/>
      <c r="BB935" s="310"/>
      <c r="BC935" s="310"/>
    </row>
    <row r="936" spans="2:55" ht="25.5" customHeight="1"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BA936" s="310"/>
      <c r="BB936" s="310"/>
      <c r="BC936" s="310"/>
    </row>
    <row r="937" spans="2:55" ht="25.5" customHeight="1"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BA937" s="310"/>
      <c r="BB937" s="310"/>
      <c r="BC937" s="310"/>
    </row>
    <row r="938" spans="2:55" ht="25.5" customHeight="1"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BA938" s="310"/>
      <c r="BB938" s="310"/>
      <c r="BC938" s="310"/>
    </row>
    <row r="939" spans="2:55" ht="25.5" customHeight="1"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BA939" s="310"/>
      <c r="BB939" s="310"/>
      <c r="BC939" s="310"/>
    </row>
    <row r="940" spans="2:55" ht="25.5" customHeight="1"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BA940" s="310"/>
      <c r="BB940" s="310"/>
      <c r="BC940" s="310"/>
    </row>
    <row r="941" spans="2:55" ht="25.5" customHeight="1"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BA941" s="310"/>
      <c r="BB941" s="310"/>
      <c r="BC941" s="310"/>
    </row>
    <row r="942" spans="2:55" ht="25.5" customHeight="1"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BA942" s="310"/>
      <c r="BB942" s="310"/>
      <c r="BC942" s="310"/>
    </row>
    <row r="943" spans="2:55" ht="25.5" customHeight="1"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BA943" s="310"/>
      <c r="BB943" s="310"/>
      <c r="BC943" s="310"/>
    </row>
    <row r="944" spans="2:55" ht="25.5" customHeight="1"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BA944" s="310"/>
      <c r="BB944" s="310"/>
      <c r="BC944" s="310"/>
    </row>
    <row r="945" spans="2:55" ht="25.5" customHeight="1"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BA945" s="310"/>
      <c r="BB945" s="310"/>
      <c r="BC945" s="310"/>
    </row>
    <row r="946" spans="2:55" ht="25.5" customHeight="1"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BA946" s="310"/>
      <c r="BB946" s="310"/>
      <c r="BC946" s="310"/>
    </row>
    <row r="947" spans="2:55" ht="25.5" customHeight="1"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BA947" s="310"/>
      <c r="BB947" s="310"/>
      <c r="BC947" s="310"/>
    </row>
    <row r="948" spans="2:55" ht="25.5" customHeight="1"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BA948" s="310"/>
      <c r="BB948" s="310"/>
      <c r="BC948" s="310"/>
    </row>
    <row r="949" spans="2:55" ht="25.5" customHeight="1"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BA949" s="310"/>
      <c r="BB949" s="310"/>
      <c r="BC949" s="310"/>
    </row>
    <row r="950" spans="2:55" ht="25.5" customHeight="1"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BA950" s="310"/>
      <c r="BB950" s="310"/>
      <c r="BC950" s="310"/>
    </row>
    <row r="951" spans="2:55" ht="25.5" customHeight="1"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BA951" s="310"/>
      <c r="BB951" s="310"/>
      <c r="BC951" s="310"/>
    </row>
    <row r="952" spans="2:55" ht="25.5" customHeight="1"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BA952" s="310"/>
      <c r="BB952" s="310"/>
      <c r="BC952" s="310"/>
    </row>
    <row r="953" spans="2:55" ht="25.5" customHeight="1"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BA953" s="310"/>
      <c r="BB953" s="310"/>
      <c r="BC953" s="310"/>
    </row>
    <row r="954" spans="2:55" ht="25.5" customHeight="1"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BA954" s="310"/>
      <c r="BB954" s="310"/>
      <c r="BC954" s="310"/>
    </row>
    <row r="955" spans="2:55" ht="25.5" customHeight="1"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BA955" s="310"/>
      <c r="BB955" s="310"/>
      <c r="BC955" s="310"/>
    </row>
    <row r="956" spans="2:55" ht="25.5" customHeight="1"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BA956" s="310"/>
      <c r="BB956" s="310"/>
      <c r="BC956" s="310"/>
    </row>
    <row r="957" spans="2:55" ht="25.5" customHeight="1"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BA957" s="310"/>
      <c r="BB957" s="310"/>
      <c r="BC957" s="310"/>
    </row>
    <row r="958" spans="2:55" ht="25.5" customHeight="1"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BA958" s="310"/>
      <c r="BB958" s="310"/>
      <c r="BC958" s="310"/>
    </row>
    <row r="959" spans="2:55" ht="25.5" customHeight="1"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BA959" s="310"/>
      <c r="BB959" s="310"/>
      <c r="BC959" s="310"/>
    </row>
    <row r="960" spans="2:55" ht="25.5" customHeight="1"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BA960" s="310"/>
      <c r="BB960" s="310"/>
      <c r="BC960" s="310"/>
    </row>
    <row r="961" spans="2:55" ht="25.5" customHeight="1"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BA961" s="310"/>
      <c r="BB961" s="310"/>
      <c r="BC961" s="310"/>
    </row>
    <row r="962" spans="2:55" ht="25.5" customHeight="1"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BA962" s="310"/>
      <c r="BB962" s="310"/>
      <c r="BC962" s="310"/>
    </row>
    <row r="963" spans="2:55" ht="25.5" customHeight="1"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BA963" s="310"/>
      <c r="BB963" s="310"/>
      <c r="BC963" s="310"/>
    </row>
    <row r="964" spans="2:55" ht="25.5" customHeight="1"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BA964" s="310"/>
      <c r="BB964" s="310"/>
      <c r="BC964" s="310"/>
    </row>
    <row r="965" spans="2:55" ht="25.5" customHeight="1"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BA965" s="310"/>
      <c r="BB965" s="310"/>
      <c r="BC965" s="310"/>
    </row>
    <row r="966" spans="2:55" ht="25.5" customHeight="1"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BA966" s="310"/>
      <c r="BB966" s="310"/>
      <c r="BC966" s="310"/>
    </row>
    <row r="967" spans="2:55" ht="25.5" customHeight="1"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BA967" s="310"/>
      <c r="BB967" s="310"/>
      <c r="BC967" s="310"/>
    </row>
    <row r="968" spans="2:55" ht="25.5" customHeight="1"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BA968" s="310"/>
      <c r="BB968" s="310"/>
      <c r="BC968" s="310"/>
    </row>
    <row r="969" spans="2:55" ht="25.5" customHeight="1"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BA969" s="310"/>
      <c r="BB969" s="310"/>
      <c r="BC969" s="310"/>
    </row>
    <row r="970" spans="2:55" ht="25.5" customHeight="1"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BA970" s="310"/>
      <c r="BB970" s="310"/>
      <c r="BC970" s="310"/>
    </row>
    <row r="971" spans="2:55" ht="25.5" customHeight="1"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BA971" s="310"/>
      <c r="BB971" s="310"/>
      <c r="BC971" s="310"/>
    </row>
    <row r="972" spans="2:55" ht="25.5" customHeight="1"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BA972" s="310"/>
      <c r="BB972" s="310"/>
      <c r="BC972" s="310"/>
    </row>
    <row r="973" spans="2:55" ht="25.5" customHeight="1"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BA973" s="310"/>
      <c r="BB973" s="310"/>
      <c r="BC973" s="310"/>
    </row>
    <row r="974" spans="2:55" ht="25.5" customHeight="1"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BA974" s="310"/>
      <c r="BB974" s="310"/>
      <c r="BC974" s="310"/>
    </row>
    <row r="975" spans="2:55" ht="25.5" customHeight="1"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BA975" s="310"/>
      <c r="BB975" s="310"/>
      <c r="BC975" s="310"/>
    </row>
    <row r="976" spans="2:55" ht="25.5" customHeight="1"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BA976" s="310"/>
      <c r="BB976" s="310"/>
      <c r="BC976" s="310"/>
    </row>
    <row r="977" spans="2:55" ht="25.5" customHeight="1"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BA977" s="310"/>
      <c r="BB977" s="310"/>
      <c r="BC977" s="310"/>
    </row>
    <row r="978" spans="2:55" ht="25.5" customHeight="1"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BA978" s="310"/>
      <c r="BB978" s="310"/>
      <c r="BC978" s="310"/>
    </row>
    <row r="979" spans="2:55" ht="25.5" customHeight="1"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BA979" s="310"/>
      <c r="BB979" s="310"/>
      <c r="BC979" s="310"/>
    </row>
    <row r="980" spans="2:55" ht="25.5" customHeight="1"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BA980" s="310"/>
      <c r="BB980" s="310"/>
      <c r="BC980" s="310"/>
    </row>
    <row r="981" spans="2:55" ht="25.5" customHeight="1"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BA981" s="310"/>
      <c r="BB981" s="310"/>
      <c r="BC981" s="310"/>
    </row>
    <row r="982" spans="2:55" ht="25.5" customHeight="1"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BA982" s="310"/>
      <c r="BB982" s="310"/>
      <c r="BC982" s="310"/>
    </row>
    <row r="983" spans="2:55" ht="25.5" customHeight="1"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BA983" s="310"/>
      <c r="BB983" s="310"/>
      <c r="BC983" s="310"/>
    </row>
    <row r="984" spans="2:55" ht="25.5" customHeight="1"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BA984" s="310"/>
      <c r="BB984" s="310"/>
      <c r="BC984" s="310"/>
    </row>
    <row r="985" spans="2:55" ht="25.5" customHeight="1"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BA985" s="310"/>
      <c r="BB985" s="310"/>
      <c r="BC985" s="310"/>
    </row>
    <row r="986" spans="2:55" ht="25.5" customHeight="1"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BA986" s="310"/>
      <c r="BB986" s="310"/>
      <c r="BC986" s="310"/>
    </row>
    <row r="987" spans="2:55" ht="25.5" customHeight="1"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BA987" s="310"/>
      <c r="BB987" s="310"/>
      <c r="BC987" s="310"/>
    </row>
    <row r="988" spans="2:55" ht="25.5" customHeight="1"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BA988" s="310"/>
      <c r="BB988" s="310"/>
      <c r="BC988" s="310"/>
    </row>
    <row r="989" spans="2:55" ht="25.5" customHeight="1"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BA989" s="310"/>
      <c r="BB989" s="310"/>
      <c r="BC989" s="310"/>
    </row>
    <row r="990" spans="2:55" ht="25.5" customHeight="1"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BA990" s="310"/>
      <c r="BB990" s="310"/>
      <c r="BC990" s="310"/>
    </row>
    <row r="991" spans="2:55" ht="25.5" customHeight="1"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BA991" s="310"/>
      <c r="BB991" s="310"/>
      <c r="BC991" s="310"/>
    </row>
    <row r="992" spans="2:55" ht="25.5" customHeight="1"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BA992" s="310"/>
      <c r="BB992" s="310"/>
      <c r="BC992" s="310"/>
    </row>
    <row r="993" spans="2:55" ht="25.5" customHeight="1"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BA993" s="310"/>
      <c r="BB993" s="310"/>
      <c r="BC993" s="310"/>
    </row>
    <row r="994" spans="2:55" ht="25.5" customHeight="1"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BA994" s="310"/>
      <c r="BB994" s="310"/>
      <c r="BC994" s="310"/>
    </row>
    <row r="995" spans="2:55" ht="25.5" customHeight="1"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BA995" s="310"/>
      <c r="BB995" s="310"/>
      <c r="BC995" s="310"/>
    </row>
    <row r="996" spans="2:55" ht="25.5" customHeight="1"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BA996" s="310"/>
      <c r="BB996" s="310"/>
      <c r="BC996" s="310"/>
    </row>
    <row r="997" spans="2:55" ht="25.5" customHeight="1"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BA997" s="310"/>
      <c r="BB997" s="310"/>
      <c r="BC997" s="310"/>
    </row>
    <row r="998" spans="2:55" ht="25.5" customHeight="1"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BA998" s="310"/>
      <c r="BB998" s="310"/>
      <c r="BC998" s="310"/>
    </row>
    <row r="999" spans="2:55" ht="25.5" customHeight="1"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BA999" s="310"/>
      <c r="BB999" s="310"/>
      <c r="BC999" s="310"/>
    </row>
    <row r="1000" spans="2:55" ht="25.5" customHeight="1"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</row>
  </sheetData>
  <mergeCells count="3">
    <mergeCell ref="B1:T1"/>
    <mergeCell ref="V1:Y1"/>
    <mergeCell ref="AA1:AR1"/>
  </mergeCells>
  <phoneticPr fontId="2" type="noConversion"/>
  <pageMargins left="0.7" right="0.7" top="0.75" bottom="0.75" header="0.3" footer="0.3"/>
  <pageSetup paperSize="9" scale="10" orientation="landscape" verticalDpi="203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V1000"/>
  <sheetViews>
    <sheetView showGridLines="0" zoomScale="85" zoomScaleNormal="85" workbookViewId="0">
      <pane xSplit="1" ySplit="3" topLeftCell="B4" activePane="bottomRight" state="frozen"/>
      <selection pane="bottomRight" activeCell="L15" sqref="L15"/>
      <selection pane="bottomLeft" activeCell="L28" sqref="L28"/>
      <selection pane="topRight" activeCell="L28" sqref="L28"/>
    </sheetView>
  </sheetViews>
  <sheetFormatPr defaultColWidth="12.625" defaultRowHeight="16.5"/>
  <cols>
    <col min="1" max="1" width="12.625" style="35"/>
    <col min="2" max="4" width="8.625" style="35" customWidth="1"/>
    <col min="5" max="10" width="8.625" style="36" customWidth="1"/>
    <col min="11" max="11" width="8.625" style="36" hidden="1" customWidth="1"/>
    <col min="12" max="12" width="8.625" style="36" customWidth="1"/>
    <col min="13" max="13" width="1" style="29" customWidth="1"/>
    <col min="14" max="15" width="8.625" style="29" customWidth="1"/>
    <col min="16" max="16" width="0.875" style="29" customWidth="1"/>
    <col min="17" max="19" width="8.625" style="29" customWidth="1"/>
    <col min="20" max="20" width="0.875" style="29" customWidth="1"/>
    <col min="21" max="21" width="28.75" style="29" customWidth="1"/>
    <col min="22" max="223" width="8" style="29" customWidth="1"/>
    <col min="224" max="16384" width="12.625" style="29"/>
  </cols>
  <sheetData>
    <row r="1" spans="1:22">
      <c r="A1" s="55"/>
      <c r="B1" s="460" t="s">
        <v>216</v>
      </c>
      <c r="C1" s="461"/>
      <c r="D1" s="461"/>
      <c r="E1" s="461"/>
      <c r="F1" s="461"/>
      <c r="G1" s="461"/>
      <c r="H1" s="461"/>
      <c r="I1" s="461"/>
      <c r="J1" s="462"/>
      <c r="K1" s="90" t="s">
        <v>217</v>
      </c>
      <c r="L1" s="29"/>
    </row>
    <row r="2" spans="1:22" s="25" customFormat="1" ht="45.6" customHeight="1">
      <c r="A2" s="56" t="s">
        <v>96</v>
      </c>
      <c r="B2" s="78" t="s">
        <v>218</v>
      </c>
      <c r="C2" s="78" t="s">
        <v>218</v>
      </c>
      <c r="D2" s="78" t="s">
        <v>219</v>
      </c>
      <c r="E2" s="78" t="s">
        <v>220</v>
      </c>
      <c r="F2" s="302" t="s">
        <v>221</v>
      </c>
      <c r="G2" s="88" t="s">
        <v>222</v>
      </c>
      <c r="H2" s="88" t="s">
        <v>223</v>
      </c>
      <c r="I2" s="88" t="s">
        <v>224</v>
      </c>
      <c r="J2" s="88" t="s">
        <v>225</v>
      </c>
      <c r="K2" s="88" t="s">
        <v>226</v>
      </c>
      <c r="L2" s="80" t="s">
        <v>131</v>
      </c>
      <c r="M2" s="23"/>
      <c r="N2" s="82" t="s">
        <v>54</v>
      </c>
      <c r="O2" s="82" t="s">
        <v>227</v>
      </c>
      <c r="P2"/>
      <c r="Q2" s="73" t="s">
        <v>228</v>
      </c>
      <c r="R2" s="73" t="s">
        <v>151</v>
      </c>
      <c r="S2" s="73" t="s">
        <v>152</v>
      </c>
      <c r="T2"/>
      <c r="U2" s="26" t="s">
        <v>156</v>
      </c>
    </row>
    <row r="3" spans="1:22" s="25" customFormat="1" ht="16.5" customHeight="1">
      <c r="A3" s="57" t="s">
        <v>157</v>
      </c>
      <c r="B3" s="58" t="s">
        <v>158</v>
      </c>
      <c r="C3" s="58" t="s">
        <v>159</v>
      </c>
      <c r="D3" s="58" t="s">
        <v>159</v>
      </c>
      <c r="E3" s="58" t="s">
        <v>229</v>
      </c>
      <c r="F3" s="58" t="s">
        <v>229</v>
      </c>
      <c r="G3" s="89" t="s">
        <v>230</v>
      </c>
      <c r="H3" s="89" t="s">
        <v>160</v>
      </c>
      <c r="I3" s="89" t="s">
        <v>230</v>
      </c>
      <c r="J3" s="89" t="s">
        <v>160</v>
      </c>
      <c r="K3" s="89" t="s">
        <v>230</v>
      </c>
      <c r="L3" s="81"/>
      <c r="M3" s="23"/>
      <c r="N3" s="83"/>
      <c r="O3" s="83"/>
      <c r="P3"/>
      <c r="Q3" s="58" t="s">
        <v>158</v>
      </c>
      <c r="R3" s="58" t="s">
        <v>159</v>
      </c>
      <c r="S3" s="58" t="s">
        <v>160</v>
      </c>
      <c r="T3"/>
      <c r="U3" s="28"/>
    </row>
    <row r="4" spans="1:22" ht="25.5" customHeight="1">
      <c r="A4" s="255">
        <v>46235</v>
      </c>
      <c r="B4" s="247"/>
      <c r="C4" s="247"/>
      <c r="D4" s="247"/>
      <c r="E4" s="247"/>
      <c r="F4" s="247"/>
      <c r="G4" s="247"/>
      <c r="H4" s="247"/>
      <c r="I4" s="247"/>
      <c r="J4" s="247"/>
      <c r="K4" s="247"/>
      <c r="L4" s="278">
        <f>SUM(B4:K4)</f>
        <v>0</v>
      </c>
      <c r="N4" s="279">
        <f>L4</f>
        <v>0</v>
      </c>
      <c r="O4" s="252">
        <f>SUM(D4:J4)*4+SUM(B4:C4)*3</f>
        <v>0</v>
      </c>
      <c r="Q4" s="252">
        <f>B4</f>
        <v>0</v>
      </c>
      <c r="R4" s="279">
        <f>SUM(C4:F4)</f>
        <v>0</v>
      </c>
      <c r="S4" s="252">
        <f>SUM(G4:K4)</f>
        <v>0</v>
      </c>
      <c r="U4" s="253"/>
      <c r="V4" s="30"/>
    </row>
    <row r="5" spans="1:22" ht="25.5" customHeight="1">
      <c r="A5" s="255">
        <f>A4+1</f>
        <v>46236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78">
        <f t="shared" ref="L5:L34" si="0">SUM(B5:K5)</f>
        <v>0</v>
      </c>
      <c r="N5" s="252">
        <f t="shared" ref="N5:N33" si="1">L5</f>
        <v>0</v>
      </c>
      <c r="O5" s="252">
        <f t="shared" ref="O5:O34" si="2">SUM(D5:J5)*4+SUM(B5:C5)*3</f>
        <v>0</v>
      </c>
      <c r="Q5" s="252">
        <f t="shared" ref="Q5:Q34" si="3">B5</f>
        <v>0</v>
      </c>
      <c r="R5" s="279">
        <f t="shared" ref="R5:R34" si="4">SUM(C5:F5)</f>
        <v>0</v>
      </c>
      <c r="S5" s="252">
        <f>SUM(G5:K5)</f>
        <v>0</v>
      </c>
      <c r="U5" s="253"/>
    </row>
    <row r="6" spans="1:22" ht="25.5" customHeight="1">
      <c r="A6" s="255">
        <f t="shared" ref="A6:A34" si="5">A5+1</f>
        <v>46237</v>
      </c>
      <c r="B6" s="247"/>
      <c r="C6" s="247"/>
      <c r="D6" s="247"/>
      <c r="E6" s="247"/>
      <c r="F6" s="247"/>
      <c r="G6" s="247"/>
      <c r="H6" s="247"/>
      <c r="I6" s="247"/>
      <c r="J6" s="247"/>
      <c r="K6" s="247"/>
      <c r="L6" s="278">
        <f t="shared" si="0"/>
        <v>0</v>
      </c>
      <c r="N6" s="252">
        <f t="shared" si="1"/>
        <v>0</v>
      </c>
      <c r="O6" s="252">
        <f t="shared" si="2"/>
        <v>0</v>
      </c>
      <c r="Q6" s="252">
        <f t="shared" si="3"/>
        <v>0</v>
      </c>
      <c r="R6" s="279">
        <f t="shared" si="4"/>
        <v>0</v>
      </c>
      <c r="S6" s="252">
        <f>SUM(G6:K6)</f>
        <v>0</v>
      </c>
      <c r="U6" s="253"/>
      <c r="V6" s="31"/>
    </row>
    <row r="7" spans="1:22" ht="25.5" customHeight="1">
      <c r="A7" s="255">
        <f t="shared" si="5"/>
        <v>46238</v>
      </c>
      <c r="B7" s="247"/>
      <c r="C7" s="247"/>
      <c r="D7" s="247">
        <v>7</v>
      </c>
      <c r="E7" s="247">
        <v>26</v>
      </c>
      <c r="F7" s="247"/>
      <c r="G7" s="247"/>
      <c r="H7" s="247">
        <v>5</v>
      </c>
      <c r="I7" s="247"/>
      <c r="J7" s="247">
        <v>41</v>
      </c>
      <c r="K7" s="247"/>
      <c r="L7" s="278">
        <f>SUM(B7:K7)</f>
        <v>79</v>
      </c>
      <c r="N7" s="279">
        <f>L7</f>
        <v>79</v>
      </c>
      <c r="O7" s="252">
        <f t="shared" si="2"/>
        <v>316</v>
      </c>
      <c r="Q7" s="252">
        <f t="shared" si="3"/>
        <v>0</v>
      </c>
      <c r="R7" s="279">
        <f t="shared" si="4"/>
        <v>33</v>
      </c>
      <c r="S7" s="252">
        <f t="shared" ref="S7:S34" si="6">SUM(G7:K7)</f>
        <v>46</v>
      </c>
      <c r="U7" s="253"/>
    </row>
    <row r="8" spans="1:22" ht="25.5" customHeight="1">
      <c r="A8" s="255">
        <f t="shared" si="5"/>
        <v>46239</v>
      </c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78">
        <f t="shared" si="0"/>
        <v>0</v>
      </c>
      <c r="N8" s="252">
        <f>L8</f>
        <v>0</v>
      </c>
      <c r="O8" s="252">
        <f t="shared" si="2"/>
        <v>0</v>
      </c>
      <c r="Q8" s="252">
        <f t="shared" si="3"/>
        <v>0</v>
      </c>
      <c r="R8" s="279">
        <f t="shared" si="4"/>
        <v>0</v>
      </c>
      <c r="S8" s="252">
        <f t="shared" si="6"/>
        <v>0</v>
      </c>
      <c r="U8" s="253"/>
    </row>
    <row r="9" spans="1:22" ht="25.5" customHeight="1">
      <c r="A9" s="255">
        <f t="shared" si="5"/>
        <v>46240</v>
      </c>
      <c r="B9" s="247"/>
      <c r="C9" s="247"/>
      <c r="D9" s="247">
        <v>6</v>
      </c>
      <c r="E9" s="247">
        <v>4</v>
      </c>
      <c r="F9" s="247"/>
      <c r="G9" s="247">
        <v>9</v>
      </c>
      <c r="H9" s="247">
        <v>2</v>
      </c>
      <c r="I9" s="247"/>
      <c r="J9" s="247">
        <v>9</v>
      </c>
      <c r="K9" s="247"/>
      <c r="L9" s="278">
        <f t="shared" si="0"/>
        <v>30</v>
      </c>
      <c r="N9" s="252">
        <f t="shared" si="1"/>
        <v>30</v>
      </c>
      <c r="O9" s="252">
        <f t="shared" si="2"/>
        <v>120</v>
      </c>
      <c r="Q9" s="252">
        <f t="shared" si="3"/>
        <v>0</v>
      </c>
      <c r="R9" s="279">
        <f t="shared" si="4"/>
        <v>10</v>
      </c>
      <c r="S9" s="252">
        <f t="shared" si="6"/>
        <v>20</v>
      </c>
      <c r="U9" s="253"/>
    </row>
    <row r="10" spans="1:22" ht="25.5" customHeight="1">
      <c r="A10" s="255">
        <f t="shared" si="5"/>
        <v>46241</v>
      </c>
      <c r="B10" s="247"/>
      <c r="C10" s="247"/>
      <c r="D10" s="247">
        <v>7</v>
      </c>
      <c r="E10" s="247">
        <v>4</v>
      </c>
      <c r="F10" s="247"/>
      <c r="G10" s="247">
        <v>8</v>
      </c>
      <c r="H10" s="247"/>
      <c r="I10" s="247"/>
      <c r="J10" s="247">
        <v>11</v>
      </c>
      <c r="K10" s="247"/>
      <c r="L10" s="278">
        <f t="shared" si="0"/>
        <v>30</v>
      </c>
      <c r="N10" s="252">
        <f t="shared" si="1"/>
        <v>30</v>
      </c>
      <c r="O10" s="252">
        <f t="shared" si="2"/>
        <v>120</v>
      </c>
      <c r="Q10" s="252">
        <f t="shared" si="3"/>
        <v>0</v>
      </c>
      <c r="R10" s="279">
        <f t="shared" si="4"/>
        <v>11</v>
      </c>
      <c r="S10" s="252">
        <f t="shared" si="6"/>
        <v>19</v>
      </c>
      <c r="U10" s="253"/>
    </row>
    <row r="11" spans="1:22" ht="25.5" customHeight="1">
      <c r="A11" s="255">
        <f t="shared" si="5"/>
        <v>46242</v>
      </c>
      <c r="B11" s="247"/>
      <c r="C11" s="247"/>
      <c r="D11" s="247"/>
      <c r="E11" s="247"/>
      <c r="F11" s="247"/>
      <c r="G11" s="247"/>
      <c r="H11" s="247"/>
      <c r="I11" s="247"/>
      <c r="J11" s="247"/>
      <c r="K11" s="247"/>
      <c r="L11" s="278">
        <f t="shared" si="0"/>
        <v>0</v>
      </c>
      <c r="N11" s="252">
        <f t="shared" si="1"/>
        <v>0</v>
      </c>
      <c r="O11" s="252">
        <f t="shared" si="2"/>
        <v>0</v>
      </c>
      <c r="Q11" s="252">
        <f t="shared" si="3"/>
        <v>0</v>
      </c>
      <c r="R11" s="279">
        <f t="shared" si="4"/>
        <v>0</v>
      </c>
      <c r="S11" s="252">
        <f t="shared" si="6"/>
        <v>0</v>
      </c>
      <c r="U11" s="253"/>
    </row>
    <row r="12" spans="1:22" ht="25.5" customHeight="1">
      <c r="A12" s="255">
        <f t="shared" si="5"/>
        <v>46243</v>
      </c>
      <c r="B12" s="247"/>
      <c r="C12" s="247"/>
      <c r="D12" s="247"/>
      <c r="E12" s="247"/>
      <c r="F12" s="247"/>
      <c r="G12" s="247"/>
      <c r="H12" s="247"/>
      <c r="I12" s="247"/>
      <c r="J12" s="247"/>
      <c r="K12" s="247"/>
      <c r="L12" s="278">
        <f t="shared" si="0"/>
        <v>0</v>
      </c>
      <c r="N12" s="252">
        <f>L12</f>
        <v>0</v>
      </c>
      <c r="O12" s="252">
        <f t="shared" si="2"/>
        <v>0</v>
      </c>
      <c r="Q12" s="252">
        <f t="shared" si="3"/>
        <v>0</v>
      </c>
      <c r="R12" s="279">
        <f t="shared" si="4"/>
        <v>0</v>
      </c>
      <c r="S12" s="252">
        <f t="shared" si="6"/>
        <v>0</v>
      </c>
      <c r="U12" s="15"/>
    </row>
    <row r="13" spans="1:22" ht="25.5" customHeight="1">
      <c r="A13" s="255">
        <f t="shared" si="5"/>
        <v>46244</v>
      </c>
      <c r="B13" s="247"/>
      <c r="C13" s="247"/>
      <c r="D13" s="247"/>
      <c r="E13" s="247"/>
      <c r="F13" s="247"/>
      <c r="G13" s="247"/>
      <c r="H13" s="247"/>
      <c r="I13" s="247"/>
      <c r="J13" s="247"/>
      <c r="K13" s="247"/>
      <c r="L13" s="278">
        <f t="shared" si="0"/>
        <v>0</v>
      </c>
      <c r="N13" s="252">
        <f t="shared" si="1"/>
        <v>0</v>
      </c>
      <c r="O13" s="252">
        <f t="shared" si="2"/>
        <v>0</v>
      </c>
      <c r="Q13" s="252">
        <f t="shared" si="3"/>
        <v>0</v>
      </c>
      <c r="R13" s="279">
        <f t="shared" si="4"/>
        <v>0</v>
      </c>
      <c r="S13" s="252">
        <f t="shared" si="6"/>
        <v>0</v>
      </c>
      <c r="U13" s="15"/>
    </row>
    <row r="14" spans="1:22" ht="25.5" customHeight="1">
      <c r="A14" s="255">
        <f t="shared" si="5"/>
        <v>46245</v>
      </c>
      <c r="B14" s="247"/>
      <c r="C14" s="247"/>
      <c r="D14" s="247">
        <v>3</v>
      </c>
      <c r="E14" s="247"/>
      <c r="F14" s="247"/>
      <c r="G14" s="247">
        <v>7</v>
      </c>
      <c r="H14" s="247"/>
      <c r="I14" s="247"/>
      <c r="J14" s="247">
        <v>10</v>
      </c>
      <c r="K14" s="247"/>
      <c r="L14" s="278">
        <f t="shared" si="0"/>
        <v>20</v>
      </c>
      <c r="N14" s="252">
        <f t="shared" si="1"/>
        <v>20</v>
      </c>
      <c r="O14" s="252">
        <f t="shared" si="2"/>
        <v>80</v>
      </c>
      <c r="Q14" s="252">
        <f t="shared" si="3"/>
        <v>0</v>
      </c>
      <c r="R14" s="279">
        <f t="shared" si="4"/>
        <v>3</v>
      </c>
      <c r="S14" s="252">
        <f t="shared" si="6"/>
        <v>17</v>
      </c>
      <c r="U14" s="253"/>
    </row>
    <row r="15" spans="1:22" ht="25.5" customHeight="1">
      <c r="A15" s="255">
        <f t="shared" si="5"/>
        <v>46246</v>
      </c>
      <c r="B15" s="247"/>
      <c r="C15" s="247"/>
      <c r="D15" s="247">
        <v>11</v>
      </c>
      <c r="E15" s="247">
        <v>7</v>
      </c>
      <c r="F15" s="247"/>
      <c r="G15" s="247">
        <v>15</v>
      </c>
      <c r="H15" s="247">
        <v>3</v>
      </c>
      <c r="I15" s="247">
        <v>19</v>
      </c>
      <c r="J15" s="247">
        <v>20</v>
      </c>
      <c r="K15" s="247"/>
      <c r="L15" s="278">
        <f t="shared" si="0"/>
        <v>75</v>
      </c>
      <c r="N15" s="252">
        <f t="shared" si="1"/>
        <v>75</v>
      </c>
      <c r="O15" s="252">
        <f t="shared" si="2"/>
        <v>300</v>
      </c>
      <c r="Q15" s="252">
        <f t="shared" si="3"/>
        <v>0</v>
      </c>
      <c r="R15" s="279">
        <f t="shared" si="4"/>
        <v>18</v>
      </c>
      <c r="S15" s="252">
        <f t="shared" si="6"/>
        <v>57</v>
      </c>
      <c r="U15" s="253"/>
    </row>
    <row r="16" spans="1:22" ht="25.5" customHeight="1">
      <c r="A16" s="255">
        <f t="shared" si="5"/>
        <v>46247</v>
      </c>
      <c r="B16" s="247"/>
      <c r="C16" s="247"/>
      <c r="D16" s="247"/>
      <c r="E16" s="247"/>
      <c r="F16" s="247"/>
      <c r="G16" s="247"/>
      <c r="H16" s="247"/>
      <c r="I16" s="247"/>
      <c r="J16" s="247"/>
      <c r="K16" s="247"/>
      <c r="L16" s="278">
        <f t="shared" si="0"/>
        <v>0</v>
      </c>
      <c r="N16" s="252">
        <f t="shared" si="1"/>
        <v>0</v>
      </c>
      <c r="O16" s="252">
        <f t="shared" si="2"/>
        <v>0</v>
      </c>
      <c r="Q16" s="252">
        <f t="shared" si="3"/>
        <v>0</v>
      </c>
      <c r="R16" s="279">
        <f t="shared" si="4"/>
        <v>0</v>
      </c>
      <c r="S16" s="252">
        <f t="shared" si="6"/>
        <v>0</v>
      </c>
      <c r="U16" s="15"/>
    </row>
    <row r="17" spans="1:21" ht="25.5" customHeight="1">
      <c r="A17" s="255">
        <f t="shared" si="5"/>
        <v>46248</v>
      </c>
      <c r="B17" s="247"/>
      <c r="C17" s="247"/>
      <c r="D17" s="247"/>
      <c r="E17" s="247"/>
      <c r="F17" s="247"/>
      <c r="G17" s="247"/>
      <c r="H17" s="247"/>
      <c r="I17" s="247"/>
      <c r="J17" s="247"/>
      <c r="K17" s="247"/>
      <c r="L17" s="278">
        <f t="shared" si="0"/>
        <v>0</v>
      </c>
      <c r="N17" s="252">
        <f t="shared" si="1"/>
        <v>0</v>
      </c>
      <c r="O17" s="252">
        <f t="shared" si="2"/>
        <v>0</v>
      </c>
      <c r="Q17" s="252">
        <f t="shared" si="3"/>
        <v>0</v>
      </c>
      <c r="R17" s="279">
        <f t="shared" si="4"/>
        <v>0</v>
      </c>
      <c r="S17" s="252">
        <f t="shared" si="6"/>
        <v>0</v>
      </c>
      <c r="U17" s="253"/>
    </row>
    <row r="18" spans="1:21" ht="25.5" customHeight="1">
      <c r="A18" s="255">
        <f t="shared" si="5"/>
        <v>46249</v>
      </c>
      <c r="B18" s="247"/>
      <c r="C18" s="247"/>
      <c r="D18" s="247"/>
      <c r="E18" s="247"/>
      <c r="F18" s="247"/>
      <c r="G18" s="247"/>
      <c r="H18" s="247"/>
      <c r="I18" s="247"/>
      <c r="J18" s="247"/>
      <c r="K18" s="247"/>
      <c r="L18" s="278">
        <f t="shared" si="0"/>
        <v>0</v>
      </c>
      <c r="N18" s="252">
        <f t="shared" si="1"/>
        <v>0</v>
      </c>
      <c r="O18" s="252">
        <f t="shared" si="2"/>
        <v>0</v>
      </c>
      <c r="Q18" s="252">
        <f t="shared" si="3"/>
        <v>0</v>
      </c>
      <c r="R18" s="279">
        <f t="shared" si="4"/>
        <v>0</v>
      </c>
      <c r="S18" s="252">
        <f t="shared" si="6"/>
        <v>0</v>
      </c>
      <c r="U18" s="15"/>
    </row>
    <row r="19" spans="1:21" ht="25.5" customHeight="1">
      <c r="A19" s="255">
        <f t="shared" si="5"/>
        <v>46250</v>
      </c>
      <c r="B19" s="247"/>
      <c r="C19" s="247"/>
      <c r="D19" s="247"/>
      <c r="E19" s="247"/>
      <c r="F19" s="247"/>
      <c r="G19" s="247"/>
      <c r="H19" s="247"/>
      <c r="I19" s="247"/>
      <c r="J19" s="247"/>
      <c r="K19" s="247"/>
      <c r="L19" s="278">
        <f t="shared" si="0"/>
        <v>0</v>
      </c>
      <c r="N19" s="252">
        <f t="shared" si="1"/>
        <v>0</v>
      </c>
      <c r="O19" s="252">
        <f t="shared" si="2"/>
        <v>0</v>
      </c>
      <c r="Q19" s="252">
        <f t="shared" si="3"/>
        <v>0</v>
      </c>
      <c r="R19" s="279">
        <f t="shared" si="4"/>
        <v>0</v>
      </c>
      <c r="S19" s="252">
        <f t="shared" si="6"/>
        <v>0</v>
      </c>
      <c r="U19" s="253"/>
    </row>
    <row r="20" spans="1:21" ht="25.5" customHeight="1">
      <c r="A20" s="255">
        <f t="shared" si="5"/>
        <v>46251</v>
      </c>
      <c r="B20" s="247"/>
      <c r="C20" s="247"/>
      <c r="D20" s="247"/>
      <c r="E20" s="247"/>
      <c r="F20" s="247"/>
      <c r="G20" s="247"/>
      <c r="H20" s="247"/>
      <c r="I20" s="247"/>
      <c r="J20" s="247"/>
      <c r="K20" s="247"/>
      <c r="L20" s="278">
        <f t="shared" si="0"/>
        <v>0</v>
      </c>
      <c r="N20" s="252">
        <f>L20</f>
        <v>0</v>
      </c>
      <c r="O20" s="252">
        <f t="shared" si="2"/>
        <v>0</v>
      </c>
      <c r="Q20" s="252">
        <f t="shared" si="3"/>
        <v>0</v>
      </c>
      <c r="R20" s="279">
        <f t="shared" si="4"/>
        <v>0</v>
      </c>
      <c r="S20" s="252">
        <f t="shared" si="6"/>
        <v>0</v>
      </c>
      <c r="U20" s="253"/>
    </row>
    <row r="21" spans="1:21" ht="25.5" customHeight="1">
      <c r="A21" s="255">
        <f t="shared" si="5"/>
        <v>46252</v>
      </c>
      <c r="B21" s="247"/>
      <c r="C21" s="247">
        <v>1</v>
      </c>
      <c r="D21" s="247">
        <v>4</v>
      </c>
      <c r="E21" s="247"/>
      <c r="F21" s="247"/>
      <c r="G21" s="247">
        <v>6</v>
      </c>
      <c r="H21" s="247"/>
      <c r="I21" s="247">
        <v>22</v>
      </c>
      <c r="J21" s="247">
        <v>10</v>
      </c>
      <c r="K21" s="247"/>
      <c r="L21" s="278">
        <f t="shared" si="0"/>
        <v>43</v>
      </c>
      <c r="N21" s="252">
        <f t="shared" si="1"/>
        <v>43</v>
      </c>
      <c r="O21" s="252">
        <f t="shared" si="2"/>
        <v>171</v>
      </c>
      <c r="Q21" s="252">
        <f t="shared" si="3"/>
        <v>0</v>
      </c>
      <c r="R21" s="279">
        <f t="shared" si="4"/>
        <v>5</v>
      </c>
      <c r="S21" s="252">
        <f t="shared" si="6"/>
        <v>38</v>
      </c>
      <c r="U21" s="15"/>
    </row>
    <row r="22" spans="1:21" ht="25.5" customHeight="1">
      <c r="A22" s="255">
        <f t="shared" si="5"/>
        <v>46253</v>
      </c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78">
        <f t="shared" si="0"/>
        <v>0</v>
      </c>
      <c r="N22" s="252">
        <f t="shared" si="1"/>
        <v>0</v>
      </c>
      <c r="O22" s="252">
        <f t="shared" si="2"/>
        <v>0</v>
      </c>
      <c r="Q22" s="252">
        <f t="shared" si="3"/>
        <v>0</v>
      </c>
      <c r="R22" s="279">
        <f t="shared" si="4"/>
        <v>0</v>
      </c>
      <c r="S22" s="252">
        <f t="shared" si="6"/>
        <v>0</v>
      </c>
      <c r="U22" s="253"/>
    </row>
    <row r="23" spans="1:21" ht="25.5" customHeight="1">
      <c r="A23" s="255">
        <f t="shared" si="5"/>
        <v>46254</v>
      </c>
      <c r="B23" s="247"/>
      <c r="C23" s="247"/>
      <c r="D23" s="247">
        <v>3</v>
      </c>
      <c r="E23" s="247"/>
      <c r="F23" s="247"/>
      <c r="G23" s="247">
        <v>6</v>
      </c>
      <c r="H23" s="247"/>
      <c r="I23" s="247">
        <v>62</v>
      </c>
      <c r="J23" s="247">
        <v>14</v>
      </c>
      <c r="K23" s="247"/>
      <c r="L23" s="278">
        <f t="shared" si="0"/>
        <v>85</v>
      </c>
      <c r="N23" s="252">
        <f t="shared" si="1"/>
        <v>85</v>
      </c>
      <c r="O23" s="252">
        <f t="shared" si="2"/>
        <v>340</v>
      </c>
      <c r="Q23" s="252">
        <f t="shared" si="3"/>
        <v>0</v>
      </c>
      <c r="R23" s="279">
        <f t="shared" si="4"/>
        <v>3</v>
      </c>
      <c r="S23" s="252">
        <f t="shared" si="6"/>
        <v>82</v>
      </c>
      <c r="U23" s="253"/>
    </row>
    <row r="24" spans="1:21" ht="25.5" customHeight="1">
      <c r="A24" s="255">
        <f t="shared" si="5"/>
        <v>46255</v>
      </c>
      <c r="B24" s="247"/>
      <c r="C24" s="247"/>
      <c r="D24" s="247"/>
      <c r="E24" s="247"/>
      <c r="F24" s="247"/>
      <c r="G24" s="247"/>
      <c r="H24" s="247"/>
      <c r="I24" s="247"/>
      <c r="J24" s="247"/>
      <c r="K24" s="247"/>
      <c r="L24" s="278">
        <f t="shared" si="0"/>
        <v>0</v>
      </c>
      <c r="N24" s="252">
        <f>L24</f>
        <v>0</v>
      </c>
      <c r="O24" s="252">
        <f t="shared" si="2"/>
        <v>0</v>
      </c>
      <c r="Q24" s="252">
        <f t="shared" si="3"/>
        <v>0</v>
      </c>
      <c r="R24" s="279">
        <f t="shared" si="4"/>
        <v>0</v>
      </c>
      <c r="S24" s="252">
        <f t="shared" si="6"/>
        <v>0</v>
      </c>
      <c r="U24" s="253"/>
    </row>
    <row r="25" spans="1:21" ht="25.5" customHeight="1">
      <c r="A25" s="255">
        <f t="shared" si="5"/>
        <v>46256</v>
      </c>
      <c r="B25" s="247"/>
      <c r="C25" s="247"/>
      <c r="D25" s="247"/>
      <c r="E25" s="247"/>
      <c r="F25" s="247"/>
      <c r="G25" s="247"/>
      <c r="H25" s="247"/>
      <c r="I25" s="247"/>
      <c r="J25" s="247"/>
      <c r="K25" s="247"/>
      <c r="L25" s="278">
        <f t="shared" si="0"/>
        <v>0</v>
      </c>
      <c r="N25" s="252">
        <f t="shared" si="1"/>
        <v>0</v>
      </c>
      <c r="O25" s="252">
        <f t="shared" si="2"/>
        <v>0</v>
      </c>
      <c r="Q25" s="252">
        <f t="shared" si="3"/>
        <v>0</v>
      </c>
      <c r="R25" s="279">
        <f t="shared" si="4"/>
        <v>0</v>
      </c>
      <c r="S25" s="252">
        <f t="shared" si="6"/>
        <v>0</v>
      </c>
      <c r="U25" s="253"/>
    </row>
    <row r="26" spans="1:21" ht="25.5" customHeight="1">
      <c r="A26" s="255">
        <f t="shared" si="5"/>
        <v>46257</v>
      </c>
      <c r="B26" s="247"/>
      <c r="C26" s="247"/>
      <c r="D26" s="247"/>
      <c r="E26" s="247"/>
      <c r="F26" s="247"/>
      <c r="G26" s="247"/>
      <c r="H26" s="247"/>
      <c r="I26" s="247"/>
      <c r="J26" s="247"/>
      <c r="K26" s="247"/>
      <c r="L26" s="278">
        <f t="shared" si="0"/>
        <v>0</v>
      </c>
      <c r="N26" s="252">
        <f t="shared" si="1"/>
        <v>0</v>
      </c>
      <c r="O26" s="252">
        <f t="shared" si="2"/>
        <v>0</v>
      </c>
      <c r="Q26" s="252">
        <f t="shared" si="3"/>
        <v>0</v>
      </c>
      <c r="R26" s="279">
        <f t="shared" si="4"/>
        <v>0</v>
      </c>
      <c r="S26" s="252">
        <f t="shared" si="6"/>
        <v>0</v>
      </c>
      <c r="U26" s="253"/>
    </row>
    <row r="27" spans="1:21" ht="25.5" customHeight="1">
      <c r="A27" s="255">
        <f t="shared" si="5"/>
        <v>46258</v>
      </c>
      <c r="B27" s="247"/>
      <c r="C27" s="247"/>
      <c r="D27" s="247"/>
      <c r="E27" s="247"/>
      <c r="F27" s="247"/>
      <c r="G27" s="247">
        <v>7</v>
      </c>
      <c r="H27" s="247"/>
      <c r="I27" s="247">
        <v>71</v>
      </c>
      <c r="J27" s="247">
        <v>4</v>
      </c>
      <c r="K27" s="247"/>
      <c r="L27" s="278">
        <f t="shared" si="0"/>
        <v>82</v>
      </c>
      <c r="N27" s="252">
        <f t="shared" si="1"/>
        <v>82</v>
      </c>
      <c r="O27" s="252">
        <f t="shared" si="2"/>
        <v>328</v>
      </c>
      <c r="Q27" s="252">
        <f t="shared" si="3"/>
        <v>0</v>
      </c>
      <c r="R27" s="279">
        <f t="shared" si="4"/>
        <v>0</v>
      </c>
      <c r="S27" s="252">
        <f t="shared" si="6"/>
        <v>82</v>
      </c>
      <c r="U27" s="253"/>
    </row>
    <row r="28" spans="1:21" ht="25.5" customHeight="1">
      <c r="A28" s="255">
        <f t="shared" si="5"/>
        <v>46259</v>
      </c>
      <c r="B28" s="247"/>
      <c r="C28" s="247"/>
      <c r="D28" s="247"/>
      <c r="E28" s="247"/>
      <c r="F28" s="247"/>
      <c r="G28" s="247"/>
      <c r="H28" s="247"/>
      <c r="I28" s="247"/>
      <c r="J28" s="247"/>
      <c r="K28" s="247"/>
      <c r="L28" s="278">
        <f t="shared" si="0"/>
        <v>0</v>
      </c>
      <c r="N28" s="252">
        <f>L28</f>
        <v>0</v>
      </c>
      <c r="O28" s="252">
        <f t="shared" si="2"/>
        <v>0</v>
      </c>
      <c r="Q28" s="252">
        <f t="shared" si="3"/>
        <v>0</v>
      </c>
      <c r="R28" s="279">
        <f t="shared" si="4"/>
        <v>0</v>
      </c>
      <c r="S28" s="252">
        <f t="shared" si="6"/>
        <v>0</v>
      </c>
      <c r="U28" s="253"/>
    </row>
    <row r="29" spans="1:21" ht="25.5" customHeight="1">
      <c r="A29" s="255">
        <f t="shared" si="5"/>
        <v>46260</v>
      </c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78">
        <f t="shared" si="0"/>
        <v>0</v>
      </c>
      <c r="N29" s="252">
        <f t="shared" si="1"/>
        <v>0</v>
      </c>
      <c r="O29" s="252">
        <f t="shared" si="2"/>
        <v>0</v>
      </c>
      <c r="Q29" s="252">
        <f t="shared" si="3"/>
        <v>0</v>
      </c>
      <c r="R29" s="279">
        <f t="shared" si="4"/>
        <v>0</v>
      </c>
      <c r="S29" s="252">
        <f t="shared" si="6"/>
        <v>0</v>
      </c>
      <c r="U29" s="253"/>
    </row>
    <row r="30" spans="1:21" ht="25.5" customHeight="1">
      <c r="A30" s="255">
        <f t="shared" si="5"/>
        <v>46261</v>
      </c>
      <c r="B30" s="247"/>
      <c r="C30" s="247"/>
      <c r="D30" s="247"/>
      <c r="E30" s="247"/>
      <c r="F30" s="247"/>
      <c r="G30" s="247">
        <v>13</v>
      </c>
      <c r="H30" s="247"/>
      <c r="I30" s="247">
        <v>27</v>
      </c>
      <c r="J30" s="247">
        <v>7</v>
      </c>
      <c r="K30" s="247"/>
      <c r="L30" s="278">
        <f t="shared" si="0"/>
        <v>47</v>
      </c>
      <c r="N30" s="252">
        <f>L30</f>
        <v>47</v>
      </c>
      <c r="O30" s="252">
        <f t="shared" si="2"/>
        <v>188</v>
      </c>
      <c r="Q30" s="252">
        <f t="shared" si="3"/>
        <v>0</v>
      </c>
      <c r="R30" s="279">
        <f t="shared" si="4"/>
        <v>0</v>
      </c>
      <c r="S30" s="252">
        <f t="shared" si="6"/>
        <v>47</v>
      </c>
      <c r="U30" s="253"/>
    </row>
    <row r="31" spans="1:21" ht="25.5" customHeight="1">
      <c r="A31" s="255">
        <f t="shared" si="5"/>
        <v>46262</v>
      </c>
      <c r="B31" s="247"/>
      <c r="C31" s="247"/>
      <c r="D31" s="247"/>
      <c r="E31" s="247"/>
      <c r="F31" s="247"/>
      <c r="G31" s="247"/>
      <c r="H31" s="247">
        <v>1</v>
      </c>
      <c r="I31" s="247">
        <v>31</v>
      </c>
      <c r="J31" s="247"/>
      <c r="K31" s="247"/>
      <c r="L31" s="278">
        <f t="shared" si="0"/>
        <v>32</v>
      </c>
      <c r="N31" s="252">
        <f t="shared" si="1"/>
        <v>32</v>
      </c>
      <c r="O31" s="252">
        <f t="shared" si="2"/>
        <v>128</v>
      </c>
      <c r="Q31" s="252">
        <f t="shared" si="3"/>
        <v>0</v>
      </c>
      <c r="R31" s="279">
        <f t="shared" si="4"/>
        <v>0</v>
      </c>
      <c r="S31" s="252">
        <f t="shared" si="6"/>
        <v>32</v>
      </c>
      <c r="U31" s="253"/>
    </row>
    <row r="32" spans="1:21" ht="25.5" customHeight="1">
      <c r="A32" s="255">
        <f>A31+1</f>
        <v>46263</v>
      </c>
      <c r="B32" s="247"/>
      <c r="C32" s="247"/>
      <c r="D32" s="247"/>
      <c r="E32" s="247"/>
      <c r="F32" s="247"/>
      <c r="G32" s="247"/>
      <c r="H32" s="247"/>
      <c r="I32" s="247"/>
      <c r="J32" s="247"/>
      <c r="K32" s="247"/>
      <c r="L32" s="278">
        <f t="shared" si="0"/>
        <v>0</v>
      </c>
      <c r="N32" s="252">
        <f t="shared" si="1"/>
        <v>0</v>
      </c>
      <c r="O32" s="252">
        <f t="shared" si="2"/>
        <v>0</v>
      </c>
      <c r="Q32" s="252">
        <f t="shared" si="3"/>
        <v>0</v>
      </c>
      <c r="R32" s="279">
        <f t="shared" si="4"/>
        <v>0</v>
      </c>
      <c r="S32" s="252">
        <f t="shared" si="6"/>
        <v>0</v>
      </c>
      <c r="U32" s="253"/>
    </row>
    <row r="33" spans="1:21" ht="25.5" customHeight="1">
      <c r="A33" s="255">
        <f t="shared" si="5"/>
        <v>46264</v>
      </c>
      <c r="B33" s="247"/>
      <c r="C33" s="247"/>
      <c r="D33" s="247"/>
      <c r="E33" s="247"/>
      <c r="F33" s="247"/>
      <c r="G33" s="247"/>
      <c r="H33" s="247"/>
      <c r="I33" s="247"/>
      <c r="J33" s="247"/>
      <c r="K33" s="247"/>
      <c r="L33" s="278">
        <f t="shared" si="0"/>
        <v>0</v>
      </c>
      <c r="N33" s="252">
        <f t="shared" si="1"/>
        <v>0</v>
      </c>
      <c r="O33" s="252">
        <f t="shared" si="2"/>
        <v>0</v>
      </c>
      <c r="Q33" s="252">
        <f t="shared" si="3"/>
        <v>0</v>
      </c>
      <c r="R33" s="279">
        <f t="shared" si="4"/>
        <v>0</v>
      </c>
      <c r="S33" s="252">
        <f t="shared" si="6"/>
        <v>0</v>
      </c>
      <c r="U33" s="253"/>
    </row>
    <row r="34" spans="1:21" ht="25.5" customHeight="1">
      <c r="A34" s="255">
        <f t="shared" si="5"/>
        <v>46265</v>
      </c>
      <c r="B34" s="247"/>
      <c r="C34" s="247"/>
      <c r="D34" s="247"/>
      <c r="E34" s="247"/>
      <c r="F34" s="247"/>
      <c r="G34" s="247"/>
      <c r="H34" s="247"/>
      <c r="I34" s="247"/>
      <c r="J34" s="247"/>
      <c r="K34" s="247"/>
      <c r="L34" s="278">
        <f t="shared" si="0"/>
        <v>0</v>
      </c>
      <c r="N34" s="252">
        <f>L34</f>
        <v>0</v>
      </c>
      <c r="O34" s="252">
        <f t="shared" si="2"/>
        <v>0</v>
      </c>
      <c r="Q34" s="252">
        <f t="shared" si="3"/>
        <v>0</v>
      </c>
      <c r="R34" s="279">
        <f t="shared" si="4"/>
        <v>0</v>
      </c>
      <c r="S34" s="252">
        <f t="shared" si="6"/>
        <v>0</v>
      </c>
      <c r="U34" s="253"/>
    </row>
    <row r="35" spans="1:21" ht="25.5" customHeight="1">
      <c r="A35" s="256" t="s">
        <v>177</v>
      </c>
      <c r="B35" s="256">
        <f>SUM(B4:B34)</f>
        <v>0</v>
      </c>
      <c r="C35" s="256">
        <f>SUM(C4:C34)</f>
        <v>1</v>
      </c>
      <c r="D35" s="256">
        <f t="shared" ref="D35:I35" si="7">SUM(D4:D34)</f>
        <v>41</v>
      </c>
      <c r="E35" s="256">
        <f t="shared" si="7"/>
        <v>41</v>
      </c>
      <c r="F35" s="256">
        <f t="shared" si="7"/>
        <v>0</v>
      </c>
      <c r="G35" s="256">
        <f t="shared" si="7"/>
        <v>71</v>
      </c>
      <c r="H35" s="256">
        <f t="shared" si="7"/>
        <v>11</v>
      </c>
      <c r="I35" s="256">
        <f t="shared" si="7"/>
        <v>232</v>
      </c>
      <c r="J35" s="256">
        <f>SUM(J4:J34)</f>
        <v>126</v>
      </c>
      <c r="K35" s="256">
        <f>SUM(K4:K34)</f>
        <v>0</v>
      </c>
      <c r="L35" s="267">
        <f>SUM(L4:L34)</f>
        <v>523</v>
      </c>
      <c r="M35" s="54"/>
      <c r="N35" s="15">
        <f>SUM(N4:N34)</f>
        <v>523</v>
      </c>
      <c r="O35" s="15">
        <f>SUM(O4:O34)</f>
        <v>2091</v>
      </c>
      <c r="Q35" s="15">
        <f>SUM(Q4:Q34)</f>
        <v>0</v>
      </c>
      <c r="R35" s="258">
        <f>SUM(R4:R34)</f>
        <v>83</v>
      </c>
      <c r="S35" s="15">
        <f>SUM(S4:S34)</f>
        <v>440</v>
      </c>
      <c r="U35" s="15"/>
    </row>
    <row r="36" spans="1:21" ht="25.5" customHeight="1">
      <c r="A36" s="87"/>
      <c r="B36" s="87"/>
      <c r="C36" s="87"/>
      <c r="D36" s="87"/>
      <c r="E36" s="32"/>
      <c r="F36" s="32"/>
      <c r="G36" s="32"/>
      <c r="H36" s="32"/>
      <c r="I36" s="32"/>
      <c r="J36" s="32"/>
      <c r="K36" s="32"/>
      <c r="L36" s="32"/>
      <c r="M36" s="87"/>
      <c r="N36" s="87"/>
      <c r="O36" s="87"/>
      <c r="P36" s="87"/>
      <c r="Q36" s="87"/>
      <c r="R36" s="87"/>
      <c r="S36" s="87"/>
      <c r="T36" s="87"/>
      <c r="U36" s="87"/>
    </row>
    <row r="37" spans="1:21" ht="25.5" customHeight="1">
      <c r="A37" s="225"/>
      <c r="B37" s="225"/>
      <c r="C37" s="225"/>
      <c r="D37" s="225"/>
      <c r="E37" s="32"/>
      <c r="F37" s="32"/>
      <c r="G37" s="32"/>
      <c r="H37" s="32"/>
      <c r="I37" s="32"/>
      <c r="J37" s="32"/>
      <c r="K37" s="32"/>
      <c r="L37" s="32"/>
      <c r="M37" s="87"/>
      <c r="N37" s="87"/>
      <c r="O37" s="87"/>
      <c r="P37" s="87"/>
      <c r="Q37" s="87"/>
      <c r="R37" s="87"/>
      <c r="S37" s="87"/>
      <c r="T37" s="87"/>
      <c r="U37" s="87"/>
    </row>
    <row r="38" spans="1:21" ht="25.5" customHeight="1">
      <c r="A38" s="225"/>
      <c r="B38" s="225"/>
      <c r="C38" s="225"/>
      <c r="D38" s="225"/>
      <c r="E38" s="32"/>
      <c r="F38" s="32"/>
      <c r="G38" s="32"/>
      <c r="H38" s="32"/>
      <c r="I38" s="32"/>
      <c r="J38" s="32"/>
      <c r="K38" s="32"/>
      <c r="L38" s="32"/>
      <c r="M38" s="87"/>
      <c r="N38" s="87"/>
      <c r="O38" s="87"/>
      <c r="P38" s="87"/>
      <c r="Q38" s="87"/>
      <c r="R38" s="87"/>
      <c r="S38" s="87"/>
      <c r="T38" s="87"/>
      <c r="U38" s="87"/>
    </row>
    <row r="39" spans="1:21" ht="25.5" customHeight="1">
      <c r="A39" s="225"/>
      <c r="B39" s="225"/>
      <c r="C39" s="225"/>
      <c r="D39" s="225"/>
      <c r="E39" s="32"/>
      <c r="F39" s="32"/>
      <c r="G39" s="32"/>
      <c r="H39" s="32"/>
      <c r="I39" s="32"/>
      <c r="J39" s="32"/>
      <c r="K39" s="32"/>
      <c r="L39" s="32"/>
      <c r="M39" s="87"/>
      <c r="N39" s="87"/>
      <c r="O39" s="87"/>
      <c r="P39" s="87"/>
      <c r="Q39" s="87"/>
      <c r="R39" s="87"/>
      <c r="S39" s="87"/>
      <c r="T39" s="87"/>
      <c r="U39" s="87"/>
    </row>
    <row r="40" spans="1:21" ht="25.5" customHeight="1">
      <c r="A40" s="225"/>
      <c r="B40" s="225"/>
      <c r="C40" s="225"/>
      <c r="D40" s="225"/>
      <c r="E40" s="32"/>
      <c r="F40" s="32"/>
      <c r="G40" s="32"/>
      <c r="H40" s="32"/>
      <c r="I40" s="32"/>
      <c r="J40" s="32"/>
      <c r="K40" s="32"/>
      <c r="L40" s="32"/>
      <c r="M40" s="87"/>
      <c r="N40" s="87"/>
      <c r="O40" s="87"/>
      <c r="P40" s="87"/>
      <c r="Q40" s="87"/>
      <c r="R40" s="87"/>
      <c r="S40" s="87"/>
      <c r="T40" s="87"/>
      <c r="U40" s="87"/>
    </row>
    <row r="41" spans="1:21" ht="25.5" customHeight="1">
      <c r="A41" s="225"/>
      <c r="B41" s="225"/>
      <c r="C41" s="225"/>
      <c r="D41" s="225"/>
      <c r="E41" s="32"/>
      <c r="F41" s="32"/>
      <c r="G41" s="32"/>
      <c r="H41" s="32"/>
      <c r="I41" s="32"/>
      <c r="J41" s="32"/>
      <c r="K41" s="32"/>
      <c r="L41" s="32"/>
      <c r="M41" s="87"/>
      <c r="N41" s="87"/>
      <c r="O41" s="87"/>
      <c r="P41" s="87"/>
      <c r="Q41" s="87"/>
      <c r="R41" s="87"/>
      <c r="S41" s="87"/>
      <c r="T41" s="87"/>
      <c r="U41" s="87"/>
    </row>
    <row r="42" spans="1:21" ht="25.5" customHeight="1">
      <c r="A42" s="225"/>
      <c r="B42" s="225"/>
      <c r="C42" s="225"/>
      <c r="D42" s="225"/>
      <c r="E42" s="32"/>
      <c r="F42" s="32"/>
      <c r="G42" s="32"/>
      <c r="H42" s="32"/>
      <c r="I42" s="32"/>
      <c r="J42" s="32"/>
      <c r="K42" s="32"/>
      <c r="L42" s="32"/>
      <c r="M42" s="87"/>
      <c r="N42" s="87"/>
      <c r="O42" s="87"/>
      <c r="P42" s="87"/>
      <c r="Q42" s="87"/>
      <c r="R42" s="87"/>
      <c r="S42" s="87"/>
      <c r="T42" s="87"/>
      <c r="U42" s="87"/>
    </row>
    <row r="43" spans="1:21" ht="25.5" customHeight="1">
      <c r="A43" s="226"/>
      <c r="B43" s="226"/>
      <c r="C43" s="226"/>
      <c r="D43" s="226"/>
      <c r="E43" s="32"/>
      <c r="F43" s="32"/>
      <c r="G43" s="32"/>
      <c r="H43" s="32"/>
      <c r="I43" s="32"/>
      <c r="J43" s="32"/>
      <c r="K43" s="32"/>
      <c r="L43" s="32"/>
      <c r="M43" s="87"/>
      <c r="N43" s="87"/>
      <c r="O43" s="87"/>
      <c r="P43" s="87"/>
      <c r="Q43" s="87"/>
      <c r="R43" s="87"/>
      <c r="S43" s="87"/>
      <c r="T43" s="87"/>
      <c r="U43" s="87"/>
    </row>
    <row r="44" spans="1:21" ht="25.5" customHeight="1">
      <c r="A44" s="226"/>
      <c r="B44" s="226"/>
      <c r="C44" s="226"/>
      <c r="D44" s="226"/>
      <c r="E44" s="32"/>
      <c r="F44" s="32"/>
      <c r="G44" s="32"/>
      <c r="H44" s="32"/>
      <c r="I44" s="32"/>
      <c r="J44" s="32"/>
      <c r="K44" s="32"/>
      <c r="L44" s="32"/>
      <c r="M44" s="87"/>
      <c r="N44" s="87"/>
      <c r="O44" s="87"/>
      <c r="P44" s="87"/>
      <c r="Q44" s="87"/>
      <c r="R44" s="87"/>
      <c r="S44" s="87"/>
      <c r="T44" s="87"/>
      <c r="U44" s="87"/>
    </row>
    <row r="45" spans="1:21" ht="25.5" customHeight="1">
      <c r="A45" s="226"/>
      <c r="B45" s="226"/>
      <c r="C45" s="226"/>
      <c r="D45" s="226"/>
      <c r="E45" s="32"/>
      <c r="F45" s="32"/>
      <c r="G45" s="32"/>
      <c r="H45" s="32"/>
      <c r="I45" s="32"/>
      <c r="J45" s="32"/>
      <c r="K45" s="32"/>
      <c r="L45" s="32"/>
      <c r="M45" s="87"/>
      <c r="N45" s="87"/>
      <c r="O45" s="87"/>
      <c r="P45" s="87"/>
      <c r="Q45" s="87"/>
      <c r="R45" s="87"/>
      <c r="S45" s="87"/>
      <c r="T45" s="87"/>
      <c r="U45" s="87"/>
    </row>
    <row r="46" spans="1:21" ht="25.5" customHeight="1">
      <c r="A46" s="226"/>
      <c r="B46" s="226"/>
      <c r="C46" s="226"/>
      <c r="D46" s="226"/>
      <c r="E46" s="32"/>
      <c r="F46" s="32"/>
      <c r="G46" s="32"/>
      <c r="H46" s="32"/>
      <c r="I46" s="32"/>
      <c r="J46" s="32"/>
      <c r="K46" s="32"/>
      <c r="L46" s="32"/>
      <c r="M46" s="87"/>
      <c r="N46" s="87"/>
      <c r="O46" s="87"/>
      <c r="P46" s="87"/>
      <c r="Q46" s="87"/>
      <c r="R46" s="87"/>
      <c r="S46" s="87"/>
      <c r="T46" s="87"/>
      <c r="U46" s="87"/>
    </row>
    <row r="47" spans="1:21" ht="25.5" customHeight="1">
      <c r="A47" s="226"/>
      <c r="B47" s="226"/>
      <c r="C47" s="226"/>
      <c r="D47" s="226"/>
      <c r="E47" s="32"/>
      <c r="F47" s="32"/>
      <c r="G47" s="32"/>
      <c r="H47" s="32"/>
      <c r="I47" s="32"/>
      <c r="J47" s="32"/>
      <c r="K47" s="32"/>
      <c r="L47" s="32"/>
      <c r="M47" s="87"/>
      <c r="N47" s="87"/>
      <c r="O47" s="87"/>
      <c r="P47" s="87"/>
      <c r="Q47" s="87"/>
      <c r="R47" s="87"/>
      <c r="S47" s="87"/>
      <c r="T47" s="87"/>
      <c r="U47" s="87"/>
    </row>
    <row r="48" spans="1:21" ht="25.5" customHeight="1">
      <c r="A48" s="226"/>
      <c r="B48" s="226"/>
      <c r="C48" s="226"/>
      <c r="D48" s="226"/>
      <c r="E48" s="32"/>
      <c r="F48" s="32"/>
      <c r="G48" s="32"/>
      <c r="H48" s="32"/>
      <c r="I48" s="32"/>
      <c r="J48" s="32"/>
      <c r="K48" s="32"/>
      <c r="L48" s="32"/>
      <c r="M48" s="87"/>
      <c r="N48" s="87"/>
      <c r="O48" s="87"/>
      <c r="P48" s="87"/>
      <c r="Q48" s="87"/>
      <c r="R48" s="87"/>
      <c r="S48" s="87"/>
      <c r="T48" s="87"/>
      <c r="U48" s="87"/>
    </row>
    <row r="49" spans="1:21" ht="25.5" customHeight="1">
      <c r="A49" s="226"/>
      <c r="B49" s="226"/>
      <c r="C49" s="226"/>
      <c r="D49" s="226"/>
      <c r="E49" s="32"/>
      <c r="F49" s="32"/>
      <c r="G49" s="32"/>
      <c r="H49" s="32"/>
      <c r="I49" s="32"/>
      <c r="J49" s="32"/>
      <c r="K49" s="32"/>
      <c r="L49" s="32"/>
      <c r="M49" s="87"/>
      <c r="N49" s="87"/>
      <c r="O49" s="87"/>
      <c r="P49" s="87"/>
      <c r="Q49" s="87"/>
      <c r="R49" s="87"/>
      <c r="S49" s="87"/>
      <c r="T49" s="87"/>
      <c r="U49" s="87"/>
    </row>
    <row r="50" spans="1:21" ht="25.5" customHeight="1">
      <c r="A50" s="226"/>
      <c r="B50" s="226"/>
      <c r="C50" s="226"/>
      <c r="D50" s="226"/>
      <c r="E50" s="32"/>
      <c r="F50" s="32"/>
      <c r="G50" s="32"/>
      <c r="H50" s="32"/>
      <c r="I50" s="32"/>
      <c r="J50" s="32"/>
      <c r="K50" s="32"/>
      <c r="L50" s="32"/>
      <c r="M50" s="87"/>
      <c r="N50" s="87"/>
      <c r="O50" s="87"/>
      <c r="P50" s="87"/>
      <c r="Q50" s="87"/>
      <c r="R50" s="87"/>
      <c r="S50" s="87"/>
      <c r="T50" s="87"/>
      <c r="U50" s="87"/>
    </row>
    <row r="51" spans="1:21" ht="25.5" customHeight="1">
      <c r="A51" s="226"/>
      <c r="B51" s="226"/>
      <c r="C51" s="226"/>
      <c r="D51" s="226"/>
      <c r="E51" s="32"/>
      <c r="F51" s="32"/>
      <c r="G51" s="32"/>
      <c r="H51" s="32"/>
      <c r="I51" s="32"/>
      <c r="J51" s="32"/>
      <c r="K51" s="32"/>
      <c r="L51" s="32"/>
      <c r="M51" s="87"/>
      <c r="N51" s="87"/>
      <c r="O51" s="87"/>
      <c r="P51" s="87"/>
      <c r="Q51" s="87"/>
      <c r="R51" s="87"/>
      <c r="S51" s="87"/>
      <c r="T51" s="87"/>
      <c r="U51" s="87"/>
    </row>
    <row r="52" spans="1:21" ht="25.5" customHeight="1">
      <c r="A52" s="226"/>
      <c r="B52" s="226"/>
      <c r="C52" s="226"/>
      <c r="D52" s="226"/>
      <c r="E52" s="32"/>
      <c r="F52" s="32"/>
      <c r="G52" s="32"/>
      <c r="H52" s="32"/>
      <c r="I52" s="32"/>
      <c r="J52" s="32"/>
      <c r="K52" s="32"/>
      <c r="L52" s="32"/>
      <c r="M52" s="87"/>
      <c r="N52" s="87"/>
      <c r="O52" s="87"/>
      <c r="P52" s="87"/>
      <c r="Q52" s="87"/>
      <c r="R52" s="87"/>
      <c r="S52" s="87"/>
      <c r="T52" s="87"/>
      <c r="U52" s="87"/>
    </row>
    <row r="53" spans="1:21" ht="25.5" customHeight="1">
      <c r="A53" s="227"/>
      <c r="B53" s="227"/>
      <c r="C53" s="227"/>
      <c r="D53" s="227"/>
      <c r="E53" s="32"/>
      <c r="F53" s="32"/>
      <c r="G53" s="32"/>
      <c r="H53" s="32"/>
      <c r="I53" s="32"/>
      <c r="J53" s="32"/>
      <c r="K53" s="32"/>
      <c r="L53" s="32"/>
      <c r="M53" s="87"/>
      <c r="N53" s="87"/>
      <c r="O53" s="87"/>
      <c r="P53" s="87"/>
      <c r="Q53" s="87"/>
      <c r="R53" s="87"/>
      <c r="S53" s="87"/>
      <c r="T53" s="87"/>
      <c r="U53" s="87"/>
    </row>
    <row r="54" spans="1:21" ht="25.5" customHeight="1">
      <c r="A54" s="227"/>
      <c r="B54" s="227"/>
      <c r="C54" s="227"/>
      <c r="D54" s="227"/>
      <c r="E54" s="32"/>
      <c r="F54" s="32"/>
      <c r="G54" s="32"/>
      <c r="H54" s="32"/>
      <c r="I54" s="32"/>
      <c r="J54" s="32"/>
      <c r="K54" s="32"/>
      <c r="L54" s="32"/>
      <c r="M54" s="87"/>
      <c r="N54" s="87"/>
      <c r="O54" s="87"/>
      <c r="P54" s="87"/>
      <c r="Q54" s="87"/>
      <c r="R54" s="87"/>
      <c r="S54" s="87"/>
      <c r="T54" s="87"/>
      <c r="U54" s="87"/>
    </row>
    <row r="55" spans="1:21" ht="25.5" customHeight="1">
      <c r="A55" s="227"/>
      <c r="B55" s="227"/>
      <c r="C55" s="227"/>
      <c r="D55" s="227"/>
      <c r="E55" s="32"/>
      <c r="F55" s="32"/>
      <c r="G55" s="32"/>
      <c r="H55" s="32"/>
      <c r="I55" s="32"/>
      <c r="J55" s="32"/>
      <c r="K55" s="32"/>
      <c r="L55" s="32"/>
      <c r="M55" s="87"/>
      <c r="N55" s="87"/>
      <c r="O55" s="87"/>
      <c r="P55" s="87"/>
      <c r="Q55" s="87"/>
      <c r="R55" s="87"/>
      <c r="S55" s="87"/>
      <c r="T55" s="87"/>
      <c r="U55" s="87"/>
    </row>
    <row r="56" spans="1:21" ht="25.5" customHeight="1">
      <c r="A56" s="227"/>
      <c r="B56" s="227"/>
      <c r="C56" s="227"/>
      <c r="D56" s="227"/>
      <c r="E56" s="32"/>
      <c r="F56" s="32"/>
      <c r="G56" s="32"/>
      <c r="H56" s="32"/>
      <c r="I56" s="32"/>
      <c r="J56" s="32"/>
      <c r="K56" s="32"/>
      <c r="L56" s="32"/>
      <c r="M56" s="87"/>
      <c r="N56" s="87"/>
      <c r="O56" s="87"/>
      <c r="P56" s="87"/>
      <c r="Q56" s="87"/>
      <c r="R56" s="87"/>
      <c r="S56" s="87"/>
      <c r="T56" s="87"/>
      <c r="U56" s="87"/>
    </row>
    <row r="57" spans="1:21" ht="25.5" customHeight="1">
      <c r="A57" s="227"/>
      <c r="B57" s="227"/>
      <c r="C57" s="227"/>
      <c r="D57" s="227"/>
      <c r="E57" s="32"/>
      <c r="F57" s="32"/>
      <c r="G57" s="32"/>
      <c r="H57" s="32"/>
      <c r="I57" s="32"/>
      <c r="J57" s="32"/>
      <c r="K57" s="32"/>
      <c r="L57" s="32"/>
      <c r="M57" s="87"/>
      <c r="N57" s="87"/>
      <c r="O57" s="87"/>
      <c r="P57" s="87"/>
      <c r="Q57" s="87"/>
      <c r="R57" s="87"/>
      <c r="S57" s="87"/>
      <c r="T57" s="87"/>
      <c r="U57" s="87"/>
    </row>
    <row r="58" spans="1:21" ht="25.5" customHeight="1">
      <c r="A58" s="227"/>
      <c r="B58" s="227"/>
      <c r="C58" s="227"/>
      <c r="D58" s="227"/>
      <c r="E58" s="32"/>
      <c r="F58" s="32"/>
      <c r="G58" s="32"/>
      <c r="H58" s="32"/>
      <c r="I58" s="32"/>
      <c r="J58" s="32"/>
      <c r="K58" s="32"/>
      <c r="L58" s="32"/>
      <c r="M58" s="87"/>
      <c r="N58" s="87"/>
      <c r="O58" s="87"/>
      <c r="P58" s="87"/>
      <c r="Q58" s="87"/>
      <c r="R58" s="87"/>
      <c r="S58" s="87"/>
      <c r="T58" s="87"/>
      <c r="U58" s="87"/>
    </row>
    <row r="59" spans="1:21" ht="25.5" customHeight="1">
      <c r="A59" s="227"/>
      <c r="B59" s="227"/>
      <c r="C59" s="227"/>
      <c r="D59" s="227"/>
      <c r="E59" s="32"/>
      <c r="F59" s="32"/>
      <c r="G59" s="32"/>
      <c r="H59" s="32"/>
      <c r="I59" s="32"/>
      <c r="J59" s="32"/>
      <c r="K59" s="32"/>
      <c r="L59" s="32"/>
      <c r="M59" s="87"/>
      <c r="N59" s="87"/>
      <c r="O59" s="87"/>
      <c r="P59" s="87"/>
      <c r="Q59" s="87"/>
      <c r="R59" s="87"/>
      <c r="S59" s="87"/>
      <c r="T59" s="87"/>
      <c r="U59" s="87"/>
    </row>
    <row r="60" spans="1:21" ht="25.5" customHeight="1">
      <c r="A60" s="227"/>
      <c r="B60" s="227"/>
      <c r="C60" s="227"/>
      <c r="D60" s="227"/>
      <c r="E60" s="32"/>
      <c r="F60" s="32"/>
      <c r="G60" s="32"/>
      <c r="H60" s="32"/>
      <c r="I60" s="32"/>
      <c r="J60" s="32"/>
      <c r="K60" s="32"/>
      <c r="L60" s="32"/>
      <c r="M60" s="87"/>
      <c r="N60" s="87"/>
      <c r="O60" s="87"/>
      <c r="P60" s="87"/>
      <c r="Q60" s="87"/>
      <c r="R60" s="87"/>
      <c r="S60" s="87"/>
      <c r="T60" s="87"/>
      <c r="U60" s="87"/>
    </row>
    <row r="61" spans="1:21" ht="25.5" customHeight="1">
      <c r="A61" s="227"/>
      <c r="B61" s="227"/>
      <c r="C61" s="227"/>
      <c r="D61" s="227"/>
      <c r="E61" s="32"/>
      <c r="F61" s="32"/>
      <c r="G61" s="32"/>
      <c r="H61" s="32"/>
      <c r="I61" s="32"/>
      <c r="J61" s="32"/>
      <c r="K61" s="32"/>
      <c r="L61" s="32"/>
      <c r="M61" s="87"/>
      <c r="N61" s="87"/>
      <c r="O61" s="87"/>
      <c r="P61" s="87"/>
      <c r="Q61" s="87"/>
      <c r="R61" s="87"/>
      <c r="S61" s="87"/>
      <c r="T61" s="87"/>
      <c r="U61" s="87"/>
    </row>
    <row r="62" spans="1:21" ht="25.5" customHeight="1">
      <c r="A62" s="227"/>
      <c r="B62" s="227"/>
      <c r="C62" s="227"/>
      <c r="D62" s="227"/>
      <c r="E62" s="32"/>
      <c r="F62" s="32"/>
      <c r="G62" s="32"/>
      <c r="H62" s="32"/>
      <c r="I62" s="32"/>
      <c r="J62" s="32"/>
      <c r="K62" s="32"/>
      <c r="L62" s="32"/>
      <c r="M62" s="87"/>
      <c r="N62" s="87"/>
      <c r="O62" s="87"/>
      <c r="P62" s="87"/>
      <c r="Q62" s="87"/>
      <c r="R62" s="87"/>
      <c r="S62" s="87"/>
      <c r="T62" s="87"/>
      <c r="U62" s="87"/>
    </row>
    <row r="63" spans="1:21" ht="25.5" customHeight="1">
      <c r="A63" s="227"/>
      <c r="B63" s="227"/>
      <c r="C63" s="227"/>
      <c r="D63" s="227"/>
      <c r="E63" s="32"/>
      <c r="F63" s="32"/>
      <c r="G63" s="32"/>
      <c r="H63" s="32"/>
      <c r="I63" s="32"/>
      <c r="J63" s="32"/>
      <c r="K63" s="32"/>
      <c r="L63" s="32"/>
      <c r="M63" s="87"/>
      <c r="N63" s="87"/>
      <c r="O63" s="87"/>
      <c r="P63" s="87"/>
      <c r="Q63" s="87"/>
      <c r="R63" s="87"/>
      <c r="S63" s="87"/>
      <c r="T63" s="87"/>
      <c r="U63" s="87"/>
    </row>
    <row r="64" spans="1:21" ht="25.5" customHeight="1">
      <c r="A64" s="227"/>
      <c r="B64" s="227"/>
      <c r="C64" s="227"/>
      <c r="D64" s="227"/>
      <c r="E64" s="32"/>
      <c r="F64" s="32"/>
      <c r="G64" s="32"/>
      <c r="H64" s="32"/>
      <c r="I64" s="32"/>
      <c r="J64" s="32"/>
      <c r="K64" s="32"/>
      <c r="L64" s="32"/>
      <c r="M64" s="87"/>
      <c r="N64" s="87"/>
      <c r="O64" s="87"/>
      <c r="P64" s="87"/>
      <c r="Q64" s="87"/>
      <c r="R64" s="87"/>
      <c r="S64" s="87"/>
      <c r="T64" s="87"/>
      <c r="U64" s="87"/>
    </row>
    <row r="65" spans="1:21" ht="25.5" customHeight="1">
      <c r="A65" s="227"/>
      <c r="B65" s="227"/>
      <c r="C65" s="227"/>
      <c r="D65" s="227"/>
      <c r="E65" s="32"/>
      <c r="F65" s="32"/>
      <c r="G65" s="32"/>
      <c r="H65" s="32"/>
      <c r="I65" s="32"/>
      <c r="J65" s="32"/>
      <c r="K65" s="32"/>
      <c r="L65" s="32"/>
      <c r="M65" s="87"/>
      <c r="N65" s="87"/>
      <c r="O65" s="87"/>
      <c r="P65" s="87"/>
      <c r="Q65" s="87"/>
      <c r="R65" s="87"/>
      <c r="S65" s="87"/>
      <c r="T65" s="87"/>
      <c r="U65" s="87"/>
    </row>
    <row r="66" spans="1:21" ht="25.5" customHeight="1">
      <c r="A66" s="227"/>
      <c r="B66" s="227"/>
      <c r="C66" s="227"/>
      <c r="D66" s="227"/>
      <c r="E66" s="32"/>
      <c r="F66" s="32"/>
      <c r="G66" s="32"/>
      <c r="H66" s="32"/>
      <c r="I66" s="32"/>
      <c r="J66" s="32"/>
      <c r="K66" s="32"/>
      <c r="L66" s="32"/>
      <c r="M66" s="87"/>
      <c r="N66" s="87"/>
      <c r="O66" s="87"/>
      <c r="P66" s="87"/>
      <c r="Q66" s="87"/>
      <c r="R66" s="87"/>
      <c r="S66" s="87"/>
      <c r="T66" s="87"/>
      <c r="U66" s="87"/>
    </row>
    <row r="67" spans="1:21" ht="25.5" customHeight="1">
      <c r="A67" s="227"/>
      <c r="B67" s="227"/>
      <c r="C67" s="227"/>
      <c r="D67" s="227"/>
      <c r="E67" s="32"/>
      <c r="F67" s="32"/>
      <c r="G67" s="32"/>
      <c r="H67" s="32"/>
      <c r="I67" s="32"/>
      <c r="J67" s="32"/>
      <c r="K67" s="32"/>
      <c r="L67" s="32"/>
      <c r="M67" s="87"/>
      <c r="N67" s="87"/>
      <c r="O67" s="87"/>
      <c r="P67" s="87"/>
      <c r="Q67" s="87"/>
      <c r="R67" s="87"/>
      <c r="S67" s="87"/>
      <c r="T67" s="87"/>
      <c r="U67" s="87"/>
    </row>
    <row r="68" spans="1:21" ht="25.5" customHeight="1">
      <c r="A68" s="227"/>
      <c r="B68" s="227"/>
      <c r="C68" s="227"/>
      <c r="D68" s="227"/>
      <c r="E68" s="32"/>
      <c r="F68" s="32"/>
      <c r="G68" s="32"/>
      <c r="H68" s="32"/>
      <c r="I68" s="32"/>
      <c r="J68" s="32"/>
      <c r="K68" s="32"/>
      <c r="L68" s="32"/>
      <c r="M68" s="87"/>
      <c r="N68" s="87"/>
      <c r="O68" s="87"/>
      <c r="P68" s="87"/>
      <c r="Q68" s="87"/>
      <c r="R68" s="87"/>
      <c r="S68" s="87"/>
      <c r="T68" s="87"/>
      <c r="U68" s="87"/>
    </row>
    <row r="69" spans="1:21" ht="25.5" customHeight="1">
      <c r="A69" s="227"/>
      <c r="B69" s="227"/>
      <c r="C69" s="227"/>
      <c r="D69" s="227"/>
      <c r="E69" s="32"/>
      <c r="F69" s="32"/>
      <c r="G69" s="32"/>
      <c r="H69" s="32"/>
      <c r="I69" s="32"/>
      <c r="J69" s="32"/>
      <c r="K69" s="32"/>
      <c r="L69" s="32"/>
      <c r="M69" s="87"/>
      <c r="N69" s="87"/>
      <c r="O69" s="87"/>
      <c r="P69" s="87"/>
      <c r="Q69" s="87"/>
      <c r="R69" s="87"/>
      <c r="S69" s="87"/>
      <c r="T69" s="87"/>
      <c r="U69" s="87"/>
    </row>
    <row r="70" spans="1:21" ht="25.5" customHeight="1">
      <c r="A70" s="227"/>
      <c r="B70" s="227"/>
      <c r="C70" s="227"/>
      <c r="D70" s="227"/>
      <c r="E70" s="32"/>
      <c r="F70" s="32"/>
      <c r="G70" s="32"/>
      <c r="H70" s="32"/>
      <c r="I70" s="32"/>
      <c r="J70" s="32"/>
      <c r="K70" s="32"/>
      <c r="L70" s="32"/>
      <c r="M70" s="87"/>
      <c r="N70" s="87"/>
      <c r="O70" s="87"/>
      <c r="P70" s="87"/>
      <c r="Q70" s="87"/>
      <c r="R70" s="87"/>
      <c r="S70" s="87"/>
      <c r="T70" s="87"/>
      <c r="U70" s="87"/>
    </row>
    <row r="71" spans="1:21" ht="25.5" customHeight="1">
      <c r="A71" s="227"/>
      <c r="B71" s="227"/>
      <c r="C71" s="227"/>
      <c r="D71" s="227"/>
      <c r="E71" s="32"/>
      <c r="F71" s="32"/>
      <c r="G71" s="32"/>
      <c r="H71" s="32"/>
      <c r="I71" s="32"/>
      <c r="J71" s="32"/>
      <c r="K71" s="32"/>
      <c r="L71" s="32"/>
      <c r="M71" s="87"/>
      <c r="N71" s="87"/>
      <c r="O71" s="87"/>
      <c r="P71" s="87"/>
      <c r="Q71" s="87"/>
      <c r="R71" s="87"/>
      <c r="S71" s="87"/>
      <c r="T71" s="87"/>
      <c r="U71" s="87"/>
    </row>
    <row r="72" spans="1:21" ht="25.5" customHeight="1">
      <c r="A72" s="227"/>
      <c r="B72" s="227"/>
      <c r="C72" s="227"/>
      <c r="D72" s="227"/>
      <c r="E72" s="32"/>
      <c r="F72" s="32"/>
      <c r="G72" s="32"/>
      <c r="H72" s="32"/>
      <c r="I72" s="32"/>
      <c r="J72" s="32"/>
      <c r="K72" s="32"/>
      <c r="L72" s="32"/>
      <c r="M72" s="87"/>
      <c r="N72" s="87"/>
      <c r="O72" s="87"/>
      <c r="P72" s="87"/>
      <c r="Q72" s="87"/>
      <c r="R72" s="87"/>
      <c r="S72" s="87"/>
      <c r="T72" s="87"/>
      <c r="U72" s="87"/>
    </row>
    <row r="73" spans="1:21" ht="25.5" customHeight="1">
      <c r="A73" s="227"/>
      <c r="B73" s="227"/>
      <c r="C73" s="227"/>
      <c r="D73" s="227"/>
      <c r="E73" s="32"/>
      <c r="F73" s="32"/>
      <c r="G73" s="32"/>
      <c r="H73" s="32"/>
      <c r="I73" s="32"/>
      <c r="J73" s="32"/>
      <c r="K73" s="32"/>
      <c r="L73" s="32"/>
      <c r="M73" s="87"/>
      <c r="N73" s="87"/>
      <c r="O73" s="87"/>
      <c r="P73" s="87"/>
      <c r="Q73" s="87"/>
      <c r="R73" s="87"/>
      <c r="S73" s="87"/>
      <c r="T73" s="87"/>
      <c r="U73" s="87"/>
    </row>
    <row r="74" spans="1:21" ht="25.5" customHeight="1">
      <c r="A74" s="227"/>
      <c r="B74" s="227"/>
      <c r="C74" s="227"/>
      <c r="D74" s="227"/>
      <c r="E74" s="32"/>
      <c r="F74" s="32"/>
      <c r="G74" s="32"/>
      <c r="H74" s="32"/>
      <c r="I74" s="32"/>
      <c r="J74" s="32"/>
      <c r="K74" s="32"/>
      <c r="L74" s="32"/>
      <c r="M74" s="87"/>
      <c r="N74" s="87"/>
      <c r="O74" s="87"/>
      <c r="P74" s="87"/>
      <c r="Q74" s="87"/>
      <c r="R74" s="87"/>
      <c r="S74" s="87"/>
      <c r="T74" s="87"/>
      <c r="U74" s="87"/>
    </row>
    <row r="75" spans="1:21" ht="25.5" customHeight="1">
      <c r="A75" s="227"/>
      <c r="B75" s="227"/>
      <c r="C75" s="227"/>
      <c r="D75" s="227"/>
      <c r="E75" s="32"/>
      <c r="F75" s="32"/>
      <c r="G75" s="32"/>
      <c r="H75" s="32"/>
      <c r="I75" s="32"/>
      <c r="J75" s="32"/>
      <c r="K75" s="32"/>
      <c r="L75" s="32"/>
      <c r="M75" s="87"/>
      <c r="N75" s="87"/>
      <c r="O75" s="87"/>
      <c r="P75" s="87"/>
      <c r="Q75" s="87"/>
      <c r="R75" s="87"/>
      <c r="S75" s="87"/>
      <c r="T75" s="87"/>
      <c r="U75" s="87"/>
    </row>
    <row r="76" spans="1:21" ht="25.5" customHeight="1">
      <c r="A76" s="227"/>
      <c r="B76" s="227"/>
      <c r="C76" s="227"/>
      <c r="D76" s="227"/>
      <c r="E76" s="32"/>
      <c r="F76" s="32"/>
      <c r="G76" s="32"/>
      <c r="H76" s="32"/>
      <c r="I76" s="32"/>
      <c r="J76" s="32"/>
      <c r="K76" s="32"/>
      <c r="L76" s="32"/>
      <c r="M76" s="87"/>
      <c r="N76" s="87"/>
      <c r="O76" s="87"/>
      <c r="P76" s="87"/>
      <c r="Q76" s="87"/>
      <c r="R76" s="87"/>
      <c r="S76" s="87"/>
      <c r="T76" s="87"/>
      <c r="U76" s="87"/>
    </row>
    <row r="77" spans="1:21" ht="25.5" customHeight="1">
      <c r="A77" s="227"/>
      <c r="B77" s="227"/>
      <c r="C77" s="227"/>
      <c r="D77" s="227"/>
      <c r="E77" s="32"/>
      <c r="F77" s="32"/>
      <c r="G77" s="32"/>
      <c r="H77" s="32"/>
      <c r="I77" s="32"/>
      <c r="J77" s="32"/>
      <c r="K77" s="32"/>
      <c r="L77" s="32"/>
      <c r="M77" s="87"/>
      <c r="N77" s="87"/>
      <c r="O77" s="87"/>
      <c r="P77" s="87"/>
      <c r="Q77" s="87"/>
      <c r="R77" s="87"/>
      <c r="S77" s="87"/>
      <c r="T77" s="87"/>
      <c r="U77" s="87"/>
    </row>
    <row r="78" spans="1:21" ht="25.5" customHeight="1">
      <c r="A78" s="227"/>
      <c r="B78" s="227"/>
      <c r="C78" s="227"/>
      <c r="D78" s="227"/>
      <c r="E78" s="32"/>
      <c r="F78" s="32"/>
      <c r="G78" s="32"/>
      <c r="H78" s="32"/>
      <c r="I78" s="32"/>
      <c r="J78" s="32"/>
      <c r="K78" s="32"/>
      <c r="L78" s="32"/>
      <c r="M78" s="87"/>
      <c r="N78" s="87"/>
      <c r="O78" s="87"/>
      <c r="P78" s="87"/>
      <c r="Q78" s="87"/>
      <c r="R78" s="87"/>
      <c r="S78" s="87"/>
      <c r="T78" s="87"/>
      <c r="U78" s="87"/>
    </row>
    <row r="79" spans="1:21" ht="25.5" customHeight="1">
      <c r="A79" s="227"/>
      <c r="B79" s="227"/>
      <c r="C79" s="227"/>
      <c r="D79" s="227"/>
      <c r="E79" s="32"/>
      <c r="F79" s="32"/>
      <c r="G79" s="32"/>
      <c r="H79" s="32"/>
      <c r="I79" s="32"/>
      <c r="J79" s="32"/>
      <c r="K79" s="32"/>
      <c r="L79" s="32"/>
      <c r="M79" s="87"/>
      <c r="N79" s="87"/>
      <c r="O79" s="87"/>
      <c r="P79" s="87"/>
      <c r="Q79" s="87"/>
      <c r="R79" s="87"/>
      <c r="S79" s="87"/>
      <c r="T79" s="87"/>
      <c r="U79" s="87"/>
    </row>
    <row r="80" spans="1:21" ht="25.5" customHeight="1">
      <c r="A80" s="227"/>
      <c r="B80" s="227"/>
      <c r="C80" s="227"/>
      <c r="D80" s="227"/>
      <c r="E80" s="32"/>
      <c r="F80" s="32"/>
      <c r="G80" s="32"/>
      <c r="H80" s="32"/>
      <c r="I80" s="32"/>
      <c r="J80" s="32"/>
      <c r="K80" s="32"/>
      <c r="L80" s="32"/>
      <c r="M80" s="87"/>
      <c r="N80" s="87"/>
      <c r="O80" s="87"/>
      <c r="P80" s="87"/>
      <c r="Q80" s="87"/>
      <c r="R80" s="87"/>
      <c r="S80" s="87"/>
      <c r="T80" s="87"/>
      <c r="U80" s="87"/>
    </row>
    <row r="81" spans="1:21" ht="25.5" customHeight="1">
      <c r="A81" s="227"/>
      <c r="B81" s="227"/>
      <c r="C81" s="227"/>
      <c r="D81" s="227"/>
      <c r="E81" s="32"/>
      <c r="F81" s="32"/>
      <c r="G81" s="32"/>
      <c r="H81" s="32"/>
      <c r="I81" s="32"/>
      <c r="J81" s="32"/>
      <c r="K81" s="32"/>
      <c r="L81" s="32"/>
      <c r="M81" s="87"/>
      <c r="N81" s="87"/>
      <c r="O81" s="87"/>
      <c r="P81" s="87"/>
      <c r="Q81" s="87"/>
      <c r="R81" s="87"/>
      <c r="S81" s="87"/>
      <c r="T81" s="87"/>
      <c r="U81" s="87"/>
    </row>
    <row r="82" spans="1:21" ht="25.5" customHeight="1">
      <c r="A82" s="227"/>
      <c r="B82" s="227"/>
      <c r="C82" s="227"/>
      <c r="D82" s="227"/>
      <c r="E82" s="32"/>
      <c r="F82" s="32"/>
      <c r="G82" s="32"/>
      <c r="H82" s="32"/>
      <c r="I82" s="32"/>
      <c r="J82" s="32"/>
      <c r="K82" s="32"/>
      <c r="L82" s="32"/>
      <c r="M82" s="87"/>
      <c r="N82" s="87"/>
      <c r="O82" s="87"/>
      <c r="P82" s="87"/>
      <c r="Q82" s="87"/>
      <c r="R82" s="87"/>
      <c r="S82" s="87"/>
      <c r="T82" s="87"/>
      <c r="U82" s="87"/>
    </row>
    <row r="83" spans="1:21" ht="25.5" customHeight="1">
      <c r="A83" s="227"/>
      <c r="B83" s="227"/>
      <c r="C83" s="227"/>
      <c r="D83" s="227"/>
      <c r="E83" s="32"/>
      <c r="F83" s="32"/>
      <c r="G83" s="32"/>
      <c r="H83" s="32"/>
      <c r="I83" s="32"/>
      <c r="J83" s="32"/>
      <c r="K83" s="32"/>
      <c r="L83" s="32"/>
      <c r="M83" s="87"/>
      <c r="N83" s="87"/>
      <c r="O83" s="87"/>
      <c r="P83" s="87"/>
      <c r="Q83" s="87"/>
      <c r="R83" s="87"/>
      <c r="S83" s="87"/>
      <c r="T83" s="87"/>
      <c r="U83" s="87"/>
    </row>
    <row r="84" spans="1:21" ht="25.5" customHeight="1">
      <c r="A84" s="227"/>
      <c r="B84" s="227"/>
      <c r="C84" s="227"/>
      <c r="D84" s="227"/>
      <c r="E84" s="32"/>
      <c r="F84" s="32"/>
      <c r="G84" s="32"/>
      <c r="H84" s="32"/>
      <c r="I84" s="32"/>
      <c r="J84" s="32"/>
      <c r="K84" s="32"/>
      <c r="L84" s="32"/>
      <c r="M84" s="87"/>
      <c r="N84" s="87"/>
      <c r="O84" s="87"/>
      <c r="P84" s="87"/>
      <c r="Q84" s="87"/>
      <c r="R84" s="87"/>
      <c r="S84" s="87"/>
      <c r="T84" s="87"/>
      <c r="U84" s="87"/>
    </row>
    <row r="85" spans="1:21" ht="25.5" customHeight="1">
      <c r="A85" s="227"/>
      <c r="B85" s="227"/>
      <c r="C85" s="227"/>
      <c r="D85" s="227"/>
      <c r="E85" s="32"/>
      <c r="F85" s="32"/>
      <c r="G85" s="32"/>
      <c r="H85" s="32"/>
      <c r="I85" s="32"/>
      <c r="J85" s="32"/>
      <c r="K85" s="32"/>
      <c r="L85" s="32"/>
      <c r="M85" s="87"/>
      <c r="N85" s="87"/>
      <c r="O85" s="87"/>
      <c r="P85" s="87"/>
      <c r="Q85" s="87"/>
      <c r="R85" s="87"/>
      <c r="S85" s="87"/>
      <c r="T85" s="87"/>
      <c r="U85" s="87"/>
    </row>
    <row r="86" spans="1:21" ht="25.5" customHeight="1">
      <c r="A86" s="227"/>
      <c r="B86" s="227"/>
      <c r="C86" s="227"/>
      <c r="D86" s="227"/>
      <c r="E86" s="32"/>
      <c r="F86" s="32"/>
      <c r="G86" s="32"/>
      <c r="H86" s="32"/>
      <c r="I86" s="32"/>
      <c r="J86" s="32"/>
      <c r="K86" s="32"/>
      <c r="L86" s="32"/>
      <c r="M86" s="87"/>
      <c r="N86" s="87"/>
      <c r="O86" s="87"/>
      <c r="P86" s="87"/>
      <c r="Q86" s="87"/>
      <c r="R86" s="87"/>
      <c r="S86" s="87"/>
      <c r="T86" s="87"/>
      <c r="U86" s="87"/>
    </row>
    <row r="87" spans="1:21" ht="25.5" customHeight="1">
      <c r="A87" s="227"/>
      <c r="B87" s="227"/>
      <c r="C87" s="227"/>
      <c r="D87" s="227"/>
      <c r="E87" s="32"/>
      <c r="F87" s="32"/>
      <c r="G87" s="32"/>
      <c r="H87" s="32"/>
      <c r="I87" s="32"/>
      <c r="J87" s="32"/>
      <c r="K87" s="32"/>
      <c r="L87" s="32"/>
      <c r="M87" s="87"/>
      <c r="N87" s="87"/>
      <c r="O87" s="87"/>
      <c r="P87" s="87"/>
      <c r="Q87" s="87"/>
      <c r="R87" s="87"/>
      <c r="S87" s="87"/>
      <c r="T87" s="87"/>
      <c r="U87" s="87"/>
    </row>
    <row r="88" spans="1:21" ht="25.5" customHeight="1">
      <c r="A88" s="227"/>
      <c r="B88" s="227"/>
      <c r="C88" s="227"/>
      <c r="D88" s="227"/>
      <c r="E88" s="32"/>
      <c r="F88" s="32"/>
      <c r="G88" s="32"/>
      <c r="H88" s="32"/>
      <c r="I88" s="32"/>
      <c r="J88" s="32"/>
      <c r="K88" s="32"/>
      <c r="L88" s="32"/>
      <c r="M88" s="87"/>
      <c r="N88" s="87"/>
      <c r="O88" s="87"/>
      <c r="P88" s="87"/>
      <c r="Q88" s="87"/>
      <c r="R88" s="87"/>
      <c r="S88" s="87"/>
      <c r="T88" s="87"/>
      <c r="U88" s="87"/>
    </row>
    <row r="89" spans="1:21" ht="25.5" customHeight="1">
      <c r="A89" s="227"/>
      <c r="B89" s="227"/>
      <c r="C89" s="227"/>
      <c r="D89" s="227"/>
      <c r="E89" s="32"/>
      <c r="F89" s="32"/>
      <c r="G89" s="32"/>
      <c r="H89" s="32"/>
      <c r="I89" s="32"/>
      <c r="J89" s="32"/>
      <c r="K89" s="32"/>
      <c r="L89" s="32"/>
      <c r="M89" s="87"/>
      <c r="N89" s="87"/>
      <c r="O89" s="87"/>
      <c r="P89" s="87"/>
      <c r="Q89" s="87"/>
      <c r="R89" s="87"/>
      <c r="S89" s="87"/>
      <c r="T89" s="87"/>
      <c r="U89" s="87"/>
    </row>
    <row r="90" spans="1:21" ht="25.5" customHeight="1">
      <c r="A90" s="227"/>
      <c r="B90" s="227"/>
      <c r="C90" s="227"/>
      <c r="D90" s="227"/>
      <c r="E90" s="32"/>
      <c r="F90" s="32"/>
      <c r="G90" s="32"/>
      <c r="H90" s="32"/>
      <c r="I90" s="32"/>
      <c r="J90" s="32"/>
      <c r="K90" s="32"/>
      <c r="L90" s="32"/>
      <c r="M90" s="87"/>
      <c r="N90" s="87"/>
      <c r="O90" s="87"/>
      <c r="P90" s="87"/>
      <c r="Q90" s="87"/>
      <c r="R90" s="87"/>
      <c r="S90" s="87"/>
      <c r="T90" s="87"/>
      <c r="U90" s="87"/>
    </row>
    <row r="91" spans="1:21" ht="25.5" customHeight="1">
      <c r="A91" s="227"/>
      <c r="B91" s="227"/>
      <c r="C91" s="227"/>
      <c r="D91" s="227"/>
      <c r="E91" s="32"/>
      <c r="F91" s="32"/>
      <c r="G91" s="32"/>
      <c r="H91" s="32"/>
      <c r="I91" s="32"/>
      <c r="J91" s="32"/>
      <c r="K91" s="32"/>
      <c r="L91" s="32"/>
      <c r="M91" s="87"/>
      <c r="N91" s="87"/>
      <c r="O91" s="87"/>
      <c r="P91" s="87"/>
      <c r="Q91" s="87"/>
      <c r="R91" s="87"/>
      <c r="S91" s="87"/>
      <c r="T91" s="87"/>
      <c r="U91" s="87"/>
    </row>
    <row r="92" spans="1:21" ht="25.5" customHeight="1">
      <c r="A92" s="227"/>
      <c r="B92" s="227"/>
      <c r="C92" s="227"/>
      <c r="D92" s="227"/>
      <c r="E92" s="32"/>
      <c r="F92" s="32"/>
      <c r="G92" s="32"/>
      <c r="H92" s="32"/>
      <c r="I92" s="32"/>
      <c r="J92" s="32"/>
      <c r="K92" s="32"/>
      <c r="L92" s="32"/>
      <c r="M92" s="87"/>
      <c r="N92" s="87"/>
      <c r="O92" s="87"/>
      <c r="P92" s="87"/>
      <c r="Q92" s="87"/>
      <c r="R92" s="87"/>
      <c r="S92" s="87"/>
      <c r="T92" s="87"/>
      <c r="U92" s="87"/>
    </row>
    <row r="93" spans="1:21" ht="25.5" customHeight="1">
      <c r="A93" s="227"/>
      <c r="B93" s="227"/>
      <c r="C93" s="227"/>
      <c r="D93" s="227"/>
      <c r="E93" s="32"/>
      <c r="F93" s="32"/>
      <c r="G93" s="32"/>
      <c r="H93" s="32"/>
      <c r="I93" s="32"/>
      <c r="J93" s="32"/>
      <c r="K93" s="32"/>
      <c r="L93" s="32"/>
      <c r="M93" s="87"/>
      <c r="N93" s="87"/>
      <c r="O93" s="87"/>
      <c r="P93" s="87"/>
      <c r="Q93" s="87"/>
      <c r="R93" s="87"/>
      <c r="S93" s="87"/>
      <c r="T93" s="87"/>
      <c r="U93" s="87"/>
    </row>
    <row r="94" spans="1:21" ht="25.5" customHeight="1">
      <c r="A94" s="227"/>
      <c r="B94" s="227"/>
      <c r="C94" s="227"/>
      <c r="D94" s="227"/>
      <c r="E94" s="32"/>
      <c r="F94" s="32"/>
      <c r="G94" s="32"/>
      <c r="H94" s="32"/>
      <c r="I94" s="32"/>
      <c r="J94" s="32"/>
      <c r="K94" s="32"/>
      <c r="L94" s="32"/>
      <c r="M94" s="87"/>
      <c r="N94" s="87"/>
      <c r="O94" s="87"/>
      <c r="P94" s="87"/>
      <c r="Q94" s="87"/>
      <c r="R94" s="87"/>
      <c r="S94" s="87"/>
      <c r="T94" s="87"/>
      <c r="U94" s="87"/>
    </row>
    <row r="95" spans="1:21" ht="25.5" customHeight="1">
      <c r="A95" s="227"/>
      <c r="B95" s="227"/>
      <c r="C95" s="227"/>
      <c r="D95" s="227"/>
      <c r="E95" s="32"/>
      <c r="F95" s="32"/>
      <c r="G95" s="32"/>
      <c r="H95" s="32"/>
      <c r="I95" s="32"/>
      <c r="J95" s="32"/>
      <c r="K95" s="32"/>
      <c r="L95" s="32"/>
      <c r="M95" s="87"/>
      <c r="N95" s="87"/>
      <c r="O95" s="87"/>
      <c r="P95" s="87"/>
      <c r="Q95" s="87"/>
      <c r="R95" s="87"/>
      <c r="S95" s="87"/>
      <c r="T95" s="87"/>
      <c r="U95" s="87"/>
    </row>
    <row r="96" spans="1:21" ht="25.5" customHeight="1">
      <c r="A96" s="227"/>
      <c r="B96" s="227"/>
      <c r="C96" s="227"/>
      <c r="D96" s="227"/>
      <c r="E96" s="32"/>
      <c r="F96" s="32"/>
      <c r="G96" s="32"/>
      <c r="H96" s="32"/>
      <c r="I96" s="32"/>
      <c r="J96" s="32"/>
      <c r="K96" s="32"/>
      <c r="L96" s="32"/>
      <c r="M96" s="87"/>
      <c r="N96" s="87"/>
      <c r="O96" s="87"/>
      <c r="P96" s="87"/>
      <c r="Q96" s="87"/>
      <c r="R96" s="87"/>
      <c r="S96" s="87"/>
      <c r="T96" s="87"/>
      <c r="U96" s="87"/>
    </row>
    <row r="97" spans="1:21" ht="25.5" customHeight="1">
      <c r="A97" s="227"/>
      <c r="B97" s="227"/>
      <c r="C97" s="227"/>
      <c r="D97" s="227"/>
      <c r="E97" s="32"/>
      <c r="F97" s="32"/>
      <c r="G97" s="32"/>
      <c r="H97" s="32"/>
      <c r="I97" s="32"/>
      <c r="J97" s="32"/>
      <c r="K97" s="32"/>
      <c r="L97" s="32"/>
      <c r="M97" s="87"/>
      <c r="N97" s="87"/>
      <c r="O97" s="87"/>
      <c r="P97" s="87"/>
      <c r="Q97" s="87"/>
      <c r="R97" s="87"/>
      <c r="S97" s="87"/>
      <c r="T97" s="87"/>
      <c r="U97" s="87"/>
    </row>
    <row r="98" spans="1:21" ht="25.5" customHeight="1">
      <c r="A98" s="227"/>
      <c r="B98" s="227"/>
      <c r="C98" s="227"/>
      <c r="D98" s="227"/>
      <c r="E98" s="32"/>
      <c r="F98" s="32"/>
      <c r="G98" s="32"/>
      <c r="H98" s="32"/>
      <c r="I98" s="32"/>
      <c r="J98" s="32"/>
      <c r="K98" s="32"/>
      <c r="L98" s="32"/>
      <c r="M98" s="87"/>
      <c r="N98" s="87"/>
      <c r="O98" s="87"/>
      <c r="P98" s="87"/>
      <c r="Q98" s="87"/>
      <c r="R98" s="87"/>
      <c r="S98" s="87"/>
      <c r="T98" s="87"/>
      <c r="U98" s="87"/>
    </row>
    <row r="99" spans="1:21" ht="25.5" customHeight="1">
      <c r="A99" s="227"/>
      <c r="B99" s="227"/>
      <c r="C99" s="227"/>
      <c r="D99" s="227"/>
      <c r="E99" s="32"/>
      <c r="F99" s="32"/>
      <c r="G99" s="32"/>
      <c r="H99" s="32"/>
      <c r="I99" s="32"/>
      <c r="J99" s="32"/>
      <c r="K99" s="32"/>
      <c r="L99" s="32"/>
      <c r="M99" s="87"/>
      <c r="N99" s="87"/>
      <c r="O99" s="87"/>
      <c r="P99" s="87"/>
      <c r="Q99" s="87"/>
      <c r="R99" s="87"/>
      <c r="S99" s="87"/>
      <c r="T99" s="87"/>
      <c r="U99" s="87"/>
    </row>
    <row r="100" spans="1:21" ht="25.5" customHeight="1">
      <c r="A100" s="227"/>
      <c r="B100" s="227"/>
      <c r="C100" s="227"/>
      <c r="D100" s="227"/>
      <c r="E100" s="32"/>
      <c r="F100" s="32"/>
      <c r="G100" s="32"/>
      <c r="H100" s="32"/>
      <c r="I100" s="32"/>
      <c r="J100" s="32"/>
      <c r="K100" s="32"/>
      <c r="L100" s="32"/>
      <c r="M100" s="87"/>
      <c r="N100" s="87"/>
      <c r="O100" s="87"/>
      <c r="P100" s="87"/>
      <c r="Q100" s="87"/>
      <c r="R100" s="87"/>
      <c r="S100" s="87"/>
      <c r="T100" s="87"/>
      <c r="U100" s="87"/>
    </row>
    <row r="101" spans="1:21" ht="25.5" customHeight="1">
      <c r="A101" s="227"/>
      <c r="B101" s="227"/>
      <c r="C101" s="227"/>
      <c r="D101" s="227"/>
      <c r="E101" s="32"/>
      <c r="F101" s="32"/>
      <c r="G101" s="32"/>
      <c r="H101" s="32"/>
      <c r="I101" s="32"/>
      <c r="J101" s="32"/>
      <c r="K101" s="32"/>
      <c r="L101" s="32"/>
      <c r="M101" s="87"/>
      <c r="N101" s="87"/>
      <c r="O101" s="87"/>
      <c r="P101" s="87"/>
      <c r="Q101" s="87"/>
      <c r="R101" s="87"/>
      <c r="S101" s="87"/>
      <c r="T101" s="87"/>
      <c r="U101" s="87"/>
    </row>
    <row r="102" spans="1:21" ht="25.5" customHeight="1">
      <c r="A102" s="227"/>
      <c r="B102" s="227"/>
      <c r="C102" s="227"/>
      <c r="D102" s="227"/>
      <c r="E102" s="32"/>
      <c r="F102" s="32"/>
      <c r="G102" s="32"/>
      <c r="H102" s="32"/>
      <c r="I102" s="32"/>
      <c r="J102" s="32"/>
      <c r="K102" s="32"/>
      <c r="L102" s="32"/>
      <c r="M102" s="87"/>
      <c r="N102" s="87"/>
      <c r="O102" s="87"/>
      <c r="P102" s="87"/>
      <c r="Q102" s="87"/>
      <c r="R102" s="87"/>
      <c r="S102" s="87"/>
      <c r="T102" s="87"/>
      <c r="U102" s="87"/>
    </row>
    <row r="103" spans="1:21" ht="25.5" customHeight="1">
      <c r="A103" s="227"/>
      <c r="B103" s="227"/>
      <c r="C103" s="227"/>
      <c r="D103" s="227"/>
      <c r="E103" s="32"/>
      <c r="F103" s="32"/>
      <c r="G103" s="32"/>
      <c r="H103" s="32"/>
      <c r="I103" s="32"/>
      <c r="J103" s="32"/>
      <c r="K103" s="32"/>
      <c r="L103" s="32"/>
      <c r="M103" s="87"/>
      <c r="N103" s="87"/>
      <c r="O103" s="87"/>
      <c r="P103" s="87"/>
      <c r="Q103" s="87"/>
      <c r="R103" s="87"/>
      <c r="S103" s="87"/>
      <c r="T103" s="87"/>
      <c r="U103" s="87"/>
    </row>
    <row r="104" spans="1:21" ht="25.5" customHeight="1">
      <c r="A104" s="227"/>
      <c r="B104" s="227"/>
      <c r="C104" s="227"/>
      <c r="D104" s="227"/>
      <c r="E104" s="32"/>
      <c r="F104" s="32"/>
      <c r="G104" s="32"/>
      <c r="H104" s="32"/>
      <c r="I104" s="32"/>
      <c r="J104" s="32"/>
      <c r="K104" s="32"/>
      <c r="L104" s="32"/>
      <c r="M104" s="87"/>
      <c r="N104" s="87"/>
      <c r="O104" s="87"/>
      <c r="P104" s="87"/>
      <c r="Q104" s="87"/>
      <c r="R104" s="87"/>
      <c r="S104" s="87"/>
      <c r="T104" s="87"/>
      <c r="U104" s="87"/>
    </row>
    <row r="105" spans="1:21" ht="25.5" customHeight="1">
      <c r="A105" s="227"/>
      <c r="B105" s="227"/>
      <c r="C105" s="227"/>
      <c r="D105" s="227"/>
      <c r="E105" s="32"/>
      <c r="F105" s="32"/>
      <c r="G105" s="32"/>
      <c r="H105" s="32"/>
      <c r="I105" s="32"/>
      <c r="J105" s="32"/>
      <c r="K105" s="32"/>
      <c r="L105" s="32"/>
      <c r="M105" s="87"/>
      <c r="N105" s="87"/>
      <c r="O105" s="87"/>
      <c r="P105" s="87"/>
      <c r="Q105" s="87"/>
      <c r="R105" s="87"/>
      <c r="S105" s="87"/>
      <c r="T105" s="87"/>
      <c r="U105" s="87"/>
    </row>
    <row r="106" spans="1:21" ht="25.5" customHeight="1">
      <c r="A106" s="227"/>
      <c r="B106" s="227"/>
      <c r="C106" s="227"/>
      <c r="D106" s="227"/>
      <c r="E106" s="32"/>
      <c r="F106" s="32"/>
      <c r="G106" s="32"/>
      <c r="H106" s="32"/>
      <c r="I106" s="32"/>
      <c r="J106" s="32"/>
      <c r="K106" s="32"/>
      <c r="L106" s="32"/>
      <c r="M106" s="87"/>
      <c r="N106" s="87"/>
      <c r="O106" s="87"/>
      <c r="P106" s="87"/>
      <c r="Q106" s="87"/>
      <c r="R106" s="87"/>
      <c r="S106" s="87"/>
      <c r="T106" s="87"/>
      <c r="U106" s="87"/>
    </row>
    <row r="107" spans="1:21" ht="25.5" customHeight="1">
      <c r="A107" s="227"/>
      <c r="B107" s="227"/>
      <c r="C107" s="227"/>
      <c r="D107" s="227"/>
      <c r="E107" s="32"/>
      <c r="F107" s="32"/>
      <c r="G107" s="32"/>
      <c r="H107" s="32"/>
      <c r="I107" s="32"/>
      <c r="J107" s="32"/>
      <c r="K107" s="32"/>
      <c r="L107" s="32"/>
      <c r="M107" s="87"/>
      <c r="N107" s="87"/>
      <c r="O107" s="87"/>
      <c r="P107" s="87"/>
      <c r="Q107" s="87"/>
      <c r="R107" s="87"/>
      <c r="S107" s="87"/>
      <c r="T107" s="87"/>
      <c r="U107" s="87"/>
    </row>
    <row r="108" spans="1:21" ht="25.5" customHeight="1">
      <c r="A108" s="227"/>
      <c r="B108" s="227"/>
      <c r="C108" s="227"/>
      <c r="D108" s="227"/>
      <c r="E108" s="32"/>
      <c r="F108" s="32"/>
      <c r="G108" s="32"/>
      <c r="H108" s="32"/>
      <c r="I108" s="32"/>
      <c r="J108" s="32"/>
      <c r="K108" s="32"/>
      <c r="L108" s="32"/>
      <c r="M108" s="87"/>
      <c r="N108" s="87"/>
      <c r="O108" s="87"/>
      <c r="P108" s="87"/>
      <c r="Q108" s="87"/>
      <c r="R108" s="87"/>
      <c r="S108" s="87"/>
      <c r="T108" s="87"/>
      <c r="U108" s="87"/>
    </row>
    <row r="109" spans="1:21" ht="25.5" customHeight="1">
      <c r="A109" s="227"/>
      <c r="B109" s="227"/>
      <c r="C109" s="227"/>
      <c r="D109" s="227"/>
      <c r="E109" s="32"/>
      <c r="F109" s="32"/>
      <c r="G109" s="32"/>
      <c r="H109" s="32"/>
      <c r="I109" s="32"/>
      <c r="J109" s="32"/>
      <c r="K109" s="32"/>
      <c r="L109" s="32"/>
      <c r="M109" s="87"/>
      <c r="N109" s="87"/>
      <c r="O109" s="87"/>
      <c r="P109" s="87"/>
      <c r="Q109" s="87"/>
      <c r="R109" s="87"/>
      <c r="S109" s="87"/>
      <c r="T109" s="87"/>
      <c r="U109" s="87"/>
    </row>
    <row r="110" spans="1:21" ht="25.5" customHeight="1">
      <c r="A110" s="227"/>
      <c r="B110" s="227"/>
      <c r="C110" s="227"/>
      <c r="D110" s="227"/>
      <c r="E110" s="32"/>
      <c r="F110" s="32"/>
      <c r="G110" s="32"/>
      <c r="H110" s="32"/>
      <c r="I110" s="32"/>
      <c r="J110" s="32"/>
      <c r="K110" s="32"/>
      <c r="L110" s="32"/>
      <c r="M110" s="87"/>
      <c r="N110" s="87"/>
      <c r="O110" s="87"/>
      <c r="P110" s="87"/>
      <c r="Q110" s="87"/>
      <c r="R110" s="87"/>
      <c r="S110" s="87"/>
      <c r="T110" s="87"/>
      <c r="U110" s="87"/>
    </row>
    <row r="111" spans="1:21" ht="25.5" customHeight="1">
      <c r="A111" s="227"/>
      <c r="B111" s="227"/>
      <c r="C111" s="227"/>
      <c r="D111" s="227"/>
      <c r="E111" s="32"/>
      <c r="F111" s="32"/>
      <c r="G111" s="32"/>
      <c r="H111" s="32"/>
      <c r="I111" s="32"/>
      <c r="J111" s="32"/>
      <c r="K111" s="32"/>
      <c r="L111" s="32"/>
      <c r="M111" s="87"/>
      <c r="N111" s="87"/>
      <c r="O111" s="87"/>
      <c r="P111" s="87"/>
      <c r="Q111" s="87"/>
      <c r="R111" s="87"/>
      <c r="S111" s="87"/>
      <c r="T111" s="87"/>
      <c r="U111" s="87"/>
    </row>
    <row r="112" spans="1:21" ht="25.5" customHeight="1">
      <c r="A112" s="227"/>
      <c r="B112" s="227"/>
      <c r="C112" s="227"/>
      <c r="D112" s="227"/>
      <c r="E112" s="32"/>
      <c r="F112" s="32"/>
      <c r="G112" s="32"/>
      <c r="H112" s="32"/>
      <c r="I112" s="32"/>
      <c r="J112" s="32"/>
      <c r="K112" s="32"/>
      <c r="L112" s="32"/>
      <c r="M112" s="87"/>
      <c r="N112" s="87"/>
      <c r="O112" s="87"/>
      <c r="P112" s="87"/>
      <c r="Q112" s="87"/>
      <c r="R112" s="87"/>
      <c r="S112" s="87"/>
      <c r="T112" s="87"/>
      <c r="U112" s="87"/>
    </row>
    <row r="113" spans="5:12" ht="25.5" customHeight="1">
      <c r="E113" s="32"/>
      <c r="F113" s="32"/>
      <c r="G113" s="32"/>
      <c r="H113" s="32"/>
      <c r="I113" s="32"/>
      <c r="J113" s="32"/>
      <c r="K113" s="32"/>
      <c r="L113" s="32"/>
    </row>
    <row r="114" spans="5:12" ht="25.5" customHeight="1">
      <c r="E114" s="32"/>
      <c r="F114" s="32"/>
      <c r="G114" s="32"/>
      <c r="H114" s="32"/>
      <c r="I114" s="32"/>
      <c r="J114" s="32"/>
      <c r="K114" s="32"/>
      <c r="L114" s="32"/>
    </row>
    <row r="115" spans="5:12" ht="25.5" customHeight="1">
      <c r="E115" s="32"/>
      <c r="F115" s="32"/>
      <c r="G115" s="32"/>
      <c r="H115" s="32"/>
      <c r="I115" s="32"/>
      <c r="J115" s="32"/>
      <c r="K115" s="32"/>
      <c r="L115" s="32"/>
    </row>
    <row r="116" spans="5:12" ht="25.5" customHeight="1">
      <c r="E116" s="32"/>
      <c r="F116" s="32"/>
      <c r="G116" s="32"/>
      <c r="H116" s="32"/>
      <c r="I116" s="32"/>
      <c r="J116" s="32"/>
      <c r="K116" s="32"/>
      <c r="L116" s="32"/>
    </row>
    <row r="117" spans="5:12" ht="25.5" customHeight="1">
      <c r="E117" s="32"/>
      <c r="F117" s="32"/>
      <c r="G117" s="32"/>
      <c r="H117" s="32"/>
      <c r="I117" s="32"/>
      <c r="J117" s="32"/>
      <c r="K117" s="32"/>
      <c r="L117" s="32"/>
    </row>
    <row r="118" spans="5:12" ht="25.5" customHeight="1">
      <c r="E118" s="32"/>
      <c r="F118" s="32"/>
      <c r="G118" s="32"/>
      <c r="H118" s="32"/>
      <c r="I118" s="32"/>
      <c r="J118" s="32"/>
      <c r="K118" s="32"/>
      <c r="L118" s="32"/>
    </row>
    <row r="119" spans="5:12" ht="25.5" customHeight="1">
      <c r="E119" s="32"/>
      <c r="F119" s="32"/>
      <c r="G119" s="32"/>
      <c r="H119" s="32"/>
      <c r="I119" s="32"/>
      <c r="J119" s="32"/>
      <c r="K119" s="32"/>
      <c r="L119" s="32"/>
    </row>
    <row r="120" spans="5:12" ht="25.5" customHeight="1">
      <c r="E120" s="32"/>
      <c r="F120" s="32"/>
      <c r="G120" s="32"/>
      <c r="H120" s="32"/>
      <c r="I120" s="32"/>
      <c r="J120" s="32"/>
      <c r="K120" s="32"/>
      <c r="L120" s="32"/>
    </row>
    <row r="121" spans="5:12" ht="25.5" customHeight="1">
      <c r="E121" s="32"/>
      <c r="F121" s="32"/>
      <c r="G121" s="32"/>
      <c r="H121" s="32"/>
      <c r="I121" s="32"/>
      <c r="J121" s="32"/>
      <c r="K121" s="32"/>
      <c r="L121" s="32"/>
    </row>
    <row r="122" spans="5:12" ht="25.5" customHeight="1">
      <c r="E122" s="32"/>
      <c r="F122" s="32"/>
      <c r="G122" s="32"/>
      <c r="H122" s="32"/>
      <c r="I122" s="32"/>
      <c r="J122" s="32"/>
      <c r="K122" s="32"/>
      <c r="L122" s="32"/>
    </row>
    <row r="123" spans="5:12" ht="25.5" customHeight="1">
      <c r="E123" s="32"/>
      <c r="F123" s="32"/>
      <c r="G123" s="32"/>
      <c r="H123" s="32"/>
      <c r="I123" s="32"/>
      <c r="J123" s="32"/>
      <c r="K123" s="32"/>
      <c r="L123" s="32"/>
    </row>
    <row r="124" spans="5:12" ht="25.5" customHeight="1">
      <c r="E124" s="32"/>
      <c r="F124" s="32"/>
      <c r="G124" s="32"/>
      <c r="H124" s="32"/>
      <c r="I124" s="32"/>
      <c r="J124" s="32"/>
      <c r="K124" s="32"/>
      <c r="L124" s="32"/>
    </row>
    <row r="125" spans="5:12" ht="25.5" customHeight="1">
      <c r="E125" s="32"/>
      <c r="F125" s="32"/>
      <c r="G125" s="32"/>
      <c r="H125" s="32"/>
      <c r="I125" s="32"/>
      <c r="J125" s="32"/>
      <c r="K125" s="32"/>
      <c r="L125" s="32"/>
    </row>
    <row r="126" spans="5:12" ht="25.5" customHeight="1">
      <c r="E126" s="32"/>
      <c r="F126" s="32"/>
      <c r="G126" s="32"/>
      <c r="H126" s="32"/>
      <c r="I126" s="32"/>
      <c r="J126" s="32"/>
      <c r="K126" s="32"/>
      <c r="L126" s="32"/>
    </row>
    <row r="127" spans="5:12" ht="25.5" customHeight="1">
      <c r="E127" s="32"/>
      <c r="F127" s="32"/>
      <c r="G127" s="32"/>
      <c r="H127" s="32"/>
      <c r="I127" s="32"/>
      <c r="J127" s="32"/>
      <c r="K127" s="32"/>
      <c r="L127" s="32"/>
    </row>
    <row r="128" spans="5:12" ht="25.5" customHeight="1">
      <c r="E128" s="32"/>
      <c r="F128" s="32"/>
      <c r="G128" s="32"/>
      <c r="H128" s="32"/>
      <c r="I128" s="32"/>
      <c r="J128" s="32"/>
      <c r="K128" s="32"/>
      <c r="L128" s="32"/>
    </row>
    <row r="129" spans="5:12" ht="25.5" customHeight="1">
      <c r="E129" s="32"/>
      <c r="F129" s="32"/>
      <c r="G129" s="32"/>
      <c r="H129" s="32"/>
      <c r="I129" s="32"/>
      <c r="J129" s="32"/>
      <c r="K129" s="32"/>
      <c r="L129" s="32"/>
    </row>
    <row r="130" spans="5:12" ht="25.5" customHeight="1">
      <c r="E130" s="32"/>
      <c r="F130" s="32"/>
      <c r="G130" s="32"/>
      <c r="H130" s="32"/>
      <c r="I130" s="32"/>
      <c r="J130" s="32"/>
      <c r="K130" s="32"/>
      <c r="L130" s="32"/>
    </row>
    <row r="131" spans="5:12" ht="25.5" customHeight="1">
      <c r="E131" s="32"/>
      <c r="F131" s="32"/>
      <c r="G131" s="32"/>
      <c r="H131" s="32"/>
      <c r="I131" s="32"/>
      <c r="J131" s="32"/>
      <c r="K131" s="32"/>
      <c r="L131" s="32"/>
    </row>
    <row r="132" spans="5:12" ht="25.5" customHeight="1">
      <c r="E132" s="32"/>
      <c r="F132" s="32"/>
      <c r="G132" s="32"/>
      <c r="H132" s="32"/>
      <c r="I132" s="32"/>
      <c r="J132" s="32"/>
      <c r="K132" s="32"/>
      <c r="L132" s="32"/>
    </row>
    <row r="133" spans="5:12" ht="25.5" customHeight="1">
      <c r="E133" s="32"/>
      <c r="F133" s="32"/>
      <c r="G133" s="32"/>
      <c r="H133" s="32"/>
      <c r="I133" s="32"/>
      <c r="J133" s="32"/>
      <c r="K133" s="32"/>
      <c r="L133" s="32"/>
    </row>
    <row r="134" spans="5:12" ht="25.5" customHeight="1">
      <c r="E134" s="32"/>
      <c r="F134" s="32"/>
      <c r="G134" s="32"/>
      <c r="H134" s="32"/>
      <c r="I134" s="32"/>
      <c r="J134" s="32"/>
      <c r="K134" s="32"/>
      <c r="L134" s="32"/>
    </row>
    <row r="135" spans="5:12" ht="25.5" customHeight="1">
      <c r="E135" s="32"/>
      <c r="F135" s="32"/>
      <c r="G135" s="32"/>
      <c r="H135" s="32"/>
      <c r="I135" s="32"/>
      <c r="J135" s="32"/>
      <c r="K135" s="32"/>
      <c r="L135" s="32"/>
    </row>
    <row r="136" spans="5:12" ht="25.5" customHeight="1">
      <c r="E136" s="32"/>
      <c r="F136" s="32"/>
      <c r="G136" s="32"/>
      <c r="H136" s="32"/>
      <c r="I136" s="32"/>
      <c r="J136" s="32"/>
      <c r="K136" s="32"/>
      <c r="L136" s="32"/>
    </row>
    <row r="137" spans="5:12" ht="25.5" customHeight="1">
      <c r="E137" s="32"/>
      <c r="F137" s="32"/>
      <c r="G137" s="32"/>
      <c r="H137" s="32"/>
      <c r="I137" s="32"/>
      <c r="J137" s="32"/>
      <c r="K137" s="32"/>
      <c r="L137" s="32"/>
    </row>
    <row r="138" spans="5:12" ht="25.5" customHeight="1">
      <c r="E138" s="32"/>
      <c r="F138" s="32"/>
      <c r="G138" s="32"/>
      <c r="H138" s="32"/>
      <c r="I138" s="32"/>
      <c r="J138" s="32"/>
      <c r="K138" s="32"/>
      <c r="L138" s="32"/>
    </row>
    <row r="139" spans="5:12" ht="25.5" customHeight="1">
      <c r="E139" s="32"/>
      <c r="F139" s="32"/>
      <c r="G139" s="32"/>
      <c r="H139" s="32"/>
      <c r="I139" s="32"/>
      <c r="J139" s="32"/>
      <c r="K139" s="32"/>
      <c r="L139" s="32"/>
    </row>
    <row r="140" spans="5:12" ht="25.5" customHeight="1">
      <c r="E140" s="32"/>
      <c r="F140" s="32"/>
      <c r="G140" s="32"/>
      <c r="H140" s="32"/>
      <c r="I140" s="32"/>
      <c r="J140" s="32"/>
      <c r="K140" s="32"/>
      <c r="L140" s="32"/>
    </row>
    <row r="141" spans="5:12" ht="25.5" customHeight="1">
      <c r="E141" s="32"/>
      <c r="F141" s="32"/>
      <c r="G141" s="32"/>
      <c r="H141" s="32"/>
      <c r="I141" s="32"/>
      <c r="J141" s="32"/>
      <c r="K141" s="32"/>
      <c r="L141" s="32"/>
    </row>
    <row r="142" spans="5:12" ht="25.5" customHeight="1">
      <c r="E142" s="32"/>
      <c r="F142" s="32"/>
      <c r="G142" s="32"/>
      <c r="H142" s="32"/>
      <c r="I142" s="32"/>
      <c r="J142" s="32"/>
      <c r="K142" s="32"/>
      <c r="L142" s="32"/>
    </row>
    <row r="143" spans="5:12" ht="25.5" customHeight="1">
      <c r="E143" s="32"/>
      <c r="F143" s="32"/>
      <c r="G143" s="32"/>
      <c r="H143" s="32"/>
      <c r="I143" s="32"/>
      <c r="J143" s="32"/>
      <c r="K143" s="32"/>
      <c r="L143" s="32"/>
    </row>
    <row r="144" spans="5:12" ht="25.5" customHeight="1">
      <c r="E144" s="32"/>
      <c r="F144" s="32"/>
      <c r="G144" s="32"/>
      <c r="H144" s="32"/>
      <c r="I144" s="32"/>
      <c r="J144" s="32"/>
      <c r="K144" s="32"/>
      <c r="L144" s="32"/>
    </row>
    <row r="145" spans="5:12" ht="25.5" customHeight="1">
      <c r="E145" s="32"/>
      <c r="F145" s="32"/>
      <c r="G145" s="32"/>
      <c r="H145" s="32"/>
      <c r="I145" s="32"/>
      <c r="J145" s="32"/>
      <c r="K145" s="32"/>
      <c r="L145" s="32"/>
    </row>
    <row r="146" spans="5:12" ht="25.5" customHeight="1">
      <c r="E146" s="32"/>
      <c r="F146" s="32"/>
      <c r="G146" s="32"/>
      <c r="H146" s="32"/>
      <c r="I146" s="32"/>
      <c r="J146" s="32"/>
      <c r="K146" s="32"/>
      <c r="L146" s="32"/>
    </row>
    <row r="147" spans="5:12" ht="25.5" customHeight="1">
      <c r="E147" s="32"/>
      <c r="F147" s="32"/>
      <c r="G147" s="32"/>
      <c r="H147" s="32"/>
      <c r="I147" s="32"/>
      <c r="J147" s="32"/>
      <c r="K147" s="32"/>
      <c r="L147" s="32"/>
    </row>
    <row r="148" spans="5:12" ht="25.5" customHeight="1">
      <c r="E148" s="32"/>
      <c r="F148" s="32"/>
      <c r="G148" s="32"/>
      <c r="H148" s="32"/>
      <c r="I148" s="32"/>
      <c r="J148" s="32"/>
      <c r="K148" s="32"/>
      <c r="L148" s="32"/>
    </row>
    <row r="149" spans="5:12" ht="25.5" customHeight="1">
      <c r="E149" s="32"/>
      <c r="F149" s="32"/>
      <c r="G149" s="32"/>
      <c r="H149" s="32"/>
      <c r="I149" s="32"/>
      <c r="J149" s="32"/>
      <c r="K149" s="32"/>
      <c r="L149" s="32"/>
    </row>
    <row r="150" spans="5:12" ht="25.5" customHeight="1">
      <c r="E150" s="32"/>
      <c r="F150" s="32"/>
      <c r="G150" s="32"/>
      <c r="H150" s="32"/>
      <c r="I150" s="32"/>
      <c r="J150" s="32"/>
      <c r="K150" s="32"/>
      <c r="L150" s="32"/>
    </row>
    <row r="151" spans="5:12" ht="25.5" customHeight="1">
      <c r="E151" s="32"/>
      <c r="F151" s="32"/>
      <c r="G151" s="32"/>
      <c r="H151" s="32"/>
      <c r="I151" s="32"/>
      <c r="J151" s="32"/>
      <c r="K151" s="32"/>
      <c r="L151" s="32"/>
    </row>
    <row r="152" spans="5:12" ht="25.5" customHeight="1">
      <c r="E152" s="32"/>
      <c r="F152" s="32"/>
      <c r="G152" s="32"/>
      <c r="H152" s="32"/>
      <c r="I152" s="32"/>
      <c r="J152" s="32"/>
      <c r="K152" s="32"/>
      <c r="L152" s="32"/>
    </row>
    <row r="153" spans="5:12" ht="25.5" customHeight="1">
      <c r="E153" s="32"/>
      <c r="F153" s="32"/>
      <c r="G153" s="32"/>
      <c r="H153" s="32"/>
      <c r="I153" s="32"/>
      <c r="J153" s="32"/>
      <c r="K153" s="32"/>
      <c r="L153" s="32"/>
    </row>
    <row r="154" spans="5:12" ht="25.5" customHeight="1">
      <c r="E154" s="32"/>
      <c r="F154" s="32"/>
      <c r="G154" s="32"/>
      <c r="H154" s="32"/>
      <c r="I154" s="32"/>
      <c r="J154" s="32"/>
      <c r="K154" s="32"/>
      <c r="L154" s="32"/>
    </row>
    <row r="155" spans="5:12" ht="25.5" customHeight="1">
      <c r="E155" s="32"/>
      <c r="F155" s="32"/>
      <c r="G155" s="32"/>
      <c r="H155" s="32"/>
      <c r="I155" s="32"/>
      <c r="J155" s="32"/>
      <c r="K155" s="32"/>
      <c r="L155" s="32"/>
    </row>
    <row r="156" spans="5:12" ht="25.5" customHeight="1">
      <c r="E156" s="32"/>
      <c r="F156" s="32"/>
      <c r="G156" s="32"/>
      <c r="H156" s="32"/>
      <c r="I156" s="32"/>
      <c r="J156" s="32"/>
      <c r="K156" s="32"/>
      <c r="L156" s="32"/>
    </row>
    <row r="157" spans="5:12" ht="25.5" customHeight="1">
      <c r="E157" s="32"/>
      <c r="F157" s="32"/>
      <c r="G157" s="32"/>
      <c r="H157" s="32"/>
      <c r="I157" s="32"/>
      <c r="J157" s="32"/>
      <c r="K157" s="32"/>
      <c r="L157" s="32"/>
    </row>
    <row r="158" spans="5:12" ht="25.5" customHeight="1">
      <c r="E158" s="32"/>
      <c r="F158" s="32"/>
      <c r="G158" s="32"/>
      <c r="H158" s="32"/>
      <c r="I158" s="32"/>
      <c r="J158" s="32"/>
      <c r="K158" s="32"/>
      <c r="L158" s="32"/>
    </row>
    <row r="159" spans="5:12" ht="25.5" customHeight="1">
      <c r="E159" s="32"/>
      <c r="F159" s="32"/>
      <c r="G159" s="32"/>
      <c r="H159" s="32"/>
      <c r="I159" s="32"/>
      <c r="J159" s="32"/>
      <c r="K159" s="32"/>
      <c r="L159" s="32"/>
    </row>
    <row r="160" spans="5:12" ht="25.5" customHeight="1">
      <c r="E160" s="32"/>
      <c r="F160" s="32"/>
      <c r="G160" s="32"/>
      <c r="H160" s="32"/>
      <c r="I160" s="32"/>
      <c r="J160" s="32"/>
      <c r="K160" s="32"/>
      <c r="L160" s="32"/>
    </row>
    <row r="161" spans="5:12" ht="25.5" customHeight="1">
      <c r="E161" s="32"/>
      <c r="F161" s="32"/>
      <c r="G161" s="32"/>
      <c r="H161" s="32"/>
      <c r="I161" s="32"/>
      <c r="J161" s="32"/>
      <c r="K161" s="32"/>
      <c r="L161" s="32"/>
    </row>
    <row r="162" spans="5:12" ht="25.5" customHeight="1">
      <c r="E162" s="32"/>
      <c r="F162" s="32"/>
      <c r="G162" s="32"/>
      <c r="H162" s="32"/>
      <c r="I162" s="32"/>
      <c r="J162" s="32"/>
      <c r="K162" s="32"/>
      <c r="L162" s="32"/>
    </row>
    <row r="163" spans="5:12" ht="25.5" customHeight="1">
      <c r="E163" s="32"/>
      <c r="F163" s="32"/>
      <c r="G163" s="32"/>
      <c r="H163" s="32"/>
      <c r="I163" s="32"/>
      <c r="J163" s="32"/>
      <c r="K163" s="32"/>
      <c r="L163" s="32"/>
    </row>
    <row r="164" spans="5:12" ht="25.5" customHeight="1">
      <c r="E164" s="32"/>
      <c r="F164" s="32"/>
      <c r="G164" s="32"/>
      <c r="H164" s="32"/>
      <c r="I164" s="32"/>
      <c r="J164" s="32"/>
      <c r="K164" s="32"/>
      <c r="L164" s="32"/>
    </row>
    <row r="165" spans="5:12" ht="25.5" customHeight="1">
      <c r="E165" s="32"/>
      <c r="F165" s="32"/>
      <c r="G165" s="32"/>
      <c r="H165" s="32"/>
      <c r="I165" s="32"/>
      <c r="J165" s="32"/>
      <c r="K165" s="32"/>
      <c r="L165" s="32"/>
    </row>
    <row r="166" spans="5:12" ht="25.5" customHeight="1">
      <c r="E166" s="32"/>
      <c r="F166" s="32"/>
      <c r="G166" s="32"/>
      <c r="H166" s="32"/>
      <c r="I166" s="32"/>
      <c r="J166" s="32"/>
      <c r="K166" s="32"/>
      <c r="L166" s="32"/>
    </row>
    <row r="167" spans="5:12" ht="25.5" customHeight="1">
      <c r="E167" s="32"/>
      <c r="F167" s="32"/>
      <c r="G167" s="32"/>
      <c r="H167" s="32"/>
      <c r="I167" s="32"/>
      <c r="J167" s="32"/>
      <c r="K167" s="32"/>
      <c r="L167" s="32"/>
    </row>
    <row r="168" spans="5:12" ht="25.5" customHeight="1">
      <c r="E168" s="32"/>
      <c r="F168" s="32"/>
      <c r="G168" s="32"/>
      <c r="H168" s="32"/>
      <c r="I168" s="32"/>
      <c r="J168" s="32"/>
      <c r="K168" s="32"/>
      <c r="L168" s="32"/>
    </row>
    <row r="169" spans="5:12" ht="25.5" customHeight="1">
      <c r="E169" s="32"/>
      <c r="F169" s="32"/>
      <c r="G169" s="32"/>
      <c r="H169" s="32"/>
      <c r="I169" s="32"/>
      <c r="J169" s="32"/>
      <c r="K169" s="32"/>
      <c r="L169" s="32"/>
    </row>
    <row r="170" spans="5:12" ht="25.5" customHeight="1">
      <c r="E170" s="32"/>
      <c r="F170" s="32"/>
      <c r="G170" s="32"/>
      <c r="H170" s="32"/>
      <c r="I170" s="32"/>
      <c r="J170" s="32"/>
      <c r="K170" s="32"/>
      <c r="L170" s="32"/>
    </row>
    <row r="171" spans="5:12" ht="25.5" customHeight="1">
      <c r="E171" s="32"/>
      <c r="F171" s="32"/>
      <c r="G171" s="32"/>
      <c r="H171" s="32"/>
      <c r="I171" s="32"/>
      <c r="J171" s="32"/>
      <c r="K171" s="32"/>
      <c r="L171" s="32"/>
    </row>
    <row r="172" spans="5:12" ht="25.5" customHeight="1">
      <c r="E172" s="32"/>
      <c r="F172" s="32"/>
      <c r="G172" s="32"/>
      <c r="H172" s="32"/>
      <c r="I172" s="32"/>
      <c r="J172" s="32"/>
      <c r="K172" s="32"/>
      <c r="L172" s="32"/>
    </row>
    <row r="173" spans="5:12" ht="25.5" customHeight="1">
      <c r="E173" s="32"/>
      <c r="F173" s="32"/>
      <c r="G173" s="32"/>
      <c r="H173" s="32"/>
      <c r="I173" s="32"/>
      <c r="J173" s="32"/>
      <c r="K173" s="32"/>
      <c r="L173" s="32"/>
    </row>
    <row r="174" spans="5:12" ht="25.5" customHeight="1">
      <c r="E174" s="32"/>
      <c r="F174" s="32"/>
      <c r="G174" s="32"/>
      <c r="H174" s="32"/>
      <c r="I174" s="32"/>
      <c r="J174" s="32"/>
      <c r="K174" s="32"/>
      <c r="L174" s="32"/>
    </row>
    <row r="175" spans="5:12" ht="25.5" customHeight="1">
      <c r="E175" s="32"/>
      <c r="F175" s="32"/>
      <c r="G175" s="32"/>
      <c r="H175" s="32"/>
      <c r="I175" s="32"/>
      <c r="J175" s="32"/>
      <c r="K175" s="32"/>
      <c r="L175" s="32"/>
    </row>
    <row r="176" spans="5:12" ht="25.5" customHeight="1">
      <c r="E176" s="32"/>
      <c r="F176" s="32"/>
      <c r="G176" s="32"/>
      <c r="H176" s="32"/>
      <c r="I176" s="32"/>
      <c r="J176" s="32"/>
      <c r="K176" s="32"/>
      <c r="L176" s="32"/>
    </row>
    <row r="177" spans="5:12" ht="25.5" customHeight="1">
      <c r="E177" s="32"/>
      <c r="F177" s="32"/>
      <c r="G177" s="32"/>
      <c r="H177" s="32"/>
      <c r="I177" s="32"/>
      <c r="J177" s="32"/>
      <c r="K177" s="32"/>
      <c r="L177" s="32"/>
    </row>
    <row r="178" spans="5:12" ht="25.5" customHeight="1">
      <c r="E178" s="32"/>
      <c r="F178" s="32"/>
      <c r="G178" s="32"/>
      <c r="H178" s="32"/>
      <c r="I178" s="32"/>
      <c r="J178" s="32"/>
      <c r="K178" s="32"/>
      <c r="L178" s="32"/>
    </row>
    <row r="179" spans="5:12" ht="25.5" customHeight="1">
      <c r="E179" s="32"/>
      <c r="F179" s="32"/>
      <c r="G179" s="32"/>
      <c r="H179" s="32"/>
      <c r="I179" s="32"/>
      <c r="J179" s="32"/>
      <c r="K179" s="32"/>
      <c r="L179" s="32"/>
    </row>
    <row r="180" spans="5:12" ht="25.5" customHeight="1">
      <c r="E180" s="32"/>
      <c r="F180" s="32"/>
      <c r="G180" s="32"/>
      <c r="H180" s="32"/>
      <c r="I180" s="32"/>
      <c r="J180" s="32"/>
      <c r="K180" s="32"/>
      <c r="L180" s="32"/>
    </row>
    <row r="181" spans="5:12" ht="25.5" customHeight="1">
      <c r="E181" s="32"/>
      <c r="F181" s="32"/>
      <c r="G181" s="32"/>
      <c r="H181" s="32"/>
      <c r="I181" s="32"/>
      <c r="J181" s="32"/>
      <c r="K181" s="32"/>
      <c r="L181" s="32"/>
    </row>
    <row r="182" spans="5:12" ht="25.5" customHeight="1">
      <c r="E182" s="32"/>
      <c r="F182" s="32"/>
      <c r="G182" s="32"/>
      <c r="H182" s="32"/>
      <c r="I182" s="32"/>
      <c r="J182" s="32"/>
      <c r="K182" s="32"/>
      <c r="L182" s="32"/>
    </row>
    <row r="183" spans="5:12" ht="25.5" customHeight="1">
      <c r="E183" s="32"/>
      <c r="F183" s="32"/>
      <c r="G183" s="32"/>
      <c r="H183" s="32"/>
      <c r="I183" s="32"/>
      <c r="J183" s="32"/>
      <c r="K183" s="32"/>
      <c r="L183" s="32"/>
    </row>
    <row r="184" spans="5:12" ht="25.5" customHeight="1">
      <c r="E184" s="32"/>
      <c r="F184" s="32"/>
      <c r="G184" s="32"/>
      <c r="H184" s="32"/>
      <c r="I184" s="32"/>
      <c r="J184" s="32"/>
      <c r="K184" s="32"/>
      <c r="L184" s="32"/>
    </row>
    <row r="185" spans="5:12" ht="25.5" customHeight="1">
      <c r="E185" s="32"/>
      <c r="F185" s="32"/>
      <c r="G185" s="32"/>
      <c r="H185" s="32"/>
      <c r="I185" s="32"/>
      <c r="J185" s="32"/>
      <c r="K185" s="32"/>
      <c r="L185" s="32"/>
    </row>
    <row r="186" spans="5:12" ht="25.5" customHeight="1">
      <c r="E186" s="32"/>
      <c r="F186" s="32"/>
      <c r="G186" s="32"/>
      <c r="H186" s="32"/>
      <c r="I186" s="32"/>
      <c r="J186" s="32"/>
      <c r="K186" s="32"/>
      <c r="L186" s="32"/>
    </row>
    <row r="187" spans="5:12" ht="25.5" customHeight="1">
      <c r="E187" s="32"/>
      <c r="F187" s="32"/>
      <c r="G187" s="32"/>
      <c r="H187" s="32"/>
      <c r="I187" s="32"/>
      <c r="J187" s="32"/>
      <c r="K187" s="32"/>
      <c r="L187" s="32"/>
    </row>
    <row r="188" spans="5:12" ht="25.5" customHeight="1">
      <c r="E188" s="32"/>
      <c r="F188" s="32"/>
      <c r="G188" s="32"/>
      <c r="H188" s="32"/>
      <c r="I188" s="32"/>
      <c r="J188" s="32"/>
      <c r="K188" s="32"/>
      <c r="L188" s="32"/>
    </row>
    <row r="189" spans="5:12" ht="25.5" customHeight="1">
      <c r="E189" s="32"/>
      <c r="F189" s="32"/>
      <c r="G189" s="32"/>
      <c r="H189" s="32"/>
      <c r="I189" s="32"/>
      <c r="J189" s="32"/>
      <c r="K189" s="32"/>
      <c r="L189" s="32"/>
    </row>
    <row r="190" spans="5:12" ht="25.5" customHeight="1">
      <c r="E190" s="32"/>
      <c r="F190" s="32"/>
      <c r="G190" s="32"/>
      <c r="H190" s="32"/>
      <c r="I190" s="32"/>
      <c r="J190" s="32"/>
      <c r="K190" s="32"/>
      <c r="L190" s="32"/>
    </row>
    <row r="191" spans="5:12" ht="25.5" customHeight="1">
      <c r="E191" s="32"/>
      <c r="F191" s="32"/>
      <c r="G191" s="32"/>
      <c r="H191" s="32"/>
      <c r="I191" s="32"/>
      <c r="J191" s="32"/>
      <c r="K191" s="32"/>
      <c r="L191" s="32"/>
    </row>
    <row r="192" spans="5:12" ht="25.5" customHeight="1">
      <c r="E192" s="32"/>
      <c r="F192" s="32"/>
      <c r="G192" s="32"/>
      <c r="H192" s="32"/>
      <c r="I192" s="32"/>
      <c r="J192" s="32"/>
      <c r="K192" s="32"/>
      <c r="L192" s="32"/>
    </row>
    <row r="193" spans="5:12" ht="25.5" customHeight="1">
      <c r="E193" s="32"/>
      <c r="F193" s="32"/>
      <c r="G193" s="32"/>
      <c r="H193" s="32"/>
      <c r="I193" s="32"/>
      <c r="J193" s="32"/>
      <c r="K193" s="32"/>
      <c r="L193" s="32"/>
    </row>
    <row r="194" spans="5:12" ht="25.5" customHeight="1">
      <c r="E194" s="32"/>
      <c r="F194" s="32"/>
      <c r="G194" s="32"/>
      <c r="H194" s="32"/>
      <c r="I194" s="32"/>
      <c r="J194" s="32"/>
      <c r="K194" s="32"/>
      <c r="L194" s="32"/>
    </row>
    <row r="195" spans="5:12" ht="25.5" customHeight="1">
      <c r="E195" s="32"/>
      <c r="F195" s="32"/>
      <c r="G195" s="32"/>
      <c r="H195" s="32"/>
      <c r="I195" s="32"/>
      <c r="J195" s="32"/>
      <c r="K195" s="32"/>
      <c r="L195" s="32"/>
    </row>
    <row r="196" spans="5:12" ht="25.5" customHeight="1">
      <c r="E196" s="32"/>
      <c r="F196" s="32"/>
      <c r="G196" s="32"/>
      <c r="H196" s="32"/>
      <c r="I196" s="32"/>
      <c r="J196" s="32"/>
      <c r="K196" s="32"/>
      <c r="L196" s="32"/>
    </row>
    <row r="197" spans="5:12" ht="25.5" customHeight="1">
      <c r="E197" s="32"/>
      <c r="F197" s="32"/>
      <c r="G197" s="32"/>
      <c r="H197" s="32"/>
      <c r="I197" s="32"/>
      <c r="J197" s="32"/>
      <c r="K197" s="32"/>
      <c r="L197" s="32"/>
    </row>
    <row r="198" spans="5:12" ht="25.5" customHeight="1">
      <c r="E198" s="32"/>
      <c r="F198" s="32"/>
      <c r="G198" s="32"/>
      <c r="H198" s="32"/>
      <c r="I198" s="32"/>
      <c r="J198" s="32"/>
      <c r="K198" s="32"/>
      <c r="L198" s="32"/>
    </row>
    <row r="199" spans="5:12" ht="25.5" customHeight="1">
      <c r="E199" s="32"/>
      <c r="F199" s="32"/>
      <c r="G199" s="32"/>
      <c r="H199" s="32"/>
      <c r="I199" s="32"/>
      <c r="J199" s="32"/>
      <c r="K199" s="32"/>
      <c r="L199" s="32"/>
    </row>
    <row r="200" spans="5:12" ht="25.5" customHeight="1">
      <c r="E200" s="32"/>
      <c r="F200" s="32"/>
      <c r="G200" s="32"/>
      <c r="H200" s="32"/>
      <c r="I200" s="32"/>
      <c r="J200" s="32"/>
      <c r="K200" s="32"/>
      <c r="L200" s="32"/>
    </row>
    <row r="201" spans="5:12" ht="25.5" customHeight="1">
      <c r="E201" s="32"/>
      <c r="F201" s="32"/>
      <c r="G201" s="32"/>
      <c r="H201" s="32"/>
      <c r="I201" s="32"/>
      <c r="J201" s="32"/>
      <c r="K201" s="32"/>
      <c r="L201" s="32"/>
    </row>
    <row r="202" spans="5:12" ht="25.5" customHeight="1">
      <c r="E202" s="32"/>
      <c r="F202" s="32"/>
      <c r="G202" s="32"/>
      <c r="H202" s="32"/>
      <c r="I202" s="32"/>
      <c r="J202" s="32"/>
      <c r="K202" s="32"/>
      <c r="L202" s="32"/>
    </row>
    <row r="203" spans="5:12" ht="25.5" customHeight="1">
      <c r="E203" s="32"/>
      <c r="F203" s="32"/>
      <c r="G203" s="32"/>
      <c r="H203" s="32"/>
      <c r="I203" s="32"/>
      <c r="J203" s="32"/>
      <c r="K203" s="32"/>
      <c r="L203" s="32"/>
    </row>
    <row r="204" spans="5:12" ht="25.5" customHeight="1">
      <c r="E204" s="32"/>
      <c r="F204" s="32"/>
      <c r="G204" s="32"/>
      <c r="H204" s="32"/>
      <c r="I204" s="32"/>
      <c r="J204" s="32"/>
      <c r="K204" s="32"/>
      <c r="L204" s="32"/>
    </row>
    <row r="205" spans="5:12" ht="25.5" customHeight="1">
      <c r="E205" s="32"/>
      <c r="F205" s="32"/>
      <c r="G205" s="32"/>
      <c r="H205" s="32"/>
      <c r="I205" s="32"/>
      <c r="J205" s="32"/>
      <c r="K205" s="32"/>
      <c r="L205" s="32"/>
    </row>
    <row r="206" spans="5:12" ht="25.5" customHeight="1">
      <c r="E206" s="32"/>
      <c r="F206" s="32"/>
      <c r="G206" s="32"/>
      <c r="H206" s="32"/>
      <c r="I206" s="32"/>
      <c r="J206" s="32"/>
      <c r="K206" s="32"/>
      <c r="L206" s="32"/>
    </row>
    <row r="207" spans="5:12" ht="25.5" customHeight="1">
      <c r="E207" s="32"/>
      <c r="F207" s="32"/>
      <c r="G207" s="32"/>
      <c r="H207" s="32"/>
      <c r="I207" s="32"/>
      <c r="J207" s="32"/>
      <c r="K207" s="32"/>
      <c r="L207" s="32"/>
    </row>
    <row r="208" spans="5:12" ht="25.5" customHeight="1">
      <c r="E208" s="32"/>
      <c r="F208" s="32"/>
      <c r="G208" s="32"/>
      <c r="H208" s="32"/>
      <c r="I208" s="32"/>
      <c r="J208" s="32"/>
      <c r="K208" s="32"/>
      <c r="L208" s="32"/>
    </row>
    <row r="209" spans="5:12" ht="25.5" customHeight="1">
      <c r="E209" s="32"/>
      <c r="F209" s="32"/>
      <c r="G209" s="32"/>
      <c r="H209" s="32"/>
      <c r="I209" s="32"/>
      <c r="J209" s="32"/>
      <c r="K209" s="32"/>
      <c r="L209" s="32"/>
    </row>
    <row r="210" spans="5:12" ht="25.5" customHeight="1">
      <c r="E210" s="32"/>
      <c r="F210" s="32"/>
      <c r="G210" s="32"/>
      <c r="H210" s="32"/>
      <c r="I210" s="32"/>
      <c r="J210" s="32"/>
      <c r="K210" s="32"/>
      <c r="L210" s="32"/>
    </row>
    <row r="211" spans="5:12" ht="25.5" customHeight="1">
      <c r="E211" s="32"/>
      <c r="F211" s="32"/>
      <c r="G211" s="32"/>
      <c r="H211" s="32"/>
      <c r="I211" s="32"/>
      <c r="J211" s="32"/>
      <c r="K211" s="32"/>
      <c r="L211" s="32"/>
    </row>
    <row r="212" spans="5:12" ht="25.5" customHeight="1">
      <c r="E212" s="32"/>
      <c r="F212" s="32"/>
      <c r="G212" s="32"/>
      <c r="H212" s="32"/>
      <c r="I212" s="32"/>
      <c r="J212" s="32"/>
      <c r="K212" s="32"/>
      <c r="L212" s="32"/>
    </row>
    <row r="213" spans="5:12" ht="25.5" customHeight="1">
      <c r="E213" s="32"/>
      <c r="F213" s="32"/>
      <c r="G213" s="32"/>
      <c r="H213" s="32"/>
      <c r="I213" s="32"/>
      <c r="J213" s="32"/>
      <c r="K213" s="32"/>
      <c r="L213" s="32"/>
    </row>
    <row r="214" spans="5:12" ht="25.5" customHeight="1">
      <c r="E214" s="32"/>
      <c r="F214" s="32"/>
      <c r="G214" s="32"/>
      <c r="H214" s="32"/>
      <c r="I214" s="32"/>
      <c r="J214" s="32"/>
      <c r="K214" s="32"/>
      <c r="L214" s="32"/>
    </row>
    <row r="215" spans="5:12" ht="25.5" customHeight="1">
      <c r="E215" s="32"/>
      <c r="F215" s="32"/>
      <c r="G215" s="32"/>
      <c r="H215" s="32"/>
      <c r="I215" s="32"/>
      <c r="J215" s="32"/>
      <c r="K215" s="32"/>
      <c r="L215" s="32"/>
    </row>
    <row r="216" spans="5:12" ht="25.5" customHeight="1">
      <c r="E216" s="32"/>
      <c r="F216" s="32"/>
      <c r="G216" s="32"/>
      <c r="H216" s="32"/>
      <c r="I216" s="32"/>
      <c r="J216" s="32"/>
      <c r="K216" s="32"/>
      <c r="L216" s="32"/>
    </row>
    <row r="217" spans="5:12" ht="25.5" customHeight="1">
      <c r="E217" s="32"/>
      <c r="F217" s="32"/>
      <c r="G217" s="32"/>
      <c r="H217" s="32"/>
      <c r="I217" s="32"/>
      <c r="J217" s="32"/>
      <c r="K217" s="32"/>
      <c r="L217" s="32"/>
    </row>
    <row r="218" spans="5:12" ht="25.5" customHeight="1">
      <c r="E218" s="32"/>
      <c r="F218" s="32"/>
      <c r="G218" s="32"/>
      <c r="H218" s="32"/>
      <c r="I218" s="32"/>
      <c r="J218" s="32"/>
      <c r="K218" s="32"/>
      <c r="L218" s="32"/>
    </row>
    <row r="219" spans="5:12" ht="25.5" customHeight="1">
      <c r="E219" s="32"/>
      <c r="F219" s="32"/>
      <c r="G219" s="32"/>
      <c r="H219" s="32"/>
      <c r="I219" s="32"/>
      <c r="J219" s="32"/>
      <c r="K219" s="32"/>
      <c r="L219" s="32"/>
    </row>
    <row r="220" spans="5:12" ht="25.5" customHeight="1">
      <c r="E220" s="32"/>
      <c r="F220" s="32"/>
      <c r="G220" s="32"/>
      <c r="H220" s="32"/>
      <c r="I220" s="32"/>
      <c r="J220" s="32"/>
      <c r="K220" s="32"/>
      <c r="L220" s="32"/>
    </row>
    <row r="221" spans="5:12" ht="25.5" customHeight="1">
      <c r="E221" s="32"/>
      <c r="F221" s="32"/>
      <c r="G221" s="32"/>
      <c r="H221" s="32"/>
      <c r="I221" s="32"/>
      <c r="J221" s="32"/>
      <c r="K221" s="32"/>
      <c r="L221" s="32"/>
    </row>
    <row r="222" spans="5:12" ht="25.5" customHeight="1">
      <c r="E222" s="32"/>
      <c r="F222" s="32"/>
      <c r="G222" s="32"/>
      <c r="H222" s="32"/>
      <c r="I222" s="32"/>
      <c r="J222" s="32"/>
      <c r="K222" s="32"/>
      <c r="L222" s="32"/>
    </row>
    <row r="223" spans="5:12" ht="25.5" customHeight="1">
      <c r="E223" s="32"/>
      <c r="F223" s="32"/>
      <c r="G223" s="32"/>
      <c r="H223" s="32"/>
      <c r="I223" s="32"/>
      <c r="J223" s="32"/>
      <c r="K223" s="32"/>
      <c r="L223" s="32"/>
    </row>
    <row r="224" spans="5:12" ht="25.5" customHeight="1">
      <c r="E224" s="32"/>
      <c r="F224" s="32"/>
      <c r="G224" s="32"/>
      <c r="H224" s="32"/>
      <c r="I224" s="32"/>
      <c r="J224" s="32"/>
      <c r="K224" s="32"/>
      <c r="L224" s="32"/>
    </row>
    <row r="225" spans="5:12" ht="25.5" customHeight="1">
      <c r="E225" s="32"/>
      <c r="F225" s="32"/>
      <c r="G225" s="32"/>
      <c r="H225" s="32"/>
      <c r="I225" s="32"/>
      <c r="J225" s="32"/>
      <c r="K225" s="32"/>
      <c r="L225" s="32"/>
    </row>
    <row r="226" spans="5:12" ht="25.5" customHeight="1">
      <c r="E226" s="32"/>
      <c r="F226" s="32"/>
      <c r="G226" s="32"/>
      <c r="H226" s="32"/>
      <c r="I226" s="32"/>
      <c r="J226" s="32"/>
      <c r="K226" s="32"/>
      <c r="L226" s="32"/>
    </row>
    <row r="227" spans="5:12" ht="25.5" customHeight="1">
      <c r="E227" s="32"/>
      <c r="F227" s="32"/>
      <c r="G227" s="32"/>
      <c r="H227" s="32"/>
      <c r="I227" s="32"/>
      <c r="J227" s="32"/>
      <c r="K227" s="32"/>
      <c r="L227" s="32"/>
    </row>
    <row r="228" spans="5:12" ht="25.5" customHeight="1">
      <c r="E228" s="32"/>
      <c r="F228" s="32"/>
      <c r="G228" s="32"/>
      <c r="H228" s="32"/>
      <c r="I228" s="32"/>
      <c r="J228" s="32"/>
      <c r="K228" s="32"/>
      <c r="L228" s="32"/>
    </row>
    <row r="229" spans="5:12" ht="25.5" customHeight="1">
      <c r="E229" s="32"/>
      <c r="F229" s="32"/>
      <c r="G229" s="32"/>
      <c r="H229" s="32"/>
      <c r="I229" s="32"/>
      <c r="J229" s="32"/>
      <c r="K229" s="32"/>
      <c r="L229" s="32"/>
    </row>
    <row r="230" spans="5:12" ht="25.5" customHeight="1">
      <c r="E230" s="32"/>
      <c r="F230" s="32"/>
      <c r="G230" s="32"/>
      <c r="H230" s="32"/>
      <c r="I230" s="32"/>
      <c r="J230" s="32"/>
      <c r="K230" s="32"/>
      <c r="L230" s="32"/>
    </row>
    <row r="231" spans="5:12" ht="25.5" customHeight="1">
      <c r="E231" s="32"/>
      <c r="F231" s="32"/>
      <c r="G231" s="32"/>
      <c r="H231" s="32"/>
      <c r="I231" s="32"/>
      <c r="J231" s="32"/>
      <c r="K231" s="32"/>
      <c r="L231" s="32"/>
    </row>
    <row r="232" spans="5:12" ht="25.5" customHeight="1">
      <c r="E232" s="32"/>
      <c r="F232" s="32"/>
      <c r="G232" s="32"/>
      <c r="H232" s="32"/>
      <c r="I232" s="32"/>
      <c r="J232" s="32"/>
      <c r="K232" s="32"/>
      <c r="L232" s="32"/>
    </row>
    <row r="233" spans="5:12" ht="25.5" customHeight="1">
      <c r="E233" s="32"/>
      <c r="F233" s="32"/>
      <c r="G233" s="32"/>
      <c r="H233" s="32"/>
      <c r="I233" s="32"/>
      <c r="J233" s="32"/>
      <c r="K233" s="32"/>
      <c r="L233" s="32"/>
    </row>
    <row r="234" spans="5:12" ht="25.5" customHeight="1">
      <c r="E234" s="32"/>
      <c r="F234" s="32"/>
      <c r="G234" s="32"/>
      <c r="H234" s="32"/>
      <c r="I234" s="32"/>
      <c r="J234" s="32"/>
      <c r="K234" s="32"/>
      <c r="L234" s="32"/>
    </row>
    <row r="235" spans="5:12" ht="25.5" customHeight="1">
      <c r="E235" s="32"/>
      <c r="F235" s="32"/>
      <c r="G235" s="32"/>
      <c r="H235" s="32"/>
      <c r="I235" s="32"/>
      <c r="J235" s="32"/>
      <c r="K235" s="32"/>
      <c r="L235" s="32"/>
    </row>
    <row r="236" spans="5:12" ht="25.5" customHeight="1">
      <c r="E236" s="32"/>
      <c r="F236" s="32"/>
      <c r="G236" s="32"/>
      <c r="H236" s="32"/>
      <c r="I236" s="32"/>
      <c r="J236" s="32"/>
      <c r="K236" s="32"/>
      <c r="L236" s="32"/>
    </row>
    <row r="237" spans="5:12" ht="25.5" customHeight="1">
      <c r="E237" s="32"/>
      <c r="F237" s="32"/>
      <c r="G237" s="32"/>
      <c r="H237" s="32"/>
      <c r="I237" s="32"/>
      <c r="J237" s="32"/>
      <c r="K237" s="32"/>
      <c r="L237" s="32"/>
    </row>
    <row r="238" spans="5:12" ht="25.5" customHeight="1">
      <c r="E238" s="32"/>
      <c r="F238" s="32"/>
      <c r="G238" s="32"/>
      <c r="H238" s="32"/>
      <c r="I238" s="32"/>
      <c r="J238" s="32"/>
      <c r="K238" s="32"/>
      <c r="L238" s="32"/>
    </row>
    <row r="239" spans="5:12" ht="25.5" customHeight="1">
      <c r="E239" s="32"/>
      <c r="F239" s="32"/>
      <c r="G239" s="32"/>
      <c r="H239" s="32"/>
      <c r="I239" s="32"/>
      <c r="J239" s="32"/>
      <c r="K239" s="32"/>
      <c r="L239" s="32"/>
    </row>
    <row r="240" spans="5:12" ht="25.5" customHeight="1">
      <c r="E240" s="32"/>
      <c r="F240" s="32"/>
      <c r="G240" s="32"/>
      <c r="H240" s="32"/>
      <c r="I240" s="32"/>
      <c r="J240" s="32"/>
      <c r="K240" s="32"/>
      <c r="L240" s="32"/>
    </row>
    <row r="241" spans="5:12" ht="25.5" customHeight="1">
      <c r="E241" s="32"/>
      <c r="F241" s="32"/>
      <c r="G241" s="32"/>
      <c r="H241" s="32"/>
      <c r="I241" s="32"/>
      <c r="J241" s="32"/>
      <c r="K241" s="32"/>
      <c r="L241" s="32"/>
    </row>
    <row r="242" spans="5:12" ht="25.5" customHeight="1">
      <c r="E242" s="32"/>
      <c r="F242" s="32"/>
      <c r="G242" s="32"/>
      <c r="H242" s="32"/>
      <c r="I242" s="32"/>
      <c r="J242" s="32"/>
      <c r="K242" s="32"/>
      <c r="L242" s="32"/>
    </row>
    <row r="243" spans="5:12" ht="25.5" customHeight="1">
      <c r="E243" s="32"/>
      <c r="F243" s="32"/>
      <c r="G243" s="32"/>
      <c r="H243" s="32"/>
      <c r="I243" s="32"/>
      <c r="J243" s="32"/>
      <c r="K243" s="32"/>
      <c r="L243" s="32"/>
    </row>
    <row r="244" spans="5:12" ht="25.5" customHeight="1">
      <c r="E244" s="32"/>
      <c r="F244" s="32"/>
      <c r="G244" s="32"/>
      <c r="H244" s="32"/>
      <c r="I244" s="32"/>
      <c r="J244" s="32"/>
      <c r="K244" s="32"/>
      <c r="L244" s="32"/>
    </row>
    <row r="245" spans="5:12" ht="25.5" customHeight="1">
      <c r="E245" s="32"/>
      <c r="F245" s="32"/>
      <c r="G245" s="32"/>
      <c r="H245" s="32"/>
      <c r="I245" s="32"/>
      <c r="J245" s="32"/>
      <c r="K245" s="32"/>
      <c r="L245" s="32"/>
    </row>
    <row r="246" spans="5:12" ht="25.5" customHeight="1">
      <c r="E246" s="32"/>
      <c r="F246" s="32"/>
      <c r="G246" s="32"/>
      <c r="H246" s="32"/>
      <c r="I246" s="32"/>
      <c r="J246" s="32"/>
      <c r="K246" s="32"/>
      <c r="L246" s="32"/>
    </row>
    <row r="247" spans="5:12" ht="25.5" customHeight="1">
      <c r="E247" s="32"/>
      <c r="F247" s="32"/>
      <c r="G247" s="32"/>
      <c r="H247" s="32"/>
      <c r="I247" s="32"/>
      <c r="J247" s="32"/>
      <c r="K247" s="32"/>
      <c r="L247" s="32"/>
    </row>
    <row r="248" spans="5:12" ht="25.5" customHeight="1">
      <c r="E248" s="32"/>
      <c r="F248" s="32"/>
      <c r="G248" s="32"/>
      <c r="H248" s="32"/>
      <c r="I248" s="32"/>
      <c r="J248" s="32"/>
      <c r="K248" s="32"/>
      <c r="L248" s="32"/>
    </row>
    <row r="249" spans="5:12" ht="25.5" customHeight="1">
      <c r="E249" s="32"/>
      <c r="F249" s="32"/>
      <c r="G249" s="32"/>
      <c r="H249" s="32"/>
      <c r="I249" s="32"/>
      <c r="J249" s="32"/>
      <c r="K249" s="32"/>
      <c r="L249" s="32"/>
    </row>
    <row r="250" spans="5:12" ht="25.5" customHeight="1">
      <c r="E250" s="32"/>
      <c r="F250" s="32"/>
      <c r="G250" s="32"/>
      <c r="H250" s="32"/>
      <c r="I250" s="32"/>
      <c r="J250" s="32"/>
      <c r="K250" s="32"/>
      <c r="L250" s="32"/>
    </row>
    <row r="251" spans="5:12" ht="25.5" customHeight="1">
      <c r="E251" s="32"/>
      <c r="F251" s="32"/>
      <c r="G251" s="32"/>
      <c r="H251" s="32"/>
      <c r="I251" s="32"/>
      <c r="J251" s="32"/>
      <c r="K251" s="32"/>
      <c r="L251" s="32"/>
    </row>
    <row r="252" spans="5:12" ht="25.5" customHeight="1">
      <c r="E252" s="32"/>
      <c r="F252" s="32"/>
      <c r="G252" s="32"/>
      <c r="H252" s="32"/>
      <c r="I252" s="32"/>
      <c r="J252" s="32"/>
      <c r="K252" s="32"/>
      <c r="L252" s="32"/>
    </row>
    <row r="253" spans="5:12" ht="25.5" customHeight="1">
      <c r="E253" s="32"/>
      <c r="F253" s="32"/>
      <c r="G253" s="32"/>
      <c r="H253" s="32"/>
      <c r="I253" s="32"/>
      <c r="J253" s="32"/>
      <c r="K253" s="32"/>
      <c r="L253" s="32"/>
    </row>
    <row r="254" spans="5:12" ht="25.5" customHeight="1">
      <c r="E254" s="32"/>
      <c r="F254" s="32"/>
      <c r="G254" s="32"/>
      <c r="H254" s="32"/>
      <c r="I254" s="32"/>
      <c r="J254" s="32"/>
      <c r="K254" s="32"/>
      <c r="L254" s="32"/>
    </row>
    <row r="255" spans="5:12" ht="25.5" customHeight="1">
      <c r="E255" s="32"/>
      <c r="F255" s="32"/>
      <c r="G255" s="32"/>
      <c r="H255" s="32"/>
      <c r="I255" s="32"/>
      <c r="J255" s="32"/>
      <c r="K255" s="32"/>
      <c r="L255" s="32"/>
    </row>
    <row r="256" spans="5:12" ht="25.5" customHeight="1">
      <c r="E256" s="32"/>
      <c r="F256" s="32"/>
      <c r="G256" s="32"/>
      <c r="H256" s="32"/>
      <c r="I256" s="32"/>
      <c r="J256" s="32"/>
      <c r="K256" s="32"/>
      <c r="L256" s="32"/>
    </row>
    <row r="257" spans="5:12" ht="25.5" customHeight="1">
      <c r="E257" s="32"/>
      <c r="F257" s="32"/>
      <c r="G257" s="32"/>
      <c r="H257" s="32"/>
      <c r="I257" s="32"/>
      <c r="J257" s="32"/>
      <c r="K257" s="32"/>
      <c r="L257" s="32"/>
    </row>
    <row r="258" spans="5:12" ht="25.5" customHeight="1">
      <c r="E258" s="32"/>
      <c r="F258" s="32"/>
      <c r="G258" s="32"/>
      <c r="H258" s="32"/>
      <c r="I258" s="32"/>
      <c r="J258" s="32"/>
      <c r="K258" s="32"/>
      <c r="L258" s="32"/>
    </row>
    <row r="259" spans="5:12" ht="25.5" customHeight="1">
      <c r="E259" s="32"/>
      <c r="F259" s="32"/>
      <c r="G259" s="32"/>
      <c r="H259" s="32"/>
      <c r="I259" s="32"/>
      <c r="J259" s="32"/>
      <c r="K259" s="32"/>
      <c r="L259" s="32"/>
    </row>
    <row r="260" spans="5:12" ht="25.5" customHeight="1">
      <c r="E260" s="32"/>
      <c r="F260" s="32"/>
      <c r="G260" s="32"/>
      <c r="H260" s="32"/>
      <c r="I260" s="32"/>
      <c r="J260" s="32"/>
      <c r="K260" s="32"/>
      <c r="L260" s="32"/>
    </row>
    <row r="261" spans="5:12" ht="25.5" customHeight="1">
      <c r="E261" s="32"/>
      <c r="F261" s="32"/>
      <c r="G261" s="32"/>
      <c r="H261" s="32"/>
      <c r="I261" s="32"/>
      <c r="J261" s="32"/>
      <c r="K261" s="32"/>
      <c r="L261" s="32"/>
    </row>
    <row r="262" spans="5:12" ht="25.5" customHeight="1">
      <c r="E262" s="32"/>
      <c r="F262" s="32"/>
      <c r="G262" s="32"/>
      <c r="H262" s="32"/>
      <c r="I262" s="32"/>
      <c r="J262" s="32"/>
      <c r="K262" s="32"/>
      <c r="L262" s="32"/>
    </row>
    <row r="263" spans="5:12" ht="25.5" customHeight="1">
      <c r="E263" s="32"/>
      <c r="F263" s="32"/>
      <c r="G263" s="32"/>
      <c r="H263" s="32"/>
      <c r="I263" s="32"/>
      <c r="J263" s="32"/>
      <c r="K263" s="32"/>
      <c r="L263" s="32"/>
    </row>
    <row r="264" spans="5:12" ht="25.5" customHeight="1">
      <c r="E264" s="32"/>
      <c r="F264" s="32"/>
      <c r="G264" s="32"/>
      <c r="H264" s="32"/>
      <c r="I264" s="32"/>
      <c r="J264" s="32"/>
      <c r="K264" s="32"/>
      <c r="L264" s="32"/>
    </row>
    <row r="265" spans="5:12" ht="25.5" customHeight="1">
      <c r="E265" s="32"/>
      <c r="F265" s="32"/>
      <c r="G265" s="32"/>
      <c r="H265" s="32"/>
      <c r="I265" s="32"/>
      <c r="J265" s="32"/>
      <c r="K265" s="32"/>
      <c r="L265" s="32"/>
    </row>
    <row r="266" spans="5:12" ht="25.5" customHeight="1">
      <c r="E266" s="32"/>
      <c r="F266" s="32"/>
      <c r="G266" s="32"/>
      <c r="H266" s="32"/>
      <c r="I266" s="32"/>
      <c r="J266" s="32"/>
      <c r="K266" s="32"/>
      <c r="L266" s="32"/>
    </row>
    <row r="267" spans="5:12" ht="25.5" customHeight="1">
      <c r="E267" s="32"/>
      <c r="F267" s="32"/>
      <c r="G267" s="32"/>
      <c r="H267" s="32"/>
      <c r="I267" s="32"/>
      <c r="J267" s="32"/>
      <c r="K267" s="32"/>
      <c r="L267" s="32"/>
    </row>
    <row r="268" spans="5:12" ht="25.5" customHeight="1">
      <c r="E268" s="32"/>
      <c r="F268" s="32"/>
      <c r="G268" s="32"/>
      <c r="H268" s="32"/>
      <c r="I268" s="32"/>
      <c r="J268" s="32"/>
      <c r="K268" s="32"/>
      <c r="L268" s="32"/>
    </row>
    <row r="269" spans="5:12" ht="25.5" customHeight="1">
      <c r="E269" s="32"/>
      <c r="F269" s="32"/>
      <c r="G269" s="32"/>
      <c r="H269" s="32"/>
      <c r="I269" s="32"/>
      <c r="J269" s="32"/>
      <c r="K269" s="32"/>
      <c r="L269" s="32"/>
    </row>
    <row r="270" spans="5:12" ht="25.5" customHeight="1">
      <c r="E270" s="32"/>
      <c r="F270" s="32"/>
      <c r="G270" s="32"/>
      <c r="H270" s="32"/>
      <c r="I270" s="32"/>
      <c r="J270" s="32"/>
      <c r="K270" s="32"/>
      <c r="L270" s="32"/>
    </row>
    <row r="271" spans="5:12" ht="25.5" customHeight="1">
      <c r="E271" s="32"/>
      <c r="F271" s="32"/>
      <c r="G271" s="32"/>
      <c r="H271" s="32"/>
      <c r="I271" s="32"/>
      <c r="J271" s="32"/>
      <c r="K271" s="32"/>
      <c r="L271" s="32"/>
    </row>
    <row r="272" spans="5:12" ht="25.5" customHeight="1">
      <c r="E272" s="32"/>
      <c r="F272" s="32"/>
      <c r="G272" s="32"/>
      <c r="H272" s="32"/>
      <c r="I272" s="32"/>
      <c r="J272" s="32"/>
      <c r="K272" s="32"/>
      <c r="L272" s="32"/>
    </row>
    <row r="273" spans="5:12" ht="25.5" customHeight="1">
      <c r="E273" s="32"/>
      <c r="F273" s="32"/>
      <c r="G273" s="32"/>
      <c r="H273" s="32"/>
      <c r="I273" s="32"/>
      <c r="J273" s="32"/>
      <c r="K273" s="32"/>
      <c r="L273" s="32"/>
    </row>
    <row r="274" spans="5:12" ht="25.5" customHeight="1">
      <c r="E274" s="32"/>
      <c r="F274" s="32"/>
      <c r="G274" s="32"/>
      <c r="H274" s="32"/>
      <c r="I274" s="32"/>
      <c r="J274" s="32"/>
      <c r="K274" s="32"/>
      <c r="L274" s="32"/>
    </row>
    <row r="275" spans="5:12" ht="25.5" customHeight="1">
      <c r="E275" s="32"/>
      <c r="F275" s="32"/>
      <c r="G275" s="32"/>
      <c r="H275" s="32"/>
      <c r="I275" s="32"/>
      <c r="J275" s="32"/>
      <c r="K275" s="32"/>
      <c r="L275" s="32"/>
    </row>
    <row r="276" spans="5:12" ht="25.5" customHeight="1">
      <c r="E276" s="32"/>
      <c r="F276" s="32"/>
      <c r="G276" s="32"/>
      <c r="H276" s="32"/>
      <c r="I276" s="32"/>
      <c r="J276" s="32"/>
      <c r="K276" s="32"/>
      <c r="L276" s="32"/>
    </row>
    <row r="277" spans="5:12" ht="25.5" customHeight="1">
      <c r="E277" s="32"/>
      <c r="F277" s="32"/>
      <c r="G277" s="32"/>
      <c r="H277" s="32"/>
      <c r="I277" s="32"/>
      <c r="J277" s="32"/>
      <c r="K277" s="32"/>
      <c r="L277" s="32"/>
    </row>
    <row r="278" spans="5:12" ht="25.5" customHeight="1">
      <c r="E278" s="32"/>
      <c r="F278" s="32"/>
      <c r="G278" s="32"/>
      <c r="H278" s="32"/>
      <c r="I278" s="32"/>
      <c r="J278" s="32"/>
      <c r="K278" s="32"/>
      <c r="L278" s="32"/>
    </row>
    <row r="279" spans="5:12" ht="25.5" customHeight="1">
      <c r="E279" s="32"/>
      <c r="F279" s="32"/>
      <c r="G279" s="32"/>
      <c r="H279" s="32"/>
      <c r="I279" s="32"/>
      <c r="J279" s="32"/>
      <c r="K279" s="32"/>
      <c r="L279" s="32"/>
    </row>
    <row r="280" spans="5:12" ht="25.5" customHeight="1">
      <c r="E280" s="32"/>
      <c r="F280" s="32"/>
      <c r="G280" s="32"/>
      <c r="H280" s="32"/>
      <c r="I280" s="32"/>
      <c r="J280" s="32"/>
      <c r="K280" s="32"/>
      <c r="L280" s="32"/>
    </row>
    <row r="281" spans="5:12" ht="25.5" customHeight="1">
      <c r="E281" s="32"/>
      <c r="F281" s="32"/>
      <c r="G281" s="32"/>
      <c r="H281" s="32"/>
      <c r="I281" s="32"/>
      <c r="J281" s="32"/>
      <c r="K281" s="32"/>
      <c r="L281" s="32"/>
    </row>
    <row r="282" spans="5:12" ht="25.5" customHeight="1">
      <c r="E282" s="32"/>
      <c r="F282" s="32"/>
      <c r="G282" s="32"/>
      <c r="H282" s="32"/>
      <c r="I282" s="32"/>
      <c r="J282" s="32"/>
      <c r="K282" s="32"/>
      <c r="L282" s="32"/>
    </row>
    <row r="283" spans="5:12" ht="25.5" customHeight="1">
      <c r="E283" s="32"/>
      <c r="F283" s="32"/>
      <c r="G283" s="32"/>
      <c r="H283" s="32"/>
      <c r="I283" s="32"/>
      <c r="J283" s="32"/>
      <c r="K283" s="32"/>
      <c r="L283" s="32"/>
    </row>
    <row r="284" spans="5:12" ht="25.5" customHeight="1">
      <c r="E284" s="32"/>
      <c r="F284" s="32"/>
      <c r="G284" s="32"/>
      <c r="H284" s="32"/>
      <c r="I284" s="32"/>
      <c r="J284" s="32"/>
      <c r="K284" s="32"/>
      <c r="L284" s="32"/>
    </row>
    <row r="285" spans="5:12" ht="25.5" customHeight="1">
      <c r="E285" s="32"/>
      <c r="F285" s="32"/>
      <c r="G285" s="32"/>
      <c r="H285" s="32"/>
      <c r="I285" s="32"/>
      <c r="J285" s="32"/>
      <c r="K285" s="32"/>
      <c r="L285" s="32"/>
    </row>
    <row r="286" spans="5:12" ht="25.5" customHeight="1">
      <c r="E286" s="32"/>
      <c r="F286" s="32"/>
      <c r="G286" s="32"/>
      <c r="H286" s="32"/>
      <c r="I286" s="32"/>
      <c r="J286" s="32"/>
      <c r="K286" s="32"/>
      <c r="L286" s="32"/>
    </row>
    <row r="287" spans="5:12" ht="25.5" customHeight="1">
      <c r="E287" s="32"/>
      <c r="F287" s="32"/>
      <c r="G287" s="32"/>
      <c r="H287" s="32"/>
      <c r="I287" s="32"/>
      <c r="J287" s="32"/>
      <c r="K287" s="32"/>
      <c r="L287" s="32"/>
    </row>
    <row r="288" spans="5:12" ht="25.5" customHeight="1">
      <c r="E288" s="32"/>
      <c r="F288" s="32"/>
      <c r="G288" s="32"/>
      <c r="H288" s="32"/>
      <c r="I288" s="32"/>
      <c r="J288" s="32"/>
      <c r="K288" s="32"/>
      <c r="L288" s="32"/>
    </row>
    <row r="289" spans="5:12" ht="25.5" customHeight="1">
      <c r="E289" s="32"/>
      <c r="F289" s="32"/>
      <c r="G289" s="32"/>
      <c r="H289" s="32"/>
      <c r="I289" s="32"/>
      <c r="J289" s="32"/>
      <c r="K289" s="32"/>
      <c r="L289" s="32"/>
    </row>
    <row r="290" spans="5:12" ht="25.5" customHeight="1">
      <c r="E290" s="32"/>
      <c r="F290" s="32"/>
      <c r="G290" s="32"/>
      <c r="H290" s="32"/>
      <c r="I290" s="32"/>
      <c r="J290" s="32"/>
      <c r="K290" s="32"/>
      <c r="L290" s="32"/>
    </row>
    <row r="291" spans="5:12" ht="25.5" customHeight="1">
      <c r="E291" s="32"/>
      <c r="F291" s="32"/>
      <c r="G291" s="32"/>
      <c r="H291" s="32"/>
      <c r="I291" s="32"/>
      <c r="J291" s="32"/>
      <c r="K291" s="32"/>
      <c r="L291" s="32"/>
    </row>
    <row r="292" spans="5:12" ht="25.5" customHeight="1">
      <c r="E292" s="32"/>
      <c r="F292" s="32"/>
      <c r="G292" s="32"/>
      <c r="H292" s="32"/>
      <c r="I292" s="32"/>
      <c r="J292" s="32"/>
      <c r="K292" s="32"/>
      <c r="L292" s="32"/>
    </row>
    <row r="293" spans="5:12" ht="25.5" customHeight="1">
      <c r="E293" s="32"/>
      <c r="F293" s="32"/>
      <c r="G293" s="32"/>
      <c r="H293" s="32"/>
      <c r="I293" s="32"/>
      <c r="J293" s="32"/>
      <c r="K293" s="32"/>
      <c r="L293" s="32"/>
    </row>
    <row r="294" spans="5:12" ht="25.5" customHeight="1">
      <c r="E294" s="32"/>
      <c r="F294" s="32"/>
      <c r="G294" s="32"/>
      <c r="H294" s="32"/>
      <c r="I294" s="32"/>
      <c r="J294" s="32"/>
      <c r="K294" s="32"/>
      <c r="L294" s="32"/>
    </row>
    <row r="295" spans="5:12" ht="25.5" customHeight="1">
      <c r="E295" s="32"/>
      <c r="F295" s="32"/>
      <c r="G295" s="32"/>
      <c r="H295" s="32"/>
      <c r="I295" s="32"/>
      <c r="J295" s="32"/>
      <c r="K295" s="32"/>
      <c r="L295" s="32"/>
    </row>
    <row r="296" spans="5:12" ht="25.5" customHeight="1">
      <c r="E296" s="32"/>
      <c r="F296" s="32"/>
      <c r="G296" s="32"/>
      <c r="H296" s="32"/>
      <c r="I296" s="32"/>
      <c r="J296" s="32"/>
      <c r="K296" s="32"/>
      <c r="L296" s="32"/>
    </row>
    <row r="297" spans="5:12" ht="25.5" customHeight="1">
      <c r="E297" s="32"/>
      <c r="F297" s="32"/>
      <c r="G297" s="32"/>
      <c r="H297" s="32"/>
      <c r="I297" s="32"/>
      <c r="J297" s="32"/>
      <c r="K297" s="32"/>
      <c r="L297" s="32"/>
    </row>
    <row r="298" spans="5:12" ht="25.5" customHeight="1">
      <c r="E298" s="32"/>
      <c r="F298" s="32"/>
      <c r="G298" s="32"/>
      <c r="H298" s="32"/>
      <c r="I298" s="32"/>
      <c r="J298" s="32"/>
      <c r="K298" s="32"/>
      <c r="L298" s="32"/>
    </row>
    <row r="299" spans="5:12" ht="25.5" customHeight="1">
      <c r="E299" s="32"/>
      <c r="F299" s="32"/>
      <c r="G299" s="32"/>
      <c r="H299" s="32"/>
      <c r="I299" s="32"/>
      <c r="J299" s="32"/>
      <c r="K299" s="32"/>
      <c r="L299" s="32"/>
    </row>
    <row r="300" spans="5:12" ht="25.5" customHeight="1">
      <c r="E300" s="32"/>
      <c r="F300" s="32"/>
      <c r="G300" s="32"/>
      <c r="H300" s="32"/>
      <c r="I300" s="32"/>
      <c r="J300" s="32"/>
      <c r="K300" s="32"/>
      <c r="L300" s="32"/>
    </row>
    <row r="301" spans="5:12" ht="25.5" customHeight="1">
      <c r="E301" s="32"/>
      <c r="F301" s="32"/>
      <c r="G301" s="32"/>
      <c r="H301" s="32"/>
      <c r="I301" s="32"/>
      <c r="J301" s="32"/>
      <c r="K301" s="32"/>
      <c r="L301" s="32"/>
    </row>
    <row r="302" spans="5:12" ht="25.5" customHeight="1">
      <c r="E302" s="32"/>
      <c r="F302" s="32"/>
      <c r="G302" s="32"/>
      <c r="H302" s="32"/>
      <c r="I302" s="32"/>
      <c r="J302" s="32"/>
      <c r="K302" s="32"/>
      <c r="L302" s="32"/>
    </row>
    <row r="303" spans="5:12" ht="25.5" customHeight="1">
      <c r="E303" s="32"/>
      <c r="F303" s="32"/>
      <c r="G303" s="32"/>
      <c r="H303" s="32"/>
      <c r="I303" s="32"/>
      <c r="J303" s="32"/>
      <c r="K303" s="32"/>
      <c r="L303" s="32"/>
    </row>
    <row r="304" spans="5:12" ht="25.5" customHeight="1">
      <c r="E304" s="32"/>
      <c r="F304" s="32"/>
      <c r="G304" s="32"/>
      <c r="H304" s="32"/>
      <c r="I304" s="32"/>
      <c r="J304" s="32"/>
      <c r="K304" s="32"/>
      <c r="L304" s="32"/>
    </row>
    <row r="305" spans="5:12" ht="25.5" customHeight="1">
      <c r="E305" s="32"/>
      <c r="F305" s="32"/>
      <c r="G305" s="32"/>
      <c r="H305" s="32"/>
      <c r="I305" s="32"/>
      <c r="J305" s="32"/>
      <c r="K305" s="32"/>
      <c r="L305" s="32"/>
    </row>
    <row r="306" spans="5:12" ht="25.5" customHeight="1">
      <c r="E306" s="32"/>
      <c r="F306" s="32"/>
      <c r="G306" s="32"/>
      <c r="H306" s="32"/>
      <c r="I306" s="32"/>
      <c r="J306" s="32"/>
      <c r="K306" s="32"/>
      <c r="L306" s="32"/>
    </row>
    <row r="307" spans="5:12" ht="25.5" customHeight="1">
      <c r="E307" s="32"/>
      <c r="F307" s="32"/>
      <c r="G307" s="32"/>
      <c r="H307" s="32"/>
      <c r="I307" s="32"/>
      <c r="J307" s="32"/>
      <c r="K307" s="32"/>
      <c r="L307" s="32"/>
    </row>
    <row r="308" spans="5:12" ht="25.5" customHeight="1">
      <c r="E308" s="32"/>
      <c r="F308" s="32"/>
      <c r="G308" s="32"/>
      <c r="H308" s="32"/>
      <c r="I308" s="32"/>
      <c r="J308" s="32"/>
      <c r="K308" s="32"/>
      <c r="L308" s="32"/>
    </row>
    <row r="309" spans="5:12" ht="25.5" customHeight="1">
      <c r="E309" s="32"/>
      <c r="F309" s="32"/>
      <c r="G309" s="32"/>
      <c r="H309" s="32"/>
      <c r="I309" s="32"/>
      <c r="J309" s="32"/>
      <c r="K309" s="32"/>
      <c r="L309" s="32"/>
    </row>
    <row r="310" spans="5:12" ht="25.5" customHeight="1">
      <c r="E310" s="32"/>
      <c r="F310" s="32"/>
      <c r="G310" s="32"/>
      <c r="H310" s="32"/>
      <c r="I310" s="32"/>
      <c r="J310" s="32"/>
      <c r="K310" s="32"/>
      <c r="L310" s="32"/>
    </row>
    <row r="311" spans="5:12" ht="25.5" customHeight="1">
      <c r="E311" s="32"/>
      <c r="F311" s="32"/>
      <c r="G311" s="32"/>
      <c r="H311" s="32"/>
      <c r="I311" s="32"/>
      <c r="J311" s="32"/>
      <c r="K311" s="32"/>
      <c r="L311" s="32"/>
    </row>
    <row r="312" spans="5:12" ht="25.5" customHeight="1">
      <c r="E312" s="32"/>
      <c r="F312" s="32"/>
      <c r="G312" s="32"/>
      <c r="H312" s="32"/>
      <c r="I312" s="32"/>
      <c r="J312" s="32"/>
      <c r="K312" s="32"/>
      <c r="L312" s="32"/>
    </row>
    <row r="313" spans="5:12" ht="25.5" customHeight="1">
      <c r="E313" s="32"/>
      <c r="F313" s="32"/>
      <c r="G313" s="32"/>
      <c r="H313" s="32"/>
      <c r="I313" s="32"/>
      <c r="J313" s="32"/>
      <c r="K313" s="32"/>
      <c r="L313" s="32"/>
    </row>
    <row r="314" spans="5:12" ht="25.5" customHeight="1">
      <c r="E314" s="32"/>
      <c r="F314" s="32"/>
      <c r="G314" s="32"/>
      <c r="H314" s="32"/>
      <c r="I314" s="32"/>
      <c r="J314" s="32"/>
      <c r="K314" s="32"/>
      <c r="L314" s="32"/>
    </row>
    <row r="315" spans="5:12" ht="25.5" customHeight="1">
      <c r="E315" s="32"/>
      <c r="F315" s="32"/>
      <c r="G315" s="32"/>
      <c r="H315" s="32"/>
      <c r="I315" s="32"/>
      <c r="J315" s="32"/>
      <c r="K315" s="32"/>
      <c r="L315" s="32"/>
    </row>
    <row r="316" spans="5:12" ht="25.5" customHeight="1">
      <c r="E316" s="32"/>
      <c r="F316" s="32"/>
      <c r="G316" s="32"/>
      <c r="H316" s="32"/>
      <c r="I316" s="32"/>
      <c r="J316" s="32"/>
      <c r="K316" s="32"/>
      <c r="L316" s="32"/>
    </row>
    <row r="317" spans="5:12" ht="25.5" customHeight="1">
      <c r="E317" s="32"/>
      <c r="F317" s="32"/>
      <c r="G317" s="32"/>
      <c r="H317" s="32"/>
      <c r="I317" s="32"/>
      <c r="J317" s="32"/>
      <c r="K317" s="32"/>
      <c r="L317" s="32"/>
    </row>
    <row r="318" spans="5:12" ht="25.5" customHeight="1">
      <c r="E318" s="32"/>
      <c r="F318" s="32"/>
      <c r="G318" s="32"/>
      <c r="H318" s="32"/>
      <c r="I318" s="32"/>
      <c r="J318" s="32"/>
      <c r="K318" s="32"/>
      <c r="L318" s="32"/>
    </row>
    <row r="319" spans="5:12" ht="25.5" customHeight="1">
      <c r="E319" s="32"/>
      <c r="F319" s="32"/>
      <c r="G319" s="32"/>
      <c r="H319" s="32"/>
      <c r="I319" s="32"/>
      <c r="J319" s="32"/>
      <c r="K319" s="32"/>
      <c r="L319" s="32"/>
    </row>
    <row r="320" spans="5:12" ht="25.5" customHeight="1">
      <c r="E320" s="32"/>
      <c r="F320" s="32"/>
      <c r="G320" s="32"/>
      <c r="H320" s="32"/>
      <c r="I320" s="32"/>
      <c r="J320" s="32"/>
      <c r="K320" s="32"/>
      <c r="L320" s="32"/>
    </row>
    <row r="321" spans="5:12" ht="25.5" customHeight="1">
      <c r="E321" s="32"/>
      <c r="F321" s="32"/>
      <c r="G321" s="32"/>
      <c r="H321" s="32"/>
      <c r="I321" s="32"/>
      <c r="J321" s="32"/>
      <c r="K321" s="32"/>
      <c r="L321" s="32"/>
    </row>
    <row r="322" spans="5:12" ht="25.5" customHeight="1">
      <c r="E322" s="32"/>
      <c r="F322" s="32"/>
      <c r="G322" s="32"/>
      <c r="H322" s="32"/>
      <c r="I322" s="32"/>
      <c r="J322" s="32"/>
      <c r="K322" s="32"/>
      <c r="L322" s="32"/>
    </row>
    <row r="323" spans="5:12" ht="25.5" customHeight="1">
      <c r="E323" s="32"/>
      <c r="F323" s="32"/>
      <c r="G323" s="32"/>
      <c r="H323" s="32"/>
      <c r="I323" s="32"/>
      <c r="J323" s="32"/>
      <c r="K323" s="32"/>
      <c r="L323" s="32"/>
    </row>
    <row r="324" spans="5:12" ht="25.5" customHeight="1">
      <c r="E324" s="32"/>
      <c r="F324" s="32"/>
      <c r="G324" s="32"/>
      <c r="H324" s="32"/>
      <c r="I324" s="32"/>
      <c r="J324" s="32"/>
      <c r="K324" s="32"/>
      <c r="L324" s="32"/>
    </row>
    <row r="325" spans="5:12" ht="25.5" customHeight="1">
      <c r="E325" s="32"/>
      <c r="F325" s="32"/>
      <c r="G325" s="32"/>
      <c r="H325" s="32"/>
      <c r="I325" s="32"/>
      <c r="J325" s="32"/>
      <c r="K325" s="32"/>
      <c r="L325" s="32"/>
    </row>
    <row r="326" spans="5:12" ht="25.5" customHeight="1">
      <c r="E326" s="32"/>
      <c r="F326" s="32"/>
      <c r="G326" s="32"/>
      <c r="H326" s="32"/>
      <c r="I326" s="32"/>
      <c r="J326" s="32"/>
      <c r="K326" s="32"/>
      <c r="L326" s="32"/>
    </row>
    <row r="327" spans="5:12" ht="25.5" customHeight="1">
      <c r="E327" s="32"/>
      <c r="F327" s="32"/>
      <c r="G327" s="32"/>
      <c r="H327" s="32"/>
      <c r="I327" s="32"/>
      <c r="J327" s="32"/>
      <c r="K327" s="32"/>
      <c r="L327" s="32"/>
    </row>
    <row r="328" spans="5:12" ht="25.5" customHeight="1">
      <c r="E328" s="32"/>
      <c r="F328" s="32"/>
      <c r="G328" s="32"/>
      <c r="H328" s="32"/>
      <c r="I328" s="32"/>
      <c r="J328" s="32"/>
      <c r="K328" s="32"/>
      <c r="L328" s="32"/>
    </row>
    <row r="329" spans="5:12" ht="25.5" customHeight="1">
      <c r="E329" s="32"/>
      <c r="F329" s="32"/>
      <c r="G329" s="32"/>
      <c r="H329" s="32"/>
      <c r="I329" s="32"/>
      <c r="J329" s="32"/>
      <c r="K329" s="32"/>
      <c r="L329" s="32"/>
    </row>
    <row r="330" spans="5:12" ht="25.5" customHeight="1">
      <c r="E330" s="32"/>
      <c r="F330" s="32"/>
      <c r="G330" s="32"/>
      <c r="H330" s="32"/>
      <c r="I330" s="32"/>
      <c r="J330" s="32"/>
      <c r="K330" s="32"/>
      <c r="L330" s="32"/>
    </row>
    <row r="331" spans="5:12" ht="25.5" customHeight="1">
      <c r="E331" s="32"/>
      <c r="F331" s="32"/>
      <c r="G331" s="32"/>
      <c r="H331" s="32"/>
      <c r="I331" s="32"/>
      <c r="J331" s="32"/>
      <c r="K331" s="32"/>
      <c r="L331" s="32"/>
    </row>
    <row r="332" spans="5:12" ht="25.5" customHeight="1">
      <c r="E332" s="32"/>
      <c r="F332" s="32"/>
      <c r="G332" s="32"/>
      <c r="H332" s="32"/>
      <c r="I332" s="32"/>
      <c r="J332" s="32"/>
      <c r="K332" s="32"/>
      <c r="L332" s="32"/>
    </row>
    <row r="333" spans="5:12" ht="25.5" customHeight="1">
      <c r="E333" s="32"/>
      <c r="F333" s="32"/>
      <c r="G333" s="32"/>
      <c r="H333" s="32"/>
      <c r="I333" s="32"/>
      <c r="J333" s="32"/>
      <c r="K333" s="32"/>
      <c r="L333" s="32"/>
    </row>
    <row r="334" spans="5:12" ht="25.5" customHeight="1">
      <c r="E334" s="32"/>
      <c r="F334" s="32"/>
      <c r="G334" s="32"/>
      <c r="H334" s="32"/>
      <c r="I334" s="32"/>
      <c r="J334" s="32"/>
      <c r="K334" s="32"/>
      <c r="L334" s="32"/>
    </row>
    <row r="335" spans="5:12" ht="25.5" customHeight="1">
      <c r="E335" s="32"/>
      <c r="F335" s="32"/>
      <c r="G335" s="32"/>
      <c r="H335" s="32"/>
      <c r="I335" s="32"/>
      <c r="J335" s="32"/>
      <c r="K335" s="32"/>
      <c r="L335" s="32"/>
    </row>
    <row r="336" spans="5:12" ht="25.5" customHeight="1">
      <c r="E336" s="32"/>
      <c r="F336" s="32"/>
      <c r="G336" s="32"/>
      <c r="H336" s="32"/>
      <c r="I336" s="32"/>
      <c r="J336" s="32"/>
      <c r="K336" s="32"/>
      <c r="L336" s="32"/>
    </row>
    <row r="337" spans="5:12" ht="25.5" customHeight="1">
      <c r="E337" s="32"/>
      <c r="F337" s="32"/>
      <c r="G337" s="32"/>
      <c r="H337" s="32"/>
      <c r="I337" s="32"/>
      <c r="J337" s="32"/>
      <c r="K337" s="32"/>
      <c r="L337" s="32"/>
    </row>
    <row r="338" spans="5:12" ht="25.5" customHeight="1">
      <c r="E338" s="32"/>
      <c r="F338" s="32"/>
      <c r="G338" s="32"/>
      <c r="H338" s="32"/>
      <c r="I338" s="32"/>
      <c r="J338" s="32"/>
      <c r="K338" s="32"/>
      <c r="L338" s="32"/>
    </row>
    <row r="339" spans="5:12" ht="25.5" customHeight="1">
      <c r="E339" s="32"/>
      <c r="F339" s="32"/>
      <c r="G339" s="32"/>
      <c r="H339" s="32"/>
      <c r="I339" s="32"/>
      <c r="J339" s="32"/>
      <c r="K339" s="32"/>
      <c r="L339" s="32"/>
    </row>
    <row r="340" spans="5:12" ht="25.5" customHeight="1">
      <c r="E340" s="32"/>
      <c r="F340" s="32"/>
      <c r="G340" s="32"/>
      <c r="H340" s="32"/>
      <c r="I340" s="32"/>
      <c r="J340" s="32"/>
      <c r="K340" s="32"/>
      <c r="L340" s="32"/>
    </row>
    <row r="341" spans="5:12" ht="25.5" customHeight="1">
      <c r="E341" s="32"/>
      <c r="F341" s="32"/>
      <c r="G341" s="32"/>
      <c r="H341" s="32"/>
      <c r="I341" s="32"/>
      <c r="J341" s="32"/>
      <c r="K341" s="32"/>
      <c r="L341" s="32"/>
    </row>
    <row r="342" spans="5:12" ht="25.5" customHeight="1">
      <c r="E342" s="32"/>
      <c r="F342" s="32"/>
      <c r="G342" s="32"/>
      <c r="H342" s="32"/>
      <c r="I342" s="32"/>
      <c r="J342" s="32"/>
      <c r="K342" s="32"/>
      <c r="L342" s="32"/>
    </row>
    <row r="343" spans="5:12" ht="25.5" customHeight="1">
      <c r="E343" s="32"/>
      <c r="F343" s="32"/>
      <c r="G343" s="32"/>
      <c r="H343" s="32"/>
      <c r="I343" s="32"/>
      <c r="J343" s="32"/>
      <c r="K343" s="32"/>
      <c r="L343" s="32"/>
    </row>
    <row r="344" spans="5:12" ht="25.5" customHeight="1">
      <c r="E344" s="32"/>
      <c r="F344" s="32"/>
      <c r="G344" s="32"/>
      <c r="H344" s="32"/>
      <c r="I344" s="32"/>
      <c r="J344" s="32"/>
      <c r="K344" s="32"/>
      <c r="L344" s="32"/>
    </row>
    <row r="345" spans="5:12" ht="25.5" customHeight="1">
      <c r="E345" s="32"/>
      <c r="F345" s="32"/>
      <c r="G345" s="32"/>
      <c r="H345" s="32"/>
      <c r="I345" s="32"/>
      <c r="J345" s="32"/>
      <c r="K345" s="32"/>
      <c r="L345" s="32"/>
    </row>
    <row r="346" spans="5:12" ht="25.5" customHeight="1">
      <c r="E346" s="32"/>
      <c r="F346" s="32"/>
      <c r="G346" s="32"/>
      <c r="H346" s="32"/>
      <c r="I346" s="32"/>
      <c r="J346" s="32"/>
      <c r="K346" s="32"/>
      <c r="L346" s="32"/>
    </row>
    <row r="347" spans="5:12" ht="25.5" customHeight="1">
      <c r="E347" s="32"/>
      <c r="F347" s="32"/>
      <c r="G347" s="32"/>
      <c r="H347" s="32"/>
      <c r="I347" s="32"/>
      <c r="J347" s="32"/>
      <c r="K347" s="32"/>
      <c r="L347" s="32"/>
    </row>
    <row r="348" spans="5:12" ht="25.5" customHeight="1">
      <c r="E348" s="32"/>
      <c r="F348" s="32"/>
      <c r="G348" s="32"/>
      <c r="H348" s="32"/>
      <c r="I348" s="32"/>
      <c r="J348" s="32"/>
      <c r="K348" s="32"/>
      <c r="L348" s="32"/>
    </row>
    <row r="349" spans="5:12" ht="25.5" customHeight="1">
      <c r="E349" s="32"/>
      <c r="F349" s="32"/>
      <c r="G349" s="32"/>
      <c r="H349" s="32"/>
      <c r="I349" s="32"/>
      <c r="J349" s="32"/>
      <c r="K349" s="32"/>
      <c r="L349" s="32"/>
    </row>
    <row r="350" spans="5:12" ht="25.5" customHeight="1">
      <c r="E350" s="32"/>
      <c r="F350" s="32"/>
      <c r="G350" s="32"/>
      <c r="H350" s="32"/>
      <c r="I350" s="32"/>
      <c r="J350" s="32"/>
      <c r="K350" s="32"/>
      <c r="L350" s="32"/>
    </row>
    <row r="351" spans="5:12" ht="25.5" customHeight="1">
      <c r="E351" s="32"/>
      <c r="F351" s="32"/>
      <c r="G351" s="32"/>
      <c r="H351" s="32"/>
      <c r="I351" s="32"/>
      <c r="J351" s="32"/>
      <c r="K351" s="32"/>
      <c r="L351" s="32"/>
    </row>
    <row r="352" spans="5:12" ht="25.5" customHeight="1">
      <c r="E352" s="32"/>
      <c r="F352" s="32"/>
      <c r="G352" s="32"/>
      <c r="H352" s="32"/>
      <c r="I352" s="32"/>
      <c r="J352" s="32"/>
      <c r="K352" s="32"/>
      <c r="L352" s="32"/>
    </row>
    <row r="353" spans="5:12" ht="25.5" customHeight="1">
      <c r="E353" s="32"/>
      <c r="F353" s="32"/>
      <c r="G353" s="32"/>
      <c r="H353" s="32"/>
      <c r="I353" s="32"/>
      <c r="J353" s="32"/>
      <c r="K353" s="32"/>
      <c r="L353" s="32"/>
    </row>
    <row r="354" spans="5:12" ht="25.5" customHeight="1">
      <c r="E354" s="32"/>
      <c r="F354" s="32"/>
      <c r="G354" s="32"/>
      <c r="H354" s="32"/>
      <c r="I354" s="32"/>
      <c r="J354" s="32"/>
      <c r="K354" s="32"/>
      <c r="L354" s="32"/>
    </row>
    <row r="355" spans="5:12" ht="25.5" customHeight="1">
      <c r="E355" s="32"/>
      <c r="F355" s="32"/>
      <c r="G355" s="32"/>
      <c r="H355" s="32"/>
      <c r="I355" s="32"/>
      <c r="J355" s="32"/>
      <c r="K355" s="32"/>
      <c r="L355" s="32"/>
    </row>
    <row r="356" spans="5:12" ht="25.5" customHeight="1">
      <c r="E356" s="32"/>
      <c r="F356" s="32"/>
      <c r="G356" s="32"/>
      <c r="H356" s="32"/>
      <c r="I356" s="32"/>
      <c r="J356" s="32"/>
      <c r="K356" s="32"/>
      <c r="L356" s="32"/>
    </row>
    <row r="357" spans="5:12" ht="25.5" customHeight="1">
      <c r="E357" s="32"/>
      <c r="F357" s="32"/>
      <c r="G357" s="32"/>
      <c r="H357" s="32"/>
      <c r="I357" s="32"/>
      <c r="J357" s="32"/>
      <c r="K357" s="32"/>
      <c r="L357" s="32"/>
    </row>
    <row r="358" spans="5:12" ht="25.5" customHeight="1">
      <c r="E358" s="32"/>
      <c r="F358" s="32"/>
      <c r="G358" s="32"/>
      <c r="H358" s="32"/>
      <c r="I358" s="32"/>
      <c r="J358" s="32"/>
      <c r="K358" s="32"/>
      <c r="L358" s="32"/>
    </row>
    <row r="359" spans="5:12" ht="25.5" customHeight="1">
      <c r="E359" s="32"/>
      <c r="F359" s="32"/>
      <c r="G359" s="32"/>
      <c r="H359" s="32"/>
      <c r="I359" s="32"/>
      <c r="J359" s="32"/>
      <c r="K359" s="32"/>
      <c r="L359" s="32"/>
    </row>
    <row r="360" spans="5:12" ht="25.5" customHeight="1">
      <c r="E360" s="32"/>
      <c r="F360" s="32"/>
      <c r="G360" s="32"/>
      <c r="H360" s="32"/>
      <c r="I360" s="32"/>
      <c r="J360" s="32"/>
      <c r="K360" s="32"/>
      <c r="L360" s="32"/>
    </row>
    <row r="361" spans="5:12" ht="25.5" customHeight="1">
      <c r="E361" s="32"/>
      <c r="F361" s="32"/>
      <c r="G361" s="32"/>
      <c r="H361" s="32"/>
      <c r="I361" s="32"/>
      <c r="J361" s="32"/>
      <c r="K361" s="32"/>
      <c r="L361" s="32"/>
    </row>
    <row r="362" spans="5:12" ht="25.5" customHeight="1">
      <c r="E362" s="32"/>
      <c r="F362" s="32"/>
      <c r="G362" s="32"/>
      <c r="H362" s="32"/>
      <c r="I362" s="32"/>
      <c r="J362" s="32"/>
      <c r="K362" s="32"/>
      <c r="L362" s="32"/>
    </row>
    <row r="363" spans="5:12" ht="25.5" customHeight="1">
      <c r="E363" s="32"/>
      <c r="F363" s="32"/>
      <c r="G363" s="32"/>
      <c r="H363" s="32"/>
      <c r="I363" s="32"/>
      <c r="J363" s="32"/>
      <c r="K363" s="32"/>
      <c r="L363" s="32"/>
    </row>
    <row r="364" spans="5:12" ht="25.5" customHeight="1">
      <c r="E364" s="32"/>
      <c r="F364" s="32"/>
      <c r="G364" s="32"/>
      <c r="H364" s="32"/>
      <c r="I364" s="32"/>
      <c r="J364" s="32"/>
      <c r="K364" s="32"/>
      <c r="L364" s="32"/>
    </row>
    <row r="365" spans="5:12" ht="25.5" customHeight="1">
      <c r="E365" s="32"/>
      <c r="F365" s="32"/>
      <c r="G365" s="32"/>
      <c r="H365" s="32"/>
      <c r="I365" s="32"/>
      <c r="J365" s="32"/>
      <c r="K365" s="32"/>
      <c r="L365" s="32"/>
    </row>
    <row r="366" spans="5:12" ht="25.5" customHeight="1">
      <c r="E366" s="32"/>
      <c r="F366" s="32"/>
      <c r="G366" s="32"/>
      <c r="H366" s="32"/>
      <c r="I366" s="32"/>
      <c r="J366" s="32"/>
      <c r="K366" s="32"/>
      <c r="L366" s="32"/>
    </row>
    <row r="367" spans="5:12" ht="25.5" customHeight="1">
      <c r="E367" s="32"/>
      <c r="F367" s="32"/>
      <c r="G367" s="32"/>
      <c r="H367" s="32"/>
      <c r="I367" s="32"/>
      <c r="J367" s="32"/>
      <c r="K367" s="32"/>
      <c r="L367" s="32"/>
    </row>
    <row r="368" spans="5:12" ht="25.5" customHeight="1">
      <c r="E368" s="32"/>
      <c r="F368" s="32"/>
      <c r="G368" s="32"/>
      <c r="H368" s="32"/>
      <c r="I368" s="32"/>
      <c r="J368" s="32"/>
      <c r="K368" s="32"/>
      <c r="L368" s="32"/>
    </row>
    <row r="369" spans="5:12" ht="25.5" customHeight="1">
      <c r="E369" s="32"/>
      <c r="F369" s="32"/>
      <c r="G369" s="32"/>
      <c r="H369" s="32"/>
      <c r="I369" s="32"/>
      <c r="J369" s="32"/>
      <c r="K369" s="32"/>
      <c r="L369" s="32"/>
    </row>
    <row r="370" spans="5:12" ht="25.5" customHeight="1">
      <c r="E370" s="32"/>
      <c r="F370" s="32"/>
      <c r="G370" s="32"/>
      <c r="H370" s="32"/>
      <c r="I370" s="32"/>
      <c r="J370" s="32"/>
      <c r="K370" s="32"/>
      <c r="L370" s="32"/>
    </row>
    <row r="371" spans="5:12" ht="25.5" customHeight="1">
      <c r="E371" s="32"/>
      <c r="F371" s="32"/>
      <c r="G371" s="32"/>
      <c r="H371" s="32"/>
      <c r="I371" s="32"/>
      <c r="J371" s="32"/>
      <c r="K371" s="32"/>
      <c r="L371" s="32"/>
    </row>
    <row r="372" spans="5:12" ht="25.5" customHeight="1">
      <c r="E372" s="32"/>
      <c r="F372" s="32"/>
      <c r="G372" s="32"/>
      <c r="H372" s="32"/>
      <c r="I372" s="32"/>
      <c r="J372" s="32"/>
      <c r="K372" s="32"/>
      <c r="L372" s="32"/>
    </row>
    <row r="373" spans="5:12" ht="25.5" customHeight="1">
      <c r="E373" s="32"/>
      <c r="F373" s="32"/>
      <c r="G373" s="32"/>
      <c r="H373" s="32"/>
      <c r="I373" s="32"/>
      <c r="J373" s="32"/>
      <c r="K373" s="32"/>
      <c r="L373" s="32"/>
    </row>
    <row r="374" spans="5:12" ht="25.5" customHeight="1">
      <c r="E374" s="32"/>
      <c r="F374" s="32"/>
      <c r="G374" s="32"/>
      <c r="H374" s="32"/>
      <c r="I374" s="32"/>
      <c r="J374" s="32"/>
      <c r="K374" s="32"/>
      <c r="L374" s="32"/>
    </row>
    <row r="375" spans="5:12" ht="25.5" customHeight="1">
      <c r="E375" s="32"/>
      <c r="F375" s="32"/>
      <c r="G375" s="32"/>
      <c r="H375" s="32"/>
      <c r="I375" s="32"/>
      <c r="J375" s="32"/>
      <c r="K375" s="32"/>
      <c r="L375" s="32"/>
    </row>
    <row r="376" spans="5:12" ht="25.5" customHeight="1">
      <c r="E376" s="32"/>
      <c r="F376" s="32"/>
      <c r="G376" s="32"/>
      <c r="H376" s="32"/>
      <c r="I376" s="32"/>
      <c r="J376" s="32"/>
      <c r="K376" s="32"/>
      <c r="L376" s="32"/>
    </row>
    <row r="377" spans="5:12" ht="25.5" customHeight="1">
      <c r="E377" s="32"/>
      <c r="F377" s="32"/>
      <c r="G377" s="32"/>
      <c r="H377" s="32"/>
      <c r="I377" s="32"/>
      <c r="J377" s="32"/>
      <c r="K377" s="32"/>
      <c r="L377" s="32"/>
    </row>
    <row r="378" spans="5:12" ht="25.5" customHeight="1">
      <c r="E378" s="32"/>
      <c r="F378" s="32"/>
      <c r="G378" s="32"/>
      <c r="H378" s="32"/>
      <c r="I378" s="32"/>
      <c r="J378" s="32"/>
      <c r="K378" s="32"/>
      <c r="L378" s="32"/>
    </row>
    <row r="379" spans="5:12" ht="25.5" customHeight="1">
      <c r="E379" s="32"/>
      <c r="F379" s="32"/>
      <c r="G379" s="32"/>
      <c r="H379" s="32"/>
      <c r="I379" s="32"/>
      <c r="J379" s="32"/>
      <c r="K379" s="32"/>
      <c r="L379" s="32"/>
    </row>
    <row r="380" spans="5:12" ht="25.5" customHeight="1">
      <c r="E380" s="32"/>
      <c r="F380" s="32"/>
      <c r="G380" s="32"/>
      <c r="H380" s="32"/>
      <c r="I380" s="32"/>
      <c r="J380" s="32"/>
      <c r="K380" s="32"/>
      <c r="L380" s="32"/>
    </row>
    <row r="381" spans="5:12" ht="25.5" customHeight="1">
      <c r="E381" s="32"/>
      <c r="F381" s="32"/>
      <c r="G381" s="32"/>
      <c r="H381" s="32"/>
      <c r="I381" s="32"/>
      <c r="J381" s="32"/>
      <c r="K381" s="32"/>
      <c r="L381" s="32"/>
    </row>
    <row r="382" spans="5:12" ht="25.5" customHeight="1">
      <c r="E382" s="32"/>
      <c r="F382" s="32"/>
      <c r="G382" s="32"/>
      <c r="H382" s="32"/>
      <c r="I382" s="32"/>
      <c r="J382" s="32"/>
      <c r="K382" s="32"/>
      <c r="L382" s="32"/>
    </row>
    <row r="383" spans="5:12" ht="25.5" customHeight="1">
      <c r="E383" s="32"/>
      <c r="F383" s="32"/>
      <c r="G383" s="32"/>
      <c r="H383" s="32"/>
      <c r="I383" s="32"/>
      <c r="J383" s="32"/>
      <c r="K383" s="32"/>
      <c r="L383" s="32"/>
    </row>
    <row r="384" spans="5:12" ht="25.5" customHeight="1">
      <c r="E384" s="32"/>
      <c r="F384" s="32"/>
      <c r="G384" s="32"/>
      <c r="H384" s="32"/>
      <c r="I384" s="32"/>
      <c r="J384" s="32"/>
      <c r="K384" s="32"/>
      <c r="L384" s="32"/>
    </row>
    <row r="385" spans="5:12" ht="25.5" customHeight="1">
      <c r="E385" s="32"/>
      <c r="F385" s="32"/>
      <c r="G385" s="32"/>
      <c r="H385" s="32"/>
      <c r="I385" s="32"/>
      <c r="J385" s="32"/>
      <c r="K385" s="32"/>
      <c r="L385" s="32"/>
    </row>
    <row r="386" spans="5:12" ht="25.5" customHeight="1">
      <c r="E386" s="32"/>
      <c r="F386" s="32"/>
      <c r="G386" s="32"/>
      <c r="H386" s="32"/>
      <c r="I386" s="32"/>
      <c r="J386" s="32"/>
      <c r="K386" s="32"/>
      <c r="L386" s="32"/>
    </row>
    <row r="387" spans="5:12" ht="25.5" customHeight="1">
      <c r="E387" s="32"/>
      <c r="F387" s="32"/>
      <c r="G387" s="32"/>
      <c r="H387" s="32"/>
      <c r="I387" s="32"/>
      <c r="J387" s="32"/>
      <c r="K387" s="32"/>
      <c r="L387" s="32"/>
    </row>
    <row r="388" spans="5:12" ht="25.5" customHeight="1">
      <c r="E388" s="32"/>
      <c r="F388" s="32"/>
      <c r="G388" s="32"/>
      <c r="H388" s="32"/>
      <c r="I388" s="32"/>
      <c r="J388" s="32"/>
      <c r="K388" s="32"/>
      <c r="L388" s="32"/>
    </row>
    <row r="389" spans="5:12" ht="25.5" customHeight="1">
      <c r="E389" s="32"/>
      <c r="F389" s="32"/>
      <c r="G389" s="32"/>
      <c r="H389" s="32"/>
      <c r="I389" s="32"/>
      <c r="J389" s="32"/>
      <c r="K389" s="32"/>
      <c r="L389" s="32"/>
    </row>
    <row r="390" spans="5:12" ht="25.5" customHeight="1">
      <c r="E390" s="32"/>
      <c r="F390" s="32"/>
      <c r="G390" s="32"/>
      <c r="H390" s="32"/>
      <c r="I390" s="32"/>
      <c r="J390" s="32"/>
      <c r="K390" s="32"/>
      <c r="L390" s="32"/>
    </row>
    <row r="391" spans="5:12" ht="25.5" customHeight="1">
      <c r="E391" s="32"/>
      <c r="F391" s="32"/>
      <c r="G391" s="32"/>
      <c r="H391" s="32"/>
      <c r="I391" s="32"/>
      <c r="J391" s="32"/>
      <c r="K391" s="32"/>
      <c r="L391" s="32"/>
    </row>
    <row r="392" spans="5:12" ht="25.5" customHeight="1">
      <c r="E392" s="32"/>
      <c r="F392" s="32"/>
      <c r="G392" s="32"/>
      <c r="H392" s="32"/>
      <c r="I392" s="32"/>
      <c r="J392" s="32"/>
      <c r="K392" s="32"/>
      <c r="L392" s="32"/>
    </row>
    <row r="393" spans="5:12" ht="25.5" customHeight="1">
      <c r="E393" s="32"/>
      <c r="F393" s="32"/>
      <c r="G393" s="32"/>
      <c r="H393" s="32"/>
      <c r="I393" s="32"/>
      <c r="J393" s="32"/>
      <c r="K393" s="32"/>
      <c r="L393" s="32"/>
    </row>
    <row r="394" spans="5:12" ht="25.5" customHeight="1">
      <c r="E394" s="32"/>
      <c r="F394" s="32"/>
      <c r="G394" s="32"/>
      <c r="H394" s="32"/>
      <c r="I394" s="32"/>
      <c r="J394" s="32"/>
      <c r="K394" s="32"/>
      <c r="L394" s="32"/>
    </row>
    <row r="395" spans="5:12" ht="25.5" customHeight="1">
      <c r="E395" s="32"/>
      <c r="F395" s="32"/>
      <c r="G395" s="32"/>
      <c r="H395" s="32"/>
      <c r="I395" s="32"/>
      <c r="J395" s="32"/>
      <c r="K395" s="32"/>
      <c r="L395" s="32"/>
    </row>
    <row r="396" spans="5:12" ht="25.5" customHeight="1">
      <c r="E396" s="32"/>
      <c r="F396" s="32"/>
      <c r="G396" s="32"/>
      <c r="H396" s="32"/>
      <c r="I396" s="32"/>
      <c r="J396" s="32"/>
      <c r="K396" s="32"/>
      <c r="L396" s="32"/>
    </row>
    <row r="397" spans="5:12" ht="25.5" customHeight="1">
      <c r="E397" s="32"/>
      <c r="F397" s="32"/>
      <c r="G397" s="32"/>
      <c r="H397" s="32"/>
      <c r="I397" s="32"/>
      <c r="J397" s="32"/>
      <c r="K397" s="32"/>
      <c r="L397" s="32"/>
    </row>
    <row r="398" spans="5:12" ht="25.5" customHeight="1">
      <c r="E398" s="32"/>
      <c r="F398" s="32"/>
      <c r="G398" s="32"/>
      <c r="H398" s="32"/>
      <c r="I398" s="32"/>
      <c r="J398" s="32"/>
      <c r="K398" s="32"/>
      <c r="L398" s="32"/>
    </row>
    <row r="399" spans="5:12" ht="25.5" customHeight="1">
      <c r="E399" s="32"/>
      <c r="F399" s="32"/>
      <c r="G399" s="32"/>
      <c r="H399" s="32"/>
      <c r="I399" s="32"/>
      <c r="J399" s="32"/>
      <c r="K399" s="32"/>
      <c r="L399" s="32"/>
    </row>
    <row r="400" spans="5:12" ht="25.5" customHeight="1">
      <c r="E400" s="32"/>
      <c r="F400" s="32"/>
      <c r="G400" s="32"/>
      <c r="H400" s="32"/>
      <c r="I400" s="32"/>
      <c r="J400" s="32"/>
      <c r="K400" s="32"/>
      <c r="L400" s="32"/>
    </row>
    <row r="401" spans="5:12" ht="25.5" customHeight="1">
      <c r="E401" s="32"/>
      <c r="F401" s="32"/>
      <c r="G401" s="32"/>
      <c r="H401" s="32"/>
      <c r="I401" s="32"/>
      <c r="J401" s="32"/>
      <c r="K401" s="32"/>
      <c r="L401" s="32"/>
    </row>
    <row r="402" spans="5:12" ht="25.5" customHeight="1">
      <c r="E402" s="32"/>
      <c r="F402" s="32"/>
      <c r="G402" s="32"/>
      <c r="H402" s="32"/>
      <c r="I402" s="32"/>
      <c r="J402" s="32"/>
      <c r="K402" s="32"/>
      <c r="L402" s="32"/>
    </row>
    <row r="403" spans="5:12" ht="25.5" customHeight="1">
      <c r="E403" s="32"/>
      <c r="F403" s="32"/>
      <c r="G403" s="32"/>
      <c r="H403" s="32"/>
      <c r="I403" s="32"/>
      <c r="J403" s="32"/>
      <c r="K403" s="32"/>
      <c r="L403" s="32"/>
    </row>
    <row r="404" spans="5:12" ht="25.5" customHeight="1">
      <c r="E404" s="32"/>
      <c r="F404" s="32"/>
      <c r="G404" s="32"/>
      <c r="H404" s="32"/>
      <c r="I404" s="32"/>
      <c r="J404" s="32"/>
      <c r="K404" s="32"/>
      <c r="L404" s="32"/>
    </row>
    <row r="405" spans="5:12" ht="25.5" customHeight="1">
      <c r="E405" s="32"/>
      <c r="F405" s="32"/>
      <c r="G405" s="32"/>
      <c r="H405" s="32"/>
      <c r="I405" s="32"/>
      <c r="J405" s="32"/>
      <c r="K405" s="32"/>
      <c r="L405" s="32"/>
    </row>
    <row r="406" spans="5:12" ht="25.5" customHeight="1">
      <c r="E406" s="32"/>
      <c r="F406" s="32"/>
      <c r="G406" s="32"/>
      <c r="H406" s="32"/>
      <c r="I406" s="32"/>
      <c r="J406" s="32"/>
      <c r="K406" s="32"/>
      <c r="L406" s="32"/>
    </row>
    <row r="407" spans="5:12" ht="25.5" customHeight="1">
      <c r="E407" s="32"/>
      <c r="F407" s="32"/>
      <c r="G407" s="32"/>
      <c r="H407" s="32"/>
      <c r="I407" s="32"/>
      <c r="J407" s="32"/>
      <c r="K407" s="32"/>
      <c r="L407" s="32"/>
    </row>
    <row r="408" spans="5:12" ht="25.5" customHeight="1">
      <c r="E408" s="32"/>
      <c r="F408" s="32"/>
      <c r="G408" s="32"/>
      <c r="H408" s="32"/>
      <c r="I408" s="32"/>
      <c r="J408" s="32"/>
      <c r="K408" s="32"/>
      <c r="L408" s="32"/>
    </row>
    <row r="409" spans="5:12" ht="25.5" customHeight="1">
      <c r="E409" s="32"/>
      <c r="F409" s="32"/>
      <c r="G409" s="32"/>
      <c r="H409" s="32"/>
      <c r="I409" s="32"/>
      <c r="J409" s="32"/>
      <c r="K409" s="32"/>
      <c r="L409" s="32"/>
    </row>
    <row r="410" spans="5:12" ht="25.5" customHeight="1">
      <c r="E410" s="32"/>
      <c r="F410" s="32"/>
      <c r="G410" s="32"/>
      <c r="H410" s="32"/>
      <c r="I410" s="32"/>
      <c r="J410" s="32"/>
      <c r="K410" s="32"/>
      <c r="L410" s="32"/>
    </row>
    <row r="411" spans="5:12" ht="25.5" customHeight="1">
      <c r="E411" s="32"/>
      <c r="F411" s="32"/>
      <c r="G411" s="32"/>
      <c r="H411" s="32"/>
      <c r="I411" s="32"/>
      <c r="J411" s="32"/>
      <c r="K411" s="32"/>
      <c r="L411" s="32"/>
    </row>
    <row r="412" spans="5:12" ht="25.5" customHeight="1">
      <c r="E412" s="32"/>
      <c r="F412" s="32"/>
      <c r="G412" s="32"/>
      <c r="H412" s="32"/>
      <c r="I412" s="32"/>
      <c r="J412" s="32"/>
      <c r="K412" s="32"/>
      <c r="L412" s="32"/>
    </row>
    <row r="413" spans="5:12" ht="25.5" customHeight="1">
      <c r="E413" s="32"/>
      <c r="F413" s="32"/>
      <c r="G413" s="32"/>
      <c r="H413" s="32"/>
      <c r="I413" s="32"/>
      <c r="J413" s="32"/>
      <c r="K413" s="32"/>
      <c r="L413" s="32"/>
    </row>
    <row r="414" spans="5:12" ht="25.5" customHeight="1">
      <c r="E414" s="32"/>
      <c r="F414" s="32"/>
      <c r="G414" s="32"/>
      <c r="H414" s="32"/>
      <c r="I414" s="32"/>
      <c r="J414" s="32"/>
      <c r="K414" s="32"/>
      <c r="L414" s="32"/>
    </row>
    <row r="415" spans="5:12" ht="25.5" customHeight="1">
      <c r="E415" s="32"/>
      <c r="F415" s="32"/>
      <c r="G415" s="32"/>
      <c r="H415" s="32"/>
      <c r="I415" s="32"/>
      <c r="J415" s="32"/>
      <c r="K415" s="32"/>
      <c r="L415" s="32"/>
    </row>
    <row r="416" spans="5:12" ht="25.5" customHeight="1">
      <c r="E416" s="32"/>
      <c r="F416" s="32"/>
      <c r="G416" s="32"/>
      <c r="H416" s="32"/>
      <c r="I416" s="32"/>
      <c r="J416" s="32"/>
      <c r="K416" s="32"/>
      <c r="L416" s="32"/>
    </row>
    <row r="417" spans="5:12" ht="25.5" customHeight="1">
      <c r="E417" s="32"/>
      <c r="F417" s="32"/>
      <c r="G417" s="32"/>
      <c r="H417" s="32"/>
      <c r="I417" s="32"/>
      <c r="J417" s="32"/>
      <c r="K417" s="32"/>
      <c r="L417" s="32"/>
    </row>
    <row r="418" spans="5:12" ht="25.5" customHeight="1">
      <c r="E418" s="32"/>
      <c r="F418" s="32"/>
      <c r="G418" s="32"/>
      <c r="H418" s="32"/>
      <c r="I418" s="32"/>
      <c r="J418" s="32"/>
      <c r="K418" s="32"/>
      <c r="L418" s="32"/>
    </row>
    <row r="419" spans="5:12" ht="25.5" customHeight="1">
      <c r="E419" s="32"/>
      <c r="F419" s="32"/>
      <c r="G419" s="32"/>
      <c r="H419" s="32"/>
      <c r="I419" s="32"/>
      <c r="J419" s="32"/>
      <c r="K419" s="32"/>
      <c r="L419" s="32"/>
    </row>
    <row r="420" spans="5:12" ht="25.5" customHeight="1">
      <c r="E420" s="32"/>
      <c r="F420" s="32"/>
      <c r="G420" s="32"/>
      <c r="H420" s="32"/>
      <c r="I420" s="32"/>
      <c r="J420" s="32"/>
      <c r="K420" s="32"/>
      <c r="L420" s="32"/>
    </row>
    <row r="421" spans="5:12" ht="25.5" customHeight="1">
      <c r="E421" s="32"/>
      <c r="F421" s="32"/>
      <c r="G421" s="32"/>
      <c r="H421" s="32"/>
      <c r="I421" s="32"/>
      <c r="J421" s="32"/>
      <c r="K421" s="32"/>
      <c r="L421" s="32"/>
    </row>
    <row r="422" spans="5:12" ht="25.5" customHeight="1">
      <c r="E422" s="32"/>
      <c r="F422" s="32"/>
      <c r="G422" s="32"/>
      <c r="H422" s="32"/>
      <c r="I422" s="32"/>
      <c r="J422" s="32"/>
      <c r="K422" s="32"/>
      <c r="L422" s="32"/>
    </row>
    <row r="423" spans="5:12" ht="25.5" customHeight="1">
      <c r="E423" s="32"/>
      <c r="F423" s="32"/>
      <c r="G423" s="32"/>
      <c r="H423" s="32"/>
      <c r="I423" s="32"/>
      <c r="J423" s="32"/>
      <c r="K423" s="32"/>
      <c r="L423" s="32"/>
    </row>
    <row r="424" spans="5:12" ht="25.5" customHeight="1">
      <c r="E424" s="32"/>
      <c r="F424" s="32"/>
      <c r="G424" s="32"/>
      <c r="H424" s="32"/>
      <c r="I424" s="32"/>
      <c r="J424" s="32"/>
      <c r="K424" s="32"/>
      <c r="L424" s="32"/>
    </row>
    <row r="425" spans="5:12" ht="25.5" customHeight="1">
      <c r="E425" s="32"/>
      <c r="F425" s="32"/>
      <c r="G425" s="32"/>
      <c r="H425" s="32"/>
      <c r="I425" s="32"/>
      <c r="J425" s="32"/>
      <c r="K425" s="32"/>
      <c r="L425" s="32"/>
    </row>
    <row r="426" spans="5:12" ht="25.5" customHeight="1">
      <c r="E426" s="32"/>
      <c r="F426" s="32"/>
      <c r="G426" s="32"/>
      <c r="H426" s="32"/>
      <c r="I426" s="32"/>
      <c r="J426" s="32"/>
      <c r="K426" s="32"/>
      <c r="L426" s="32"/>
    </row>
    <row r="427" spans="5:12" ht="25.5" customHeight="1">
      <c r="E427" s="32"/>
      <c r="F427" s="32"/>
      <c r="G427" s="32"/>
      <c r="H427" s="32"/>
      <c r="I427" s="32"/>
      <c r="J427" s="32"/>
      <c r="K427" s="32"/>
      <c r="L427" s="32"/>
    </row>
    <row r="428" spans="5:12" ht="25.5" customHeight="1">
      <c r="E428" s="32"/>
      <c r="F428" s="32"/>
      <c r="G428" s="32"/>
      <c r="H428" s="32"/>
      <c r="I428" s="32"/>
      <c r="J428" s="32"/>
      <c r="K428" s="32"/>
      <c r="L428" s="32"/>
    </row>
    <row r="429" spans="5:12" ht="25.5" customHeight="1">
      <c r="E429" s="32"/>
      <c r="F429" s="32"/>
      <c r="G429" s="32"/>
      <c r="H429" s="32"/>
      <c r="I429" s="32"/>
      <c r="J429" s="32"/>
      <c r="K429" s="32"/>
      <c r="L429" s="32"/>
    </row>
    <row r="430" spans="5:12" ht="25.5" customHeight="1">
      <c r="E430" s="32"/>
      <c r="F430" s="32"/>
      <c r="G430" s="32"/>
      <c r="H430" s="32"/>
      <c r="I430" s="32"/>
      <c r="J430" s="32"/>
      <c r="K430" s="32"/>
      <c r="L430" s="32"/>
    </row>
    <row r="431" spans="5:12" ht="25.5" customHeight="1">
      <c r="E431" s="32"/>
      <c r="F431" s="32"/>
      <c r="G431" s="32"/>
      <c r="H431" s="32"/>
      <c r="I431" s="32"/>
      <c r="J431" s="32"/>
      <c r="K431" s="32"/>
      <c r="L431" s="32"/>
    </row>
    <row r="432" spans="5:12" ht="25.5" customHeight="1">
      <c r="E432" s="32"/>
      <c r="F432" s="32"/>
      <c r="G432" s="32"/>
      <c r="H432" s="32"/>
      <c r="I432" s="32"/>
      <c r="J432" s="32"/>
      <c r="K432" s="32"/>
      <c r="L432" s="32"/>
    </row>
    <row r="433" spans="5:12" ht="25.5" customHeight="1">
      <c r="E433" s="32"/>
      <c r="F433" s="32"/>
      <c r="G433" s="32"/>
      <c r="H433" s="32"/>
      <c r="I433" s="32"/>
      <c r="J433" s="32"/>
      <c r="K433" s="32"/>
      <c r="L433" s="32"/>
    </row>
    <row r="434" spans="5:12" ht="25.5" customHeight="1">
      <c r="E434" s="32"/>
      <c r="F434" s="32"/>
      <c r="G434" s="32"/>
      <c r="H434" s="32"/>
      <c r="I434" s="32"/>
      <c r="J434" s="32"/>
      <c r="K434" s="32"/>
      <c r="L434" s="32"/>
    </row>
    <row r="435" spans="5:12" ht="25.5" customHeight="1">
      <c r="E435" s="32"/>
      <c r="F435" s="32"/>
      <c r="G435" s="32"/>
      <c r="H435" s="32"/>
      <c r="I435" s="32"/>
      <c r="J435" s="32"/>
      <c r="K435" s="32"/>
      <c r="L435" s="32"/>
    </row>
    <row r="436" spans="5:12" ht="25.5" customHeight="1">
      <c r="E436" s="32"/>
      <c r="F436" s="32"/>
      <c r="G436" s="32"/>
      <c r="H436" s="32"/>
      <c r="I436" s="32"/>
      <c r="J436" s="32"/>
      <c r="K436" s="32"/>
      <c r="L436" s="32"/>
    </row>
    <row r="437" spans="5:12" ht="25.5" customHeight="1">
      <c r="E437" s="32"/>
      <c r="F437" s="32"/>
      <c r="G437" s="32"/>
      <c r="H437" s="32"/>
      <c r="I437" s="32"/>
      <c r="J437" s="32"/>
      <c r="K437" s="32"/>
      <c r="L437" s="32"/>
    </row>
    <row r="438" spans="5:12" ht="25.5" customHeight="1">
      <c r="E438" s="32"/>
      <c r="F438" s="32"/>
      <c r="G438" s="32"/>
      <c r="H438" s="32"/>
      <c r="I438" s="32"/>
      <c r="J438" s="32"/>
      <c r="K438" s="32"/>
      <c r="L438" s="32"/>
    </row>
    <row r="439" spans="5:12" ht="25.5" customHeight="1">
      <c r="E439" s="32"/>
      <c r="F439" s="32"/>
      <c r="G439" s="32"/>
      <c r="H439" s="32"/>
      <c r="I439" s="32"/>
      <c r="J439" s="32"/>
      <c r="K439" s="32"/>
      <c r="L439" s="32"/>
    </row>
    <row r="440" spans="5:12" ht="25.5" customHeight="1">
      <c r="E440" s="32"/>
      <c r="F440" s="32"/>
      <c r="G440" s="32"/>
      <c r="H440" s="32"/>
      <c r="I440" s="32"/>
      <c r="J440" s="32"/>
      <c r="K440" s="32"/>
      <c r="L440" s="32"/>
    </row>
    <row r="441" spans="5:12" ht="25.5" customHeight="1">
      <c r="E441" s="32"/>
      <c r="F441" s="32"/>
      <c r="G441" s="32"/>
      <c r="H441" s="32"/>
      <c r="I441" s="32"/>
      <c r="J441" s="32"/>
      <c r="K441" s="32"/>
      <c r="L441" s="32"/>
    </row>
    <row r="442" spans="5:12" ht="25.5" customHeight="1">
      <c r="E442" s="32"/>
      <c r="F442" s="32"/>
      <c r="G442" s="32"/>
      <c r="H442" s="32"/>
      <c r="I442" s="32"/>
      <c r="J442" s="32"/>
      <c r="K442" s="32"/>
      <c r="L442" s="32"/>
    </row>
    <row r="443" spans="5:12" ht="25.5" customHeight="1">
      <c r="E443" s="32"/>
      <c r="F443" s="32"/>
      <c r="G443" s="32"/>
      <c r="H443" s="32"/>
      <c r="I443" s="32"/>
      <c r="J443" s="32"/>
      <c r="K443" s="32"/>
      <c r="L443" s="32"/>
    </row>
    <row r="444" spans="5:12" ht="25.5" customHeight="1">
      <c r="E444" s="32"/>
      <c r="F444" s="32"/>
      <c r="G444" s="32"/>
      <c r="H444" s="32"/>
      <c r="I444" s="32"/>
      <c r="J444" s="32"/>
      <c r="K444" s="32"/>
      <c r="L444" s="32"/>
    </row>
    <row r="445" spans="5:12" ht="25.5" customHeight="1">
      <c r="E445" s="32"/>
      <c r="F445" s="32"/>
      <c r="G445" s="32"/>
      <c r="H445" s="32"/>
      <c r="I445" s="32"/>
      <c r="J445" s="32"/>
      <c r="K445" s="32"/>
      <c r="L445" s="32"/>
    </row>
    <row r="446" spans="5:12" ht="25.5" customHeight="1">
      <c r="E446" s="32"/>
      <c r="F446" s="32"/>
      <c r="G446" s="32"/>
      <c r="H446" s="32"/>
      <c r="I446" s="32"/>
      <c r="J446" s="32"/>
      <c r="K446" s="32"/>
      <c r="L446" s="32"/>
    </row>
    <row r="447" spans="5:12" ht="25.5" customHeight="1">
      <c r="E447" s="32"/>
      <c r="F447" s="32"/>
      <c r="G447" s="32"/>
      <c r="H447" s="32"/>
      <c r="I447" s="32"/>
      <c r="J447" s="32"/>
      <c r="K447" s="32"/>
      <c r="L447" s="32"/>
    </row>
    <row r="448" spans="5:12" ht="25.5" customHeight="1">
      <c r="E448" s="32"/>
      <c r="F448" s="32"/>
      <c r="G448" s="32"/>
      <c r="H448" s="32"/>
      <c r="I448" s="32"/>
      <c r="J448" s="32"/>
      <c r="K448" s="32"/>
      <c r="L448" s="32"/>
    </row>
    <row r="449" spans="5:12" ht="25.5" customHeight="1">
      <c r="E449" s="32"/>
      <c r="F449" s="32"/>
      <c r="G449" s="32"/>
      <c r="H449" s="32"/>
      <c r="I449" s="32"/>
      <c r="J449" s="32"/>
      <c r="K449" s="32"/>
      <c r="L449" s="32"/>
    </row>
    <row r="450" spans="5:12" ht="25.5" customHeight="1">
      <c r="E450" s="32"/>
      <c r="F450" s="32"/>
      <c r="G450" s="32"/>
      <c r="H450" s="32"/>
      <c r="I450" s="32"/>
      <c r="J450" s="32"/>
      <c r="K450" s="32"/>
      <c r="L450" s="32"/>
    </row>
    <row r="451" spans="5:12" ht="25.5" customHeight="1">
      <c r="E451" s="32"/>
      <c r="F451" s="32"/>
      <c r="G451" s="32"/>
      <c r="H451" s="32"/>
      <c r="I451" s="32"/>
      <c r="J451" s="32"/>
      <c r="K451" s="32"/>
      <c r="L451" s="32"/>
    </row>
    <row r="452" spans="5:12" ht="25.5" customHeight="1">
      <c r="E452" s="32"/>
      <c r="F452" s="32"/>
      <c r="G452" s="32"/>
      <c r="H452" s="32"/>
      <c r="I452" s="32"/>
      <c r="J452" s="32"/>
      <c r="K452" s="32"/>
      <c r="L452" s="32"/>
    </row>
    <row r="453" spans="5:12" ht="25.5" customHeight="1">
      <c r="E453" s="32"/>
      <c r="F453" s="32"/>
      <c r="G453" s="32"/>
      <c r="H453" s="32"/>
      <c r="I453" s="32"/>
      <c r="J453" s="32"/>
      <c r="K453" s="32"/>
      <c r="L453" s="32"/>
    </row>
    <row r="454" spans="5:12" ht="25.5" customHeight="1">
      <c r="E454" s="32"/>
      <c r="F454" s="32"/>
      <c r="G454" s="32"/>
      <c r="H454" s="32"/>
      <c r="I454" s="32"/>
      <c r="J454" s="32"/>
      <c r="K454" s="32"/>
      <c r="L454" s="32"/>
    </row>
    <row r="455" spans="5:12" ht="25.5" customHeight="1">
      <c r="E455" s="32"/>
      <c r="F455" s="32"/>
      <c r="G455" s="32"/>
      <c r="H455" s="32"/>
      <c r="I455" s="32"/>
      <c r="J455" s="32"/>
      <c r="K455" s="32"/>
      <c r="L455" s="32"/>
    </row>
    <row r="456" spans="5:12" ht="25.5" customHeight="1">
      <c r="E456" s="32"/>
      <c r="F456" s="32"/>
      <c r="G456" s="32"/>
      <c r="H456" s="32"/>
      <c r="I456" s="32"/>
      <c r="J456" s="32"/>
      <c r="K456" s="32"/>
      <c r="L456" s="32"/>
    </row>
    <row r="457" spans="5:12" ht="25.5" customHeight="1">
      <c r="E457" s="32"/>
      <c r="F457" s="32"/>
      <c r="G457" s="32"/>
      <c r="H457" s="32"/>
      <c r="I457" s="32"/>
      <c r="J457" s="32"/>
      <c r="K457" s="32"/>
      <c r="L457" s="32"/>
    </row>
    <row r="458" spans="5:12" ht="25.5" customHeight="1">
      <c r="E458" s="32"/>
      <c r="F458" s="32"/>
      <c r="G458" s="32"/>
      <c r="H458" s="32"/>
      <c r="I458" s="32"/>
      <c r="J458" s="32"/>
      <c r="K458" s="32"/>
      <c r="L458" s="32"/>
    </row>
    <row r="459" spans="5:12" ht="25.5" customHeight="1">
      <c r="E459" s="32"/>
      <c r="F459" s="32"/>
      <c r="G459" s="32"/>
      <c r="H459" s="32"/>
      <c r="I459" s="32"/>
      <c r="J459" s="32"/>
      <c r="K459" s="32"/>
      <c r="L459" s="32"/>
    </row>
    <row r="460" spans="5:12" ht="25.5" customHeight="1">
      <c r="E460" s="32"/>
      <c r="F460" s="32"/>
      <c r="G460" s="32"/>
      <c r="H460" s="32"/>
      <c r="I460" s="32"/>
      <c r="J460" s="32"/>
      <c r="K460" s="32"/>
      <c r="L460" s="32"/>
    </row>
    <row r="461" spans="5:12" ht="25.5" customHeight="1">
      <c r="E461" s="32"/>
      <c r="F461" s="32"/>
      <c r="G461" s="32"/>
      <c r="H461" s="32"/>
      <c r="I461" s="32"/>
      <c r="J461" s="32"/>
      <c r="K461" s="32"/>
      <c r="L461" s="32"/>
    </row>
    <row r="462" spans="5:12" ht="25.5" customHeight="1">
      <c r="E462" s="32"/>
      <c r="F462" s="32"/>
      <c r="G462" s="32"/>
      <c r="H462" s="32"/>
      <c r="I462" s="32"/>
      <c r="J462" s="32"/>
      <c r="K462" s="32"/>
      <c r="L462" s="32"/>
    </row>
    <row r="463" spans="5:12" ht="25.5" customHeight="1">
      <c r="E463" s="32"/>
      <c r="F463" s="32"/>
      <c r="G463" s="32"/>
      <c r="H463" s="32"/>
      <c r="I463" s="32"/>
      <c r="J463" s="32"/>
      <c r="K463" s="32"/>
      <c r="L463" s="32"/>
    </row>
    <row r="464" spans="5:12" ht="25.5" customHeight="1">
      <c r="E464" s="32"/>
      <c r="F464" s="32"/>
      <c r="G464" s="32"/>
      <c r="H464" s="32"/>
      <c r="I464" s="32"/>
      <c r="J464" s="32"/>
      <c r="K464" s="32"/>
      <c r="L464" s="32"/>
    </row>
    <row r="465" spans="5:12" ht="25.5" customHeight="1">
      <c r="E465" s="32"/>
      <c r="F465" s="32"/>
      <c r="G465" s="32"/>
      <c r="H465" s="32"/>
      <c r="I465" s="32"/>
      <c r="J465" s="32"/>
      <c r="K465" s="32"/>
      <c r="L465" s="32"/>
    </row>
    <row r="466" spans="5:12" ht="25.5" customHeight="1">
      <c r="E466" s="32"/>
      <c r="F466" s="32"/>
      <c r="G466" s="32"/>
      <c r="H466" s="32"/>
      <c r="I466" s="32"/>
      <c r="J466" s="32"/>
      <c r="K466" s="32"/>
      <c r="L466" s="32"/>
    </row>
    <row r="467" spans="5:12" ht="25.5" customHeight="1">
      <c r="E467" s="32"/>
      <c r="F467" s="32"/>
      <c r="G467" s="32"/>
      <c r="H467" s="32"/>
      <c r="I467" s="32"/>
      <c r="J467" s="32"/>
      <c r="K467" s="32"/>
      <c r="L467" s="32"/>
    </row>
    <row r="468" spans="5:12" ht="25.5" customHeight="1">
      <c r="E468" s="32"/>
      <c r="F468" s="32"/>
      <c r="G468" s="32"/>
      <c r="H468" s="32"/>
      <c r="I468" s="32"/>
      <c r="J468" s="32"/>
      <c r="K468" s="32"/>
      <c r="L468" s="32"/>
    </row>
    <row r="469" spans="5:12" ht="25.5" customHeight="1">
      <c r="E469" s="32"/>
      <c r="F469" s="32"/>
      <c r="G469" s="32"/>
      <c r="H469" s="32"/>
      <c r="I469" s="32"/>
      <c r="J469" s="32"/>
      <c r="K469" s="32"/>
      <c r="L469" s="32"/>
    </row>
    <row r="470" spans="5:12" ht="25.5" customHeight="1">
      <c r="E470" s="32"/>
      <c r="F470" s="32"/>
      <c r="G470" s="32"/>
      <c r="H470" s="32"/>
      <c r="I470" s="32"/>
      <c r="J470" s="32"/>
      <c r="K470" s="32"/>
      <c r="L470" s="32"/>
    </row>
    <row r="471" spans="5:12" ht="25.5" customHeight="1">
      <c r="E471" s="32"/>
      <c r="F471" s="32"/>
      <c r="G471" s="32"/>
      <c r="H471" s="32"/>
      <c r="I471" s="32"/>
      <c r="J471" s="32"/>
      <c r="K471" s="32"/>
      <c r="L471" s="32"/>
    </row>
    <row r="472" spans="5:12" ht="25.5" customHeight="1">
      <c r="E472" s="32"/>
      <c r="F472" s="32"/>
      <c r="G472" s="32"/>
      <c r="H472" s="32"/>
      <c r="I472" s="32"/>
      <c r="J472" s="32"/>
      <c r="K472" s="32"/>
      <c r="L472" s="32"/>
    </row>
    <row r="473" spans="5:12" ht="25.5" customHeight="1">
      <c r="E473" s="32"/>
      <c r="F473" s="32"/>
      <c r="G473" s="32"/>
      <c r="H473" s="32"/>
      <c r="I473" s="32"/>
      <c r="J473" s="32"/>
      <c r="K473" s="32"/>
      <c r="L473" s="32"/>
    </row>
    <row r="474" spans="5:12" ht="25.5" customHeight="1">
      <c r="E474" s="32"/>
      <c r="F474" s="32"/>
      <c r="G474" s="32"/>
      <c r="H474" s="32"/>
      <c r="I474" s="32"/>
      <c r="J474" s="32"/>
      <c r="K474" s="32"/>
      <c r="L474" s="32"/>
    </row>
    <row r="475" spans="5:12" ht="25.5" customHeight="1">
      <c r="E475" s="32"/>
      <c r="F475" s="32"/>
      <c r="G475" s="32"/>
      <c r="H475" s="32"/>
      <c r="I475" s="32"/>
      <c r="J475" s="32"/>
      <c r="K475" s="32"/>
      <c r="L475" s="32"/>
    </row>
    <row r="476" spans="5:12" ht="25.5" customHeight="1">
      <c r="E476" s="32"/>
      <c r="F476" s="32"/>
      <c r="G476" s="32"/>
      <c r="H476" s="32"/>
      <c r="I476" s="32"/>
      <c r="J476" s="32"/>
      <c r="K476" s="32"/>
      <c r="L476" s="32"/>
    </row>
    <row r="477" spans="5:12" ht="25.5" customHeight="1">
      <c r="E477" s="32"/>
      <c r="F477" s="32"/>
      <c r="G477" s="32"/>
      <c r="H477" s="32"/>
      <c r="I477" s="32"/>
      <c r="J477" s="32"/>
      <c r="K477" s="32"/>
      <c r="L477" s="32"/>
    </row>
    <row r="478" spans="5:12" ht="25.5" customHeight="1">
      <c r="E478" s="32"/>
      <c r="F478" s="32"/>
      <c r="G478" s="32"/>
      <c r="H478" s="32"/>
      <c r="I478" s="32"/>
      <c r="J478" s="32"/>
      <c r="K478" s="32"/>
      <c r="L478" s="32"/>
    </row>
    <row r="479" spans="5:12" ht="25.5" customHeight="1">
      <c r="E479" s="32"/>
      <c r="F479" s="32"/>
      <c r="G479" s="32"/>
      <c r="H479" s="32"/>
      <c r="I479" s="32"/>
      <c r="J479" s="32"/>
      <c r="K479" s="32"/>
      <c r="L479" s="32"/>
    </row>
    <row r="480" spans="5:12" ht="25.5" customHeight="1">
      <c r="E480" s="32"/>
      <c r="F480" s="32"/>
      <c r="G480" s="32"/>
      <c r="H480" s="32"/>
      <c r="I480" s="32"/>
      <c r="J480" s="32"/>
      <c r="K480" s="32"/>
      <c r="L480" s="32"/>
    </row>
    <row r="481" spans="5:12" ht="25.5" customHeight="1">
      <c r="E481" s="32"/>
      <c r="F481" s="32"/>
      <c r="G481" s="32"/>
      <c r="H481" s="32"/>
      <c r="I481" s="32"/>
      <c r="J481" s="32"/>
      <c r="K481" s="32"/>
      <c r="L481" s="32"/>
    </row>
    <row r="482" spans="5:12" ht="25.5" customHeight="1">
      <c r="E482" s="32"/>
      <c r="F482" s="32"/>
      <c r="G482" s="32"/>
      <c r="H482" s="32"/>
      <c r="I482" s="32"/>
      <c r="J482" s="32"/>
      <c r="K482" s="32"/>
      <c r="L482" s="32"/>
    </row>
    <row r="483" spans="5:12" ht="25.5" customHeight="1">
      <c r="E483" s="32"/>
      <c r="F483" s="32"/>
      <c r="G483" s="32"/>
      <c r="H483" s="32"/>
      <c r="I483" s="32"/>
      <c r="J483" s="32"/>
      <c r="K483" s="32"/>
      <c r="L483" s="32"/>
    </row>
    <row r="484" spans="5:12" ht="25.5" customHeight="1">
      <c r="E484" s="32"/>
      <c r="F484" s="32"/>
      <c r="G484" s="32"/>
      <c r="H484" s="32"/>
      <c r="I484" s="32"/>
      <c r="J484" s="32"/>
      <c r="K484" s="32"/>
      <c r="L484" s="32"/>
    </row>
    <row r="485" spans="5:12" ht="25.5" customHeight="1">
      <c r="E485" s="32"/>
      <c r="F485" s="32"/>
      <c r="G485" s="32"/>
      <c r="H485" s="32"/>
      <c r="I485" s="32"/>
      <c r="J485" s="32"/>
      <c r="K485" s="32"/>
      <c r="L485" s="32"/>
    </row>
    <row r="486" spans="5:12" ht="25.5" customHeight="1">
      <c r="E486" s="32"/>
      <c r="F486" s="32"/>
      <c r="G486" s="32"/>
      <c r="H486" s="32"/>
      <c r="I486" s="32"/>
      <c r="J486" s="32"/>
      <c r="K486" s="32"/>
      <c r="L486" s="32"/>
    </row>
    <row r="487" spans="5:12" ht="25.5" customHeight="1">
      <c r="E487" s="32"/>
      <c r="F487" s="32"/>
      <c r="G487" s="32"/>
      <c r="H487" s="32"/>
      <c r="I487" s="32"/>
      <c r="J487" s="32"/>
      <c r="K487" s="32"/>
      <c r="L487" s="32"/>
    </row>
    <row r="488" spans="5:12" ht="25.5" customHeight="1">
      <c r="E488" s="32"/>
      <c r="F488" s="32"/>
      <c r="G488" s="32"/>
      <c r="H488" s="32"/>
      <c r="I488" s="32"/>
      <c r="J488" s="32"/>
      <c r="K488" s="32"/>
      <c r="L488" s="32"/>
    </row>
    <row r="489" spans="5:12" ht="25.5" customHeight="1">
      <c r="E489" s="32"/>
      <c r="F489" s="32"/>
      <c r="G489" s="32"/>
      <c r="H489" s="32"/>
      <c r="I489" s="32"/>
      <c r="J489" s="32"/>
      <c r="K489" s="32"/>
      <c r="L489" s="32"/>
    </row>
    <row r="490" spans="5:12" ht="25.5" customHeight="1">
      <c r="E490" s="32"/>
      <c r="F490" s="32"/>
      <c r="G490" s="32"/>
      <c r="H490" s="32"/>
      <c r="I490" s="32"/>
      <c r="J490" s="32"/>
      <c r="K490" s="32"/>
      <c r="L490" s="32"/>
    </row>
    <row r="491" spans="5:12" ht="25.5" customHeight="1">
      <c r="E491" s="32"/>
      <c r="F491" s="32"/>
      <c r="G491" s="32"/>
      <c r="H491" s="32"/>
      <c r="I491" s="32"/>
      <c r="J491" s="32"/>
      <c r="K491" s="32"/>
      <c r="L491" s="32"/>
    </row>
    <row r="492" spans="5:12" ht="25.5" customHeight="1">
      <c r="E492" s="32"/>
      <c r="F492" s="32"/>
      <c r="G492" s="32"/>
      <c r="H492" s="32"/>
      <c r="I492" s="32"/>
      <c r="J492" s="32"/>
      <c r="K492" s="32"/>
      <c r="L492" s="32"/>
    </row>
    <row r="493" spans="5:12" ht="25.5" customHeight="1">
      <c r="E493" s="32"/>
      <c r="F493" s="32"/>
      <c r="G493" s="32"/>
      <c r="H493" s="32"/>
      <c r="I493" s="32"/>
      <c r="J493" s="32"/>
      <c r="K493" s="32"/>
      <c r="L493" s="32"/>
    </row>
    <row r="494" spans="5:12" ht="25.5" customHeight="1">
      <c r="E494" s="32"/>
      <c r="F494" s="32"/>
      <c r="G494" s="32"/>
      <c r="H494" s="32"/>
      <c r="I494" s="32"/>
      <c r="J494" s="32"/>
      <c r="K494" s="32"/>
      <c r="L494" s="32"/>
    </row>
    <row r="495" spans="5:12" ht="25.5" customHeight="1">
      <c r="E495" s="32"/>
      <c r="F495" s="32"/>
      <c r="G495" s="32"/>
      <c r="H495" s="32"/>
      <c r="I495" s="32"/>
      <c r="J495" s="32"/>
      <c r="K495" s="32"/>
      <c r="L495" s="32"/>
    </row>
    <row r="496" spans="5:12" ht="25.5" customHeight="1">
      <c r="E496" s="32"/>
      <c r="F496" s="32"/>
      <c r="G496" s="32"/>
      <c r="H496" s="32"/>
      <c r="I496" s="32"/>
      <c r="J496" s="32"/>
      <c r="K496" s="32"/>
      <c r="L496" s="32"/>
    </row>
    <row r="497" spans="5:12" ht="25.5" customHeight="1">
      <c r="E497" s="32"/>
      <c r="F497" s="32"/>
      <c r="G497" s="32"/>
      <c r="H497" s="32"/>
      <c r="I497" s="32"/>
      <c r="J497" s="32"/>
      <c r="K497" s="32"/>
      <c r="L497" s="32"/>
    </row>
    <row r="498" spans="5:12" ht="25.5" customHeight="1">
      <c r="E498" s="32"/>
      <c r="F498" s="32"/>
      <c r="G498" s="32"/>
      <c r="H498" s="32"/>
      <c r="I498" s="32"/>
      <c r="J498" s="32"/>
      <c r="K498" s="32"/>
      <c r="L498" s="32"/>
    </row>
    <row r="499" spans="5:12" ht="25.5" customHeight="1">
      <c r="E499" s="32"/>
      <c r="F499" s="32"/>
      <c r="G499" s="32"/>
      <c r="H499" s="32"/>
      <c r="I499" s="32"/>
      <c r="J499" s="32"/>
      <c r="K499" s="32"/>
      <c r="L499" s="32"/>
    </row>
    <row r="500" spans="5:12" ht="25.5" customHeight="1">
      <c r="E500" s="32"/>
      <c r="F500" s="32"/>
      <c r="G500" s="32"/>
      <c r="H500" s="32"/>
      <c r="I500" s="32"/>
      <c r="J500" s="32"/>
      <c r="K500" s="32"/>
      <c r="L500" s="32"/>
    </row>
    <row r="501" spans="5:12" ht="25.5" customHeight="1">
      <c r="E501" s="32"/>
      <c r="F501" s="32"/>
      <c r="G501" s="32"/>
      <c r="H501" s="32"/>
      <c r="I501" s="32"/>
      <c r="J501" s="32"/>
      <c r="K501" s="32"/>
      <c r="L501" s="32"/>
    </row>
    <row r="502" spans="5:12" ht="25.5" customHeight="1">
      <c r="E502" s="32"/>
      <c r="F502" s="32"/>
      <c r="G502" s="32"/>
      <c r="H502" s="32"/>
      <c r="I502" s="32"/>
      <c r="J502" s="32"/>
      <c r="K502" s="32"/>
      <c r="L502" s="32"/>
    </row>
    <row r="503" spans="5:12" ht="25.5" customHeight="1">
      <c r="E503" s="32"/>
      <c r="F503" s="32"/>
      <c r="G503" s="32"/>
      <c r="H503" s="32"/>
      <c r="I503" s="32"/>
      <c r="J503" s="32"/>
      <c r="K503" s="32"/>
      <c r="L503" s="32"/>
    </row>
    <row r="504" spans="5:12" ht="25.5" customHeight="1">
      <c r="E504" s="32"/>
      <c r="F504" s="32"/>
      <c r="G504" s="32"/>
      <c r="H504" s="32"/>
      <c r="I504" s="32"/>
      <c r="J504" s="32"/>
      <c r="K504" s="32"/>
      <c r="L504" s="32"/>
    </row>
    <row r="505" spans="5:12" ht="25.5" customHeight="1">
      <c r="E505" s="32"/>
      <c r="F505" s="32"/>
      <c r="G505" s="32"/>
      <c r="H505" s="32"/>
      <c r="I505" s="32"/>
      <c r="J505" s="32"/>
      <c r="K505" s="32"/>
      <c r="L505" s="32"/>
    </row>
    <row r="506" spans="5:12" ht="25.5" customHeight="1">
      <c r="E506" s="32"/>
      <c r="F506" s="32"/>
      <c r="G506" s="32"/>
      <c r="H506" s="32"/>
      <c r="I506" s="32"/>
      <c r="J506" s="32"/>
      <c r="K506" s="32"/>
      <c r="L506" s="32"/>
    </row>
    <row r="507" spans="5:12" ht="25.5" customHeight="1">
      <c r="E507" s="32"/>
      <c r="F507" s="32"/>
      <c r="G507" s="32"/>
      <c r="H507" s="32"/>
      <c r="I507" s="32"/>
      <c r="J507" s="32"/>
      <c r="K507" s="32"/>
      <c r="L507" s="32"/>
    </row>
    <row r="508" spans="5:12" ht="25.5" customHeight="1">
      <c r="E508" s="32"/>
      <c r="F508" s="32"/>
      <c r="G508" s="32"/>
      <c r="H508" s="32"/>
      <c r="I508" s="32"/>
      <c r="J508" s="32"/>
      <c r="K508" s="32"/>
      <c r="L508" s="32"/>
    </row>
    <row r="509" spans="5:12" ht="25.5" customHeight="1">
      <c r="E509" s="32"/>
      <c r="F509" s="32"/>
      <c r="G509" s="32"/>
      <c r="H509" s="32"/>
      <c r="I509" s="32"/>
      <c r="J509" s="32"/>
      <c r="K509" s="32"/>
      <c r="L509" s="32"/>
    </row>
    <row r="510" spans="5:12" ht="25.5" customHeight="1">
      <c r="E510" s="32"/>
      <c r="F510" s="32"/>
      <c r="G510" s="32"/>
      <c r="H510" s="32"/>
      <c r="I510" s="32"/>
      <c r="J510" s="32"/>
      <c r="K510" s="32"/>
      <c r="L510" s="32"/>
    </row>
    <row r="511" spans="5:12" ht="25.5" customHeight="1">
      <c r="E511" s="32"/>
      <c r="F511" s="32"/>
      <c r="G511" s="32"/>
      <c r="H511" s="32"/>
      <c r="I511" s="32"/>
      <c r="J511" s="32"/>
      <c r="K511" s="32"/>
      <c r="L511" s="32"/>
    </row>
    <row r="512" spans="5:12" ht="25.5" customHeight="1">
      <c r="E512" s="32"/>
      <c r="F512" s="32"/>
      <c r="G512" s="32"/>
      <c r="H512" s="32"/>
      <c r="I512" s="32"/>
      <c r="J512" s="32"/>
      <c r="K512" s="32"/>
      <c r="L512" s="32"/>
    </row>
    <row r="513" spans="5:12" ht="25.5" customHeight="1">
      <c r="E513" s="32"/>
      <c r="F513" s="32"/>
      <c r="G513" s="32"/>
      <c r="H513" s="32"/>
      <c r="I513" s="32"/>
      <c r="J513" s="32"/>
      <c r="K513" s="32"/>
      <c r="L513" s="32"/>
    </row>
    <row r="514" spans="5:12" ht="25.5" customHeight="1">
      <c r="E514" s="32"/>
      <c r="F514" s="32"/>
      <c r="G514" s="32"/>
      <c r="H514" s="32"/>
      <c r="I514" s="32"/>
      <c r="J514" s="32"/>
      <c r="K514" s="32"/>
      <c r="L514" s="32"/>
    </row>
    <row r="515" spans="5:12" ht="25.5" customHeight="1">
      <c r="E515" s="32"/>
      <c r="F515" s="32"/>
      <c r="G515" s="32"/>
      <c r="H515" s="32"/>
      <c r="I515" s="32"/>
      <c r="J515" s="32"/>
      <c r="K515" s="32"/>
      <c r="L515" s="32"/>
    </row>
    <row r="516" spans="5:12" ht="25.5" customHeight="1">
      <c r="E516" s="32"/>
      <c r="F516" s="32"/>
      <c r="G516" s="32"/>
      <c r="H516" s="32"/>
      <c r="I516" s="32"/>
      <c r="J516" s="32"/>
      <c r="K516" s="32"/>
      <c r="L516" s="32"/>
    </row>
    <row r="517" spans="5:12" ht="25.5" customHeight="1">
      <c r="E517" s="32"/>
      <c r="F517" s="32"/>
      <c r="G517" s="32"/>
      <c r="H517" s="32"/>
      <c r="I517" s="32"/>
      <c r="J517" s="32"/>
      <c r="K517" s="32"/>
      <c r="L517" s="32"/>
    </row>
    <row r="518" spans="5:12" ht="25.5" customHeight="1">
      <c r="E518" s="32"/>
      <c r="F518" s="32"/>
      <c r="G518" s="32"/>
      <c r="H518" s="32"/>
      <c r="I518" s="32"/>
      <c r="J518" s="32"/>
      <c r="K518" s="32"/>
      <c r="L518" s="32"/>
    </row>
    <row r="519" spans="5:12" ht="25.5" customHeight="1">
      <c r="E519" s="32"/>
      <c r="F519" s="32"/>
      <c r="G519" s="32"/>
      <c r="H519" s="32"/>
      <c r="I519" s="32"/>
      <c r="J519" s="32"/>
      <c r="K519" s="32"/>
      <c r="L519" s="32"/>
    </row>
    <row r="520" spans="5:12" ht="25.5" customHeight="1">
      <c r="E520" s="32"/>
      <c r="F520" s="32"/>
      <c r="G520" s="32"/>
      <c r="H520" s="32"/>
      <c r="I520" s="32"/>
      <c r="J520" s="32"/>
      <c r="K520" s="32"/>
      <c r="L520" s="32"/>
    </row>
    <row r="521" spans="5:12" ht="25.5" customHeight="1">
      <c r="E521" s="32"/>
      <c r="F521" s="32"/>
      <c r="G521" s="32"/>
      <c r="H521" s="32"/>
      <c r="I521" s="32"/>
      <c r="J521" s="32"/>
      <c r="K521" s="32"/>
      <c r="L521" s="32"/>
    </row>
    <row r="522" spans="5:12" ht="25.5" customHeight="1">
      <c r="E522" s="32"/>
      <c r="F522" s="32"/>
      <c r="G522" s="32"/>
      <c r="H522" s="32"/>
      <c r="I522" s="32"/>
      <c r="J522" s="32"/>
      <c r="K522" s="32"/>
      <c r="L522" s="32"/>
    </row>
    <row r="523" spans="5:12" ht="25.5" customHeight="1">
      <c r="E523" s="32"/>
      <c r="F523" s="32"/>
      <c r="G523" s="32"/>
      <c r="H523" s="32"/>
      <c r="I523" s="32"/>
      <c r="J523" s="32"/>
      <c r="K523" s="32"/>
      <c r="L523" s="32"/>
    </row>
    <row r="524" spans="5:12" ht="25.5" customHeight="1">
      <c r="E524" s="32"/>
      <c r="F524" s="32"/>
      <c r="G524" s="32"/>
      <c r="H524" s="32"/>
      <c r="I524" s="32"/>
      <c r="J524" s="32"/>
      <c r="K524" s="32"/>
      <c r="L524" s="32"/>
    </row>
    <row r="525" spans="5:12" ht="25.5" customHeight="1">
      <c r="E525" s="32"/>
      <c r="F525" s="32"/>
      <c r="G525" s="32"/>
      <c r="H525" s="32"/>
      <c r="I525" s="32"/>
      <c r="J525" s="32"/>
      <c r="K525" s="32"/>
      <c r="L525" s="32"/>
    </row>
    <row r="526" spans="5:12" ht="25.5" customHeight="1">
      <c r="E526" s="32"/>
      <c r="F526" s="32"/>
      <c r="G526" s="32"/>
      <c r="H526" s="32"/>
      <c r="I526" s="32"/>
      <c r="J526" s="32"/>
      <c r="K526" s="32"/>
      <c r="L526" s="32"/>
    </row>
    <row r="527" spans="5:12" ht="25.5" customHeight="1">
      <c r="E527" s="32"/>
      <c r="F527" s="32"/>
      <c r="G527" s="32"/>
      <c r="H527" s="32"/>
      <c r="I527" s="32"/>
      <c r="J527" s="32"/>
      <c r="K527" s="32"/>
      <c r="L527" s="32"/>
    </row>
    <row r="528" spans="5:12" ht="25.5" customHeight="1">
      <c r="E528" s="32"/>
      <c r="F528" s="32"/>
      <c r="G528" s="32"/>
      <c r="H528" s="32"/>
      <c r="I528" s="32"/>
      <c r="J528" s="32"/>
      <c r="K528" s="32"/>
      <c r="L528" s="32"/>
    </row>
    <row r="529" spans="5:12" ht="25.5" customHeight="1">
      <c r="E529" s="32"/>
      <c r="F529" s="32"/>
      <c r="G529" s="32"/>
      <c r="H529" s="32"/>
      <c r="I529" s="32"/>
      <c r="J529" s="32"/>
      <c r="K529" s="32"/>
      <c r="L529" s="32"/>
    </row>
    <row r="530" spans="5:12" ht="25.5" customHeight="1">
      <c r="E530" s="32"/>
      <c r="F530" s="32"/>
      <c r="G530" s="32"/>
      <c r="H530" s="32"/>
      <c r="I530" s="32"/>
      <c r="J530" s="32"/>
      <c r="K530" s="32"/>
      <c r="L530" s="32"/>
    </row>
    <row r="531" spans="5:12" ht="25.5" customHeight="1">
      <c r="E531" s="32"/>
      <c r="F531" s="32"/>
      <c r="G531" s="32"/>
      <c r="H531" s="32"/>
      <c r="I531" s="32"/>
      <c r="J531" s="32"/>
      <c r="K531" s="32"/>
      <c r="L531" s="32"/>
    </row>
    <row r="532" spans="5:12" ht="25.5" customHeight="1">
      <c r="E532" s="32"/>
      <c r="F532" s="32"/>
      <c r="G532" s="32"/>
      <c r="H532" s="32"/>
      <c r="I532" s="32"/>
      <c r="J532" s="32"/>
      <c r="K532" s="32"/>
      <c r="L532" s="32"/>
    </row>
    <row r="533" spans="5:12" ht="25.5" customHeight="1">
      <c r="E533" s="32"/>
      <c r="F533" s="32"/>
      <c r="G533" s="32"/>
      <c r="H533" s="32"/>
      <c r="I533" s="32"/>
      <c r="J533" s="32"/>
      <c r="K533" s="32"/>
      <c r="L533" s="32"/>
    </row>
    <row r="534" spans="5:12" ht="25.5" customHeight="1">
      <c r="E534" s="32"/>
      <c r="F534" s="32"/>
      <c r="G534" s="32"/>
      <c r="H534" s="32"/>
      <c r="I534" s="32"/>
      <c r="J534" s="32"/>
      <c r="K534" s="32"/>
      <c r="L534" s="32"/>
    </row>
    <row r="535" spans="5:12" ht="25.5" customHeight="1">
      <c r="E535" s="32"/>
      <c r="F535" s="32"/>
      <c r="G535" s="32"/>
      <c r="H535" s="32"/>
      <c r="I535" s="32"/>
      <c r="J535" s="32"/>
      <c r="K535" s="32"/>
      <c r="L535" s="32"/>
    </row>
    <row r="536" spans="5:12" ht="25.5" customHeight="1">
      <c r="E536" s="32"/>
      <c r="F536" s="32"/>
      <c r="G536" s="32"/>
      <c r="H536" s="32"/>
      <c r="I536" s="32"/>
      <c r="J536" s="32"/>
      <c r="K536" s="32"/>
      <c r="L536" s="32"/>
    </row>
    <row r="537" spans="5:12" ht="25.5" customHeight="1">
      <c r="E537" s="32"/>
      <c r="F537" s="32"/>
      <c r="G537" s="32"/>
      <c r="H537" s="32"/>
      <c r="I537" s="32"/>
      <c r="J537" s="32"/>
      <c r="K537" s="32"/>
      <c r="L537" s="32"/>
    </row>
    <row r="538" spans="5:12" ht="25.5" customHeight="1">
      <c r="E538" s="32"/>
      <c r="F538" s="32"/>
      <c r="G538" s="32"/>
      <c r="H538" s="32"/>
      <c r="I538" s="32"/>
      <c r="J538" s="32"/>
      <c r="K538" s="32"/>
      <c r="L538" s="32"/>
    </row>
    <row r="539" spans="5:12" ht="25.5" customHeight="1">
      <c r="E539" s="32"/>
      <c r="F539" s="32"/>
      <c r="G539" s="32"/>
      <c r="H539" s="32"/>
      <c r="I539" s="32"/>
      <c r="J539" s="32"/>
      <c r="K539" s="32"/>
      <c r="L539" s="32"/>
    </row>
    <row r="540" spans="5:12" ht="25.5" customHeight="1">
      <c r="E540" s="32"/>
      <c r="F540" s="32"/>
      <c r="G540" s="32"/>
      <c r="H540" s="32"/>
      <c r="I540" s="32"/>
      <c r="J540" s="32"/>
      <c r="K540" s="32"/>
      <c r="L540" s="32"/>
    </row>
    <row r="541" spans="5:12" ht="25.5" customHeight="1">
      <c r="E541" s="32"/>
      <c r="F541" s="32"/>
      <c r="G541" s="32"/>
      <c r="H541" s="32"/>
      <c r="I541" s="32"/>
      <c r="J541" s="32"/>
      <c r="K541" s="32"/>
      <c r="L541" s="32"/>
    </row>
    <row r="542" spans="5:12" ht="25.5" customHeight="1">
      <c r="E542" s="32"/>
      <c r="F542" s="32"/>
      <c r="G542" s="32"/>
      <c r="H542" s="32"/>
      <c r="I542" s="32"/>
      <c r="J542" s="32"/>
      <c r="K542" s="32"/>
      <c r="L542" s="32"/>
    </row>
    <row r="543" spans="5:12" ht="25.5" customHeight="1">
      <c r="E543" s="32"/>
      <c r="F543" s="32"/>
      <c r="G543" s="32"/>
      <c r="H543" s="32"/>
      <c r="I543" s="32"/>
      <c r="J543" s="32"/>
      <c r="K543" s="32"/>
      <c r="L543" s="32"/>
    </row>
    <row r="544" spans="5:12" ht="25.5" customHeight="1">
      <c r="E544" s="32"/>
      <c r="F544" s="32"/>
      <c r="G544" s="32"/>
      <c r="H544" s="32"/>
      <c r="I544" s="32"/>
      <c r="J544" s="32"/>
      <c r="K544" s="32"/>
      <c r="L544" s="32"/>
    </row>
    <row r="545" spans="5:12" ht="25.5" customHeight="1">
      <c r="E545" s="32"/>
      <c r="F545" s="32"/>
      <c r="G545" s="32"/>
      <c r="H545" s="32"/>
      <c r="I545" s="32"/>
      <c r="J545" s="32"/>
      <c r="K545" s="32"/>
      <c r="L545" s="32"/>
    </row>
    <row r="546" spans="5:12" ht="25.5" customHeight="1">
      <c r="E546" s="32"/>
      <c r="F546" s="32"/>
      <c r="G546" s="32"/>
      <c r="H546" s="32"/>
      <c r="I546" s="32"/>
      <c r="J546" s="32"/>
      <c r="K546" s="32"/>
      <c r="L546" s="32"/>
    </row>
    <row r="547" spans="5:12" ht="25.5" customHeight="1">
      <c r="E547" s="32"/>
      <c r="F547" s="32"/>
      <c r="G547" s="32"/>
      <c r="H547" s="32"/>
      <c r="I547" s="32"/>
      <c r="J547" s="32"/>
      <c r="K547" s="32"/>
      <c r="L547" s="32"/>
    </row>
    <row r="548" spans="5:12" ht="25.5" customHeight="1">
      <c r="E548" s="32"/>
      <c r="F548" s="32"/>
      <c r="G548" s="32"/>
      <c r="H548" s="32"/>
      <c r="I548" s="32"/>
      <c r="J548" s="32"/>
      <c r="K548" s="32"/>
      <c r="L548" s="32"/>
    </row>
    <row r="549" spans="5:12" ht="25.5" customHeight="1">
      <c r="E549" s="32"/>
      <c r="F549" s="32"/>
      <c r="G549" s="32"/>
      <c r="H549" s="32"/>
      <c r="I549" s="32"/>
      <c r="J549" s="32"/>
      <c r="K549" s="32"/>
      <c r="L549" s="32"/>
    </row>
    <row r="550" spans="5:12" ht="25.5" customHeight="1">
      <c r="E550" s="32"/>
      <c r="F550" s="32"/>
      <c r="G550" s="32"/>
      <c r="H550" s="32"/>
      <c r="I550" s="32"/>
      <c r="J550" s="32"/>
      <c r="K550" s="32"/>
      <c r="L550" s="32"/>
    </row>
    <row r="551" spans="5:12" ht="25.5" customHeight="1">
      <c r="E551" s="32"/>
      <c r="F551" s="32"/>
      <c r="G551" s="32"/>
      <c r="H551" s="32"/>
      <c r="I551" s="32"/>
      <c r="J551" s="32"/>
      <c r="K551" s="32"/>
      <c r="L551" s="32"/>
    </row>
    <row r="552" spans="5:12" ht="25.5" customHeight="1">
      <c r="E552" s="32"/>
      <c r="F552" s="32"/>
      <c r="G552" s="32"/>
      <c r="H552" s="32"/>
      <c r="I552" s="32"/>
      <c r="J552" s="32"/>
      <c r="K552" s="32"/>
      <c r="L552" s="32"/>
    </row>
    <row r="553" spans="5:12" ht="25.5" customHeight="1">
      <c r="E553" s="32"/>
      <c r="F553" s="32"/>
      <c r="G553" s="32"/>
      <c r="H553" s="32"/>
      <c r="I553" s="32"/>
      <c r="J553" s="32"/>
      <c r="K553" s="32"/>
      <c r="L553" s="32"/>
    </row>
    <row r="554" spans="5:12" ht="25.5" customHeight="1">
      <c r="E554" s="32"/>
      <c r="F554" s="32"/>
      <c r="G554" s="32"/>
      <c r="H554" s="32"/>
      <c r="I554" s="32"/>
      <c r="J554" s="32"/>
      <c r="K554" s="32"/>
      <c r="L554" s="32"/>
    </row>
    <row r="555" spans="5:12" ht="25.5" customHeight="1">
      <c r="E555" s="32"/>
      <c r="F555" s="32"/>
      <c r="G555" s="32"/>
      <c r="H555" s="32"/>
      <c r="I555" s="32"/>
      <c r="J555" s="32"/>
      <c r="K555" s="32"/>
      <c r="L555" s="32"/>
    </row>
    <row r="556" spans="5:12" ht="25.5" customHeight="1">
      <c r="E556" s="32"/>
      <c r="F556" s="32"/>
      <c r="G556" s="32"/>
      <c r="H556" s="32"/>
      <c r="I556" s="32"/>
      <c r="J556" s="32"/>
      <c r="K556" s="32"/>
      <c r="L556" s="32"/>
    </row>
    <row r="557" spans="5:12" ht="25.5" customHeight="1">
      <c r="E557" s="32"/>
      <c r="F557" s="32"/>
      <c r="G557" s="32"/>
      <c r="H557" s="32"/>
      <c r="I557" s="32"/>
      <c r="J557" s="32"/>
      <c r="K557" s="32"/>
      <c r="L557" s="32"/>
    </row>
    <row r="558" spans="5:12" ht="25.5" customHeight="1">
      <c r="E558" s="32"/>
      <c r="F558" s="32"/>
      <c r="G558" s="32"/>
      <c r="H558" s="32"/>
      <c r="I558" s="32"/>
      <c r="J558" s="32"/>
      <c r="K558" s="32"/>
      <c r="L558" s="32"/>
    </row>
    <row r="559" spans="5:12" ht="25.5" customHeight="1">
      <c r="E559" s="32"/>
      <c r="F559" s="32"/>
      <c r="G559" s="32"/>
      <c r="H559" s="32"/>
      <c r="I559" s="32"/>
      <c r="J559" s="32"/>
      <c r="K559" s="32"/>
      <c r="L559" s="32"/>
    </row>
    <row r="560" spans="5:12" ht="25.5" customHeight="1">
      <c r="E560" s="32"/>
      <c r="F560" s="32"/>
      <c r="G560" s="32"/>
      <c r="H560" s="32"/>
      <c r="I560" s="32"/>
      <c r="J560" s="32"/>
      <c r="K560" s="32"/>
      <c r="L560" s="32"/>
    </row>
    <row r="561" spans="5:12" ht="25.5" customHeight="1">
      <c r="E561" s="32"/>
      <c r="F561" s="32"/>
      <c r="G561" s="32"/>
      <c r="H561" s="32"/>
      <c r="I561" s="32"/>
      <c r="J561" s="32"/>
      <c r="K561" s="32"/>
      <c r="L561" s="32"/>
    </row>
    <row r="562" spans="5:12" ht="25.5" customHeight="1">
      <c r="E562" s="32"/>
      <c r="F562" s="32"/>
      <c r="G562" s="32"/>
      <c r="H562" s="32"/>
      <c r="I562" s="32"/>
      <c r="J562" s="32"/>
      <c r="K562" s="32"/>
      <c r="L562" s="32"/>
    </row>
    <row r="563" spans="5:12" ht="25.5" customHeight="1">
      <c r="E563" s="32"/>
      <c r="F563" s="32"/>
      <c r="G563" s="32"/>
      <c r="H563" s="32"/>
      <c r="I563" s="32"/>
      <c r="J563" s="32"/>
      <c r="K563" s="32"/>
      <c r="L563" s="32"/>
    </row>
    <row r="564" spans="5:12" ht="25.5" customHeight="1">
      <c r="E564" s="32"/>
      <c r="F564" s="32"/>
      <c r="G564" s="32"/>
      <c r="H564" s="32"/>
      <c r="I564" s="32"/>
      <c r="J564" s="32"/>
      <c r="K564" s="32"/>
      <c r="L564" s="32"/>
    </row>
    <row r="565" spans="5:12" ht="25.5" customHeight="1">
      <c r="E565" s="32"/>
      <c r="F565" s="32"/>
      <c r="G565" s="32"/>
      <c r="H565" s="32"/>
      <c r="I565" s="32"/>
      <c r="J565" s="32"/>
      <c r="K565" s="32"/>
      <c r="L565" s="32"/>
    </row>
    <row r="566" spans="5:12" ht="25.5" customHeight="1">
      <c r="E566" s="32"/>
      <c r="F566" s="32"/>
      <c r="G566" s="32"/>
      <c r="H566" s="32"/>
      <c r="I566" s="32"/>
      <c r="J566" s="32"/>
      <c r="K566" s="32"/>
      <c r="L566" s="32"/>
    </row>
    <row r="567" spans="5:12" ht="25.5" customHeight="1">
      <c r="E567" s="32"/>
      <c r="F567" s="32"/>
      <c r="G567" s="32"/>
      <c r="H567" s="32"/>
      <c r="I567" s="32"/>
      <c r="J567" s="32"/>
      <c r="K567" s="32"/>
      <c r="L567" s="32"/>
    </row>
    <row r="568" spans="5:12" ht="25.5" customHeight="1">
      <c r="E568" s="32"/>
      <c r="F568" s="32"/>
      <c r="G568" s="32"/>
      <c r="H568" s="32"/>
      <c r="I568" s="32"/>
      <c r="J568" s="32"/>
      <c r="K568" s="32"/>
      <c r="L568" s="32"/>
    </row>
    <row r="569" spans="5:12" ht="25.5" customHeight="1">
      <c r="E569" s="32"/>
      <c r="F569" s="32"/>
      <c r="G569" s="32"/>
      <c r="H569" s="32"/>
      <c r="I569" s="32"/>
      <c r="J569" s="32"/>
      <c r="K569" s="32"/>
      <c r="L569" s="32"/>
    </row>
    <row r="570" spans="5:12" ht="25.5" customHeight="1">
      <c r="E570" s="32"/>
      <c r="F570" s="32"/>
      <c r="G570" s="32"/>
      <c r="H570" s="32"/>
      <c r="I570" s="32"/>
      <c r="J570" s="32"/>
      <c r="K570" s="32"/>
      <c r="L570" s="32"/>
    </row>
    <row r="571" spans="5:12" ht="25.5" customHeight="1">
      <c r="E571" s="32"/>
      <c r="F571" s="32"/>
      <c r="G571" s="32"/>
      <c r="H571" s="32"/>
      <c r="I571" s="32"/>
      <c r="J571" s="32"/>
      <c r="K571" s="32"/>
      <c r="L571" s="32"/>
    </row>
    <row r="572" spans="5:12" ht="25.5" customHeight="1">
      <c r="E572" s="32"/>
      <c r="F572" s="32"/>
      <c r="G572" s="32"/>
      <c r="H572" s="32"/>
      <c r="I572" s="32"/>
      <c r="J572" s="32"/>
      <c r="K572" s="32"/>
      <c r="L572" s="32"/>
    </row>
    <row r="573" spans="5:12" ht="25.5" customHeight="1">
      <c r="E573" s="32"/>
      <c r="F573" s="32"/>
      <c r="G573" s="32"/>
      <c r="H573" s="32"/>
      <c r="I573" s="32"/>
      <c r="J573" s="32"/>
      <c r="K573" s="32"/>
      <c r="L573" s="32"/>
    </row>
    <row r="574" spans="5:12" ht="25.5" customHeight="1">
      <c r="E574" s="32"/>
      <c r="F574" s="32"/>
      <c r="G574" s="32"/>
      <c r="H574" s="32"/>
      <c r="I574" s="32"/>
      <c r="J574" s="32"/>
      <c r="K574" s="32"/>
      <c r="L574" s="32"/>
    </row>
    <row r="575" spans="5:12" ht="25.5" customHeight="1">
      <c r="E575" s="32"/>
      <c r="F575" s="32"/>
      <c r="G575" s="32"/>
      <c r="H575" s="32"/>
      <c r="I575" s="32"/>
      <c r="J575" s="32"/>
      <c r="K575" s="32"/>
      <c r="L575" s="32"/>
    </row>
    <row r="576" spans="5:12" ht="25.5" customHeight="1">
      <c r="E576" s="32"/>
      <c r="F576" s="32"/>
      <c r="G576" s="32"/>
      <c r="H576" s="32"/>
      <c r="I576" s="32"/>
      <c r="J576" s="32"/>
      <c r="K576" s="32"/>
      <c r="L576" s="32"/>
    </row>
    <row r="577" spans="5:12" ht="25.5" customHeight="1">
      <c r="E577" s="32"/>
      <c r="F577" s="32"/>
      <c r="G577" s="32"/>
      <c r="H577" s="32"/>
      <c r="I577" s="32"/>
      <c r="J577" s="32"/>
      <c r="K577" s="32"/>
      <c r="L577" s="32"/>
    </row>
    <row r="578" spans="5:12" ht="25.5" customHeight="1">
      <c r="E578" s="32"/>
      <c r="F578" s="32"/>
      <c r="G578" s="32"/>
      <c r="H578" s="32"/>
      <c r="I578" s="32"/>
      <c r="J578" s="32"/>
      <c r="K578" s="32"/>
      <c r="L578" s="32"/>
    </row>
    <row r="579" spans="5:12" ht="25.5" customHeight="1">
      <c r="E579" s="32"/>
      <c r="F579" s="32"/>
      <c r="G579" s="32"/>
      <c r="H579" s="32"/>
      <c r="I579" s="32"/>
      <c r="J579" s="32"/>
      <c r="K579" s="32"/>
      <c r="L579" s="32"/>
    </row>
    <row r="580" spans="5:12" ht="25.5" customHeight="1">
      <c r="E580" s="32"/>
      <c r="F580" s="32"/>
      <c r="G580" s="32"/>
      <c r="H580" s="32"/>
      <c r="I580" s="32"/>
      <c r="J580" s="32"/>
      <c r="K580" s="32"/>
      <c r="L580" s="32"/>
    </row>
    <row r="581" spans="5:12" ht="25.5" customHeight="1">
      <c r="E581" s="32"/>
      <c r="F581" s="32"/>
      <c r="G581" s="32"/>
      <c r="H581" s="32"/>
      <c r="I581" s="32"/>
      <c r="J581" s="32"/>
      <c r="K581" s="32"/>
      <c r="L581" s="32"/>
    </row>
    <row r="582" spans="5:12" ht="25.5" customHeight="1">
      <c r="E582" s="32"/>
      <c r="F582" s="32"/>
      <c r="G582" s="32"/>
      <c r="H582" s="32"/>
      <c r="I582" s="32"/>
      <c r="J582" s="32"/>
      <c r="K582" s="32"/>
      <c r="L582" s="32"/>
    </row>
    <row r="583" spans="5:12" ht="25.5" customHeight="1">
      <c r="E583" s="32"/>
      <c r="F583" s="32"/>
      <c r="G583" s="32"/>
      <c r="H583" s="32"/>
      <c r="I583" s="32"/>
      <c r="J583" s="32"/>
      <c r="K583" s="32"/>
      <c r="L583" s="32"/>
    </row>
    <row r="584" spans="5:12" ht="25.5" customHeight="1">
      <c r="E584" s="32"/>
      <c r="F584" s="32"/>
      <c r="G584" s="32"/>
      <c r="H584" s="32"/>
      <c r="I584" s="32"/>
      <c r="J584" s="32"/>
      <c r="K584" s="32"/>
      <c r="L584" s="32"/>
    </row>
    <row r="585" spans="5:12" ht="25.5" customHeight="1">
      <c r="E585" s="32"/>
      <c r="F585" s="32"/>
      <c r="G585" s="32"/>
      <c r="H585" s="32"/>
      <c r="I585" s="32"/>
      <c r="J585" s="32"/>
      <c r="K585" s="32"/>
      <c r="L585" s="32"/>
    </row>
    <row r="586" spans="5:12" ht="25.5" customHeight="1">
      <c r="E586" s="32"/>
      <c r="F586" s="32"/>
      <c r="G586" s="32"/>
      <c r="H586" s="32"/>
      <c r="I586" s="32"/>
      <c r="J586" s="32"/>
      <c r="K586" s="32"/>
      <c r="L586" s="32"/>
    </row>
    <row r="587" spans="5:12" ht="25.5" customHeight="1">
      <c r="E587" s="32"/>
      <c r="F587" s="32"/>
      <c r="G587" s="32"/>
      <c r="H587" s="32"/>
      <c r="I587" s="32"/>
      <c r="J587" s="32"/>
      <c r="K587" s="32"/>
      <c r="L587" s="32"/>
    </row>
    <row r="588" spans="5:12" ht="25.5" customHeight="1">
      <c r="E588" s="32"/>
      <c r="F588" s="32"/>
      <c r="G588" s="32"/>
      <c r="H588" s="32"/>
      <c r="I588" s="32"/>
      <c r="J588" s="32"/>
      <c r="K588" s="32"/>
      <c r="L588" s="32"/>
    </row>
    <row r="589" spans="5:12" ht="25.5" customHeight="1">
      <c r="E589" s="32"/>
      <c r="F589" s="32"/>
      <c r="G589" s="32"/>
      <c r="H589" s="32"/>
      <c r="I589" s="32"/>
      <c r="J589" s="32"/>
      <c r="K589" s="32"/>
      <c r="L589" s="32"/>
    </row>
    <row r="590" spans="5:12" ht="25.5" customHeight="1">
      <c r="E590" s="32"/>
      <c r="F590" s="32"/>
      <c r="G590" s="32"/>
      <c r="H590" s="32"/>
      <c r="I590" s="32"/>
      <c r="J590" s="32"/>
      <c r="K590" s="32"/>
      <c r="L590" s="32"/>
    </row>
    <row r="591" spans="5:12" ht="25.5" customHeight="1">
      <c r="E591" s="32"/>
      <c r="F591" s="32"/>
      <c r="G591" s="32"/>
      <c r="H591" s="32"/>
      <c r="I591" s="32"/>
      <c r="J591" s="32"/>
      <c r="K591" s="32"/>
      <c r="L591" s="32"/>
    </row>
    <row r="592" spans="5:12" ht="25.5" customHeight="1">
      <c r="E592" s="32"/>
      <c r="F592" s="32"/>
      <c r="G592" s="32"/>
      <c r="H592" s="32"/>
      <c r="I592" s="32"/>
      <c r="J592" s="32"/>
      <c r="K592" s="32"/>
      <c r="L592" s="32"/>
    </row>
    <row r="593" spans="5:12" ht="25.5" customHeight="1">
      <c r="E593" s="32"/>
      <c r="F593" s="32"/>
      <c r="G593" s="32"/>
      <c r="H593" s="32"/>
      <c r="I593" s="32"/>
      <c r="J593" s="32"/>
      <c r="K593" s="32"/>
      <c r="L593" s="32"/>
    </row>
    <row r="594" spans="5:12" ht="25.5" customHeight="1">
      <c r="E594" s="32"/>
      <c r="F594" s="32"/>
      <c r="G594" s="32"/>
      <c r="H594" s="32"/>
      <c r="I594" s="32"/>
      <c r="J594" s="32"/>
      <c r="K594" s="32"/>
      <c r="L594" s="32"/>
    </row>
    <row r="595" spans="5:12" ht="25.5" customHeight="1">
      <c r="E595" s="32"/>
      <c r="F595" s="32"/>
      <c r="G595" s="32"/>
      <c r="H595" s="32"/>
      <c r="I595" s="32"/>
      <c r="J595" s="32"/>
      <c r="K595" s="32"/>
      <c r="L595" s="32"/>
    </row>
    <row r="596" spans="5:12" ht="25.5" customHeight="1">
      <c r="E596" s="32"/>
      <c r="F596" s="32"/>
      <c r="G596" s="32"/>
      <c r="H596" s="32"/>
      <c r="I596" s="32"/>
      <c r="J596" s="32"/>
      <c r="K596" s="32"/>
      <c r="L596" s="32"/>
    </row>
    <row r="597" spans="5:12" ht="25.5" customHeight="1">
      <c r="E597" s="32"/>
      <c r="F597" s="32"/>
      <c r="G597" s="32"/>
      <c r="H597" s="32"/>
      <c r="I597" s="32"/>
      <c r="J597" s="32"/>
      <c r="K597" s="32"/>
      <c r="L597" s="32"/>
    </row>
    <row r="598" spans="5:12" ht="25.5" customHeight="1">
      <c r="E598" s="32"/>
      <c r="F598" s="32"/>
      <c r="G598" s="32"/>
      <c r="H598" s="32"/>
      <c r="I598" s="32"/>
      <c r="J598" s="32"/>
      <c r="K598" s="32"/>
      <c r="L598" s="32"/>
    </row>
    <row r="599" spans="5:12" ht="25.5" customHeight="1">
      <c r="E599" s="32"/>
      <c r="F599" s="32"/>
      <c r="G599" s="32"/>
      <c r="H599" s="32"/>
      <c r="I599" s="32"/>
      <c r="J599" s="32"/>
      <c r="K599" s="32"/>
      <c r="L599" s="32"/>
    </row>
    <row r="600" spans="5:12" ht="25.5" customHeight="1">
      <c r="E600" s="32"/>
      <c r="F600" s="32"/>
      <c r="G600" s="32"/>
      <c r="H600" s="32"/>
      <c r="I600" s="32"/>
      <c r="J600" s="32"/>
      <c r="K600" s="32"/>
      <c r="L600" s="32"/>
    </row>
    <row r="601" spans="5:12" ht="25.5" customHeight="1">
      <c r="E601" s="32"/>
      <c r="F601" s="32"/>
      <c r="G601" s="32"/>
      <c r="H601" s="32"/>
      <c r="I601" s="32"/>
      <c r="J601" s="32"/>
      <c r="K601" s="32"/>
      <c r="L601" s="32"/>
    </row>
    <row r="602" spans="5:12" ht="25.5" customHeight="1">
      <c r="E602" s="32"/>
      <c r="F602" s="32"/>
      <c r="G602" s="32"/>
      <c r="H602" s="32"/>
      <c r="I602" s="32"/>
      <c r="J602" s="32"/>
      <c r="K602" s="32"/>
      <c r="L602" s="32"/>
    </row>
    <row r="603" spans="5:12" ht="25.5" customHeight="1">
      <c r="E603" s="32"/>
      <c r="F603" s="32"/>
      <c r="G603" s="32"/>
      <c r="H603" s="32"/>
      <c r="I603" s="32"/>
      <c r="J603" s="32"/>
      <c r="K603" s="32"/>
      <c r="L603" s="32"/>
    </row>
    <row r="604" spans="5:12" ht="25.5" customHeight="1">
      <c r="E604" s="32"/>
      <c r="F604" s="32"/>
      <c r="G604" s="32"/>
      <c r="H604" s="32"/>
      <c r="I604" s="32"/>
      <c r="J604" s="32"/>
      <c r="K604" s="32"/>
      <c r="L604" s="32"/>
    </row>
    <row r="605" spans="5:12" ht="25.5" customHeight="1">
      <c r="E605" s="32"/>
      <c r="F605" s="32"/>
      <c r="G605" s="32"/>
      <c r="H605" s="32"/>
      <c r="I605" s="32"/>
      <c r="J605" s="32"/>
      <c r="K605" s="32"/>
      <c r="L605" s="32"/>
    </row>
    <row r="606" spans="5:12" ht="25.5" customHeight="1">
      <c r="E606" s="32"/>
      <c r="F606" s="32"/>
      <c r="G606" s="32"/>
      <c r="H606" s="32"/>
      <c r="I606" s="32"/>
      <c r="J606" s="32"/>
      <c r="K606" s="32"/>
      <c r="L606" s="32"/>
    </row>
    <row r="607" spans="5:12" ht="25.5" customHeight="1">
      <c r="E607" s="32"/>
      <c r="F607" s="32"/>
      <c r="G607" s="32"/>
      <c r="H607" s="32"/>
      <c r="I607" s="32"/>
      <c r="J607" s="32"/>
      <c r="K607" s="32"/>
      <c r="L607" s="32"/>
    </row>
    <row r="608" spans="5:12" ht="25.5" customHeight="1">
      <c r="E608" s="32"/>
      <c r="F608" s="32"/>
      <c r="G608" s="32"/>
      <c r="H608" s="32"/>
      <c r="I608" s="32"/>
      <c r="J608" s="32"/>
      <c r="K608" s="32"/>
      <c r="L608" s="32"/>
    </row>
    <row r="609" spans="5:12" ht="25.5" customHeight="1">
      <c r="E609" s="32"/>
      <c r="F609" s="32"/>
      <c r="G609" s="32"/>
      <c r="H609" s="32"/>
      <c r="I609" s="32"/>
      <c r="J609" s="32"/>
      <c r="K609" s="32"/>
      <c r="L609" s="32"/>
    </row>
    <row r="610" spans="5:12" ht="25.5" customHeight="1">
      <c r="E610" s="32"/>
      <c r="F610" s="32"/>
      <c r="G610" s="32"/>
      <c r="H610" s="32"/>
      <c r="I610" s="32"/>
      <c r="J610" s="32"/>
      <c r="K610" s="32"/>
      <c r="L610" s="32"/>
    </row>
    <row r="611" spans="5:12" ht="25.5" customHeight="1">
      <c r="E611" s="32"/>
      <c r="F611" s="32"/>
      <c r="G611" s="32"/>
      <c r="H611" s="32"/>
      <c r="I611" s="32"/>
      <c r="J611" s="32"/>
      <c r="K611" s="32"/>
      <c r="L611" s="32"/>
    </row>
    <row r="612" spans="5:12" ht="25.5" customHeight="1">
      <c r="E612" s="32"/>
      <c r="F612" s="32"/>
      <c r="G612" s="32"/>
      <c r="H612" s="32"/>
      <c r="I612" s="32"/>
      <c r="J612" s="32"/>
      <c r="K612" s="32"/>
      <c r="L612" s="32"/>
    </row>
    <row r="613" spans="5:12" ht="25.5" customHeight="1">
      <c r="E613" s="32"/>
      <c r="F613" s="32"/>
      <c r="G613" s="32"/>
      <c r="H613" s="32"/>
      <c r="I613" s="32"/>
      <c r="J613" s="32"/>
      <c r="K613" s="32"/>
      <c r="L613" s="32"/>
    </row>
    <row r="614" spans="5:12" ht="25.5" customHeight="1">
      <c r="E614" s="32"/>
      <c r="F614" s="32"/>
      <c r="G614" s="32"/>
      <c r="H614" s="32"/>
      <c r="I614" s="32"/>
      <c r="J614" s="32"/>
      <c r="K614" s="32"/>
      <c r="L614" s="32"/>
    </row>
    <row r="615" spans="5:12" ht="25.5" customHeight="1">
      <c r="E615" s="32"/>
      <c r="F615" s="32"/>
      <c r="G615" s="32"/>
      <c r="H615" s="32"/>
      <c r="I615" s="32"/>
      <c r="J615" s="32"/>
      <c r="K615" s="32"/>
      <c r="L615" s="32"/>
    </row>
    <row r="616" spans="5:12" ht="25.5" customHeight="1">
      <c r="E616" s="32"/>
      <c r="F616" s="32"/>
      <c r="G616" s="32"/>
      <c r="H616" s="32"/>
      <c r="I616" s="32"/>
      <c r="J616" s="32"/>
      <c r="K616" s="32"/>
      <c r="L616" s="32"/>
    </row>
    <row r="617" spans="5:12" ht="25.5" customHeight="1">
      <c r="E617" s="32"/>
      <c r="F617" s="32"/>
      <c r="G617" s="32"/>
      <c r="H617" s="32"/>
      <c r="I617" s="32"/>
      <c r="J617" s="32"/>
      <c r="K617" s="32"/>
      <c r="L617" s="32"/>
    </row>
    <row r="618" spans="5:12" ht="25.5" customHeight="1">
      <c r="E618" s="32"/>
      <c r="F618" s="32"/>
      <c r="G618" s="32"/>
      <c r="H618" s="32"/>
      <c r="I618" s="32"/>
      <c r="J618" s="32"/>
      <c r="K618" s="32"/>
      <c r="L618" s="32"/>
    </row>
    <row r="619" spans="5:12" ht="25.5" customHeight="1">
      <c r="E619" s="32"/>
      <c r="F619" s="32"/>
      <c r="G619" s="32"/>
      <c r="H619" s="32"/>
      <c r="I619" s="32"/>
      <c r="J619" s="32"/>
      <c r="K619" s="32"/>
      <c r="L619" s="32"/>
    </row>
    <row r="620" spans="5:12" ht="25.5" customHeight="1">
      <c r="E620" s="32"/>
      <c r="F620" s="32"/>
      <c r="G620" s="32"/>
      <c r="H620" s="32"/>
      <c r="I620" s="32"/>
      <c r="J620" s="32"/>
      <c r="K620" s="32"/>
      <c r="L620" s="32"/>
    </row>
    <row r="621" spans="5:12" ht="25.5" customHeight="1">
      <c r="E621" s="32"/>
      <c r="F621" s="32"/>
      <c r="G621" s="32"/>
      <c r="H621" s="32"/>
      <c r="I621" s="32"/>
      <c r="J621" s="32"/>
      <c r="K621" s="32"/>
      <c r="L621" s="32"/>
    </row>
    <row r="622" spans="5:12" ht="25.5" customHeight="1">
      <c r="E622" s="32"/>
      <c r="F622" s="32"/>
      <c r="G622" s="32"/>
      <c r="H622" s="32"/>
      <c r="I622" s="32"/>
      <c r="J622" s="32"/>
      <c r="K622" s="32"/>
      <c r="L622" s="32"/>
    </row>
    <row r="623" spans="5:12" ht="25.5" customHeight="1">
      <c r="E623" s="32"/>
      <c r="F623" s="32"/>
      <c r="G623" s="32"/>
      <c r="H623" s="32"/>
      <c r="I623" s="32"/>
      <c r="J623" s="32"/>
      <c r="K623" s="32"/>
      <c r="L623" s="32"/>
    </row>
    <row r="624" spans="5:12" ht="25.5" customHeight="1">
      <c r="E624" s="32"/>
      <c r="F624" s="32"/>
      <c r="G624" s="32"/>
      <c r="H624" s="32"/>
      <c r="I624" s="32"/>
      <c r="J624" s="32"/>
      <c r="K624" s="32"/>
      <c r="L624" s="32"/>
    </row>
    <row r="625" spans="5:12" ht="25.5" customHeight="1">
      <c r="E625" s="32"/>
      <c r="F625" s="32"/>
      <c r="G625" s="32"/>
      <c r="H625" s="32"/>
      <c r="I625" s="32"/>
      <c r="J625" s="32"/>
      <c r="K625" s="32"/>
      <c r="L625" s="32"/>
    </row>
    <row r="626" spans="5:12" ht="25.5" customHeight="1">
      <c r="E626" s="32"/>
      <c r="F626" s="32"/>
      <c r="G626" s="32"/>
      <c r="H626" s="32"/>
      <c r="I626" s="32"/>
      <c r="J626" s="32"/>
      <c r="K626" s="32"/>
      <c r="L626" s="32"/>
    </row>
    <row r="627" spans="5:12" ht="25.5" customHeight="1">
      <c r="E627" s="32"/>
      <c r="F627" s="32"/>
      <c r="G627" s="32"/>
      <c r="H627" s="32"/>
      <c r="I627" s="32"/>
      <c r="J627" s="32"/>
      <c r="K627" s="32"/>
      <c r="L627" s="32"/>
    </row>
    <row r="628" spans="5:12" ht="25.5" customHeight="1">
      <c r="E628" s="32"/>
      <c r="F628" s="32"/>
      <c r="G628" s="32"/>
      <c r="H628" s="32"/>
      <c r="I628" s="32"/>
      <c r="J628" s="32"/>
      <c r="K628" s="32"/>
      <c r="L628" s="32"/>
    </row>
    <row r="629" spans="5:12" ht="25.5" customHeight="1">
      <c r="E629" s="32"/>
      <c r="F629" s="32"/>
      <c r="G629" s="32"/>
      <c r="H629" s="32"/>
      <c r="I629" s="32"/>
      <c r="J629" s="32"/>
      <c r="K629" s="32"/>
      <c r="L629" s="32"/>
    </row>
    <row r="630" spans="5:12" ht="25.5" customHeight="1">
      <c r="E630" s="32"/>
      <c r="F630" s="32"/>
      <c r="G630" s="32"/>
      <c r="H630" s="32"/>
      <c r="I630" s="32"/>
      <c r="J630" s="32"/>
      <c r="K630" s="32"/>
      <c r="L630" s="32"/>
    </row>
    <row r="631" spans="5:12" ht="25.5" customHeight="1">
      <c r="E631" s="32"/>
      <c r="F631" s="32"/>
      <c r="G631" s="32"/>
      <c r="H631" s="32"/>
      <c r="I631" s="32"/>
      <c r="J631" s="32"/>
      <c r="K631" s="32"/>
      <c r="L631" s="32"/>
    </row>
    <row r="632" spans="5:12" ht="25.5" customHeight="1">
      <c r="E632" s="32"/>
      <c r="F632" s="32"/>
      <c r="G632" s="32"/>
      <c r="H632" s="32"/>
      <c r="I632" s="32"/>
      <c r="J632" s="32"/>
      <c r="K632" s="32"/>
      <c r="L632" s="32"/>
    </row>
    <row r="633" spans="5:12" ht="25.5" customHeight="1">
      <c r="E633" s="32"/>
      <c r="F633" s="32"/>
      <c r="G633" s="32"/>
      <c r="H633" s="32"/>
      <c r="I633" s="32"/>
      <c r="J633" s="32"/>
      <c r="K633" s="32"/>
      <c r="L633" s="32"/>
    </row>
    <row r="634" spans="5:12" ht="25.5" customHeight="1">
      <c r="E634" s="32"/>
      <c r="F634" s="32"/>
      <c r="G634" s="32"/>
      <c r="H634" s="32"/>
      <c r="I634" s="32"/>
      <c r="J634" s="32"/>
      <c r="K634" s="32"/>
      <c r="L634" s="32"/>
    </row>
    <row r="635" spans="5:12" ht="25.5" customHeight="1">
      <c r="E635" s="32"/>
      <c r="F635" s="32"/>
      <c r="G635" s="32"/>
      <c r="H635" s="32"/>
      <c r="I635" s="32"/>
      <c r="J635" s="32"/>
      <c r="K635" s="32"/>
      <c r="L635" s="32"/>
    </row>
    <row r="636" spans="5:12" ht="25.5" customHeight="1">
      <c r="E636" s="32"/>
      <c r="F636" s="32"/>
      <c r="G636" s="32"/>
      <c r="H636" s="32"/>
      <c r="I636" s="32"/>
      <c r="J636" s="32"/>
      <c r="K636" s="32"/>
      <c r="L636" s="32"/>
    </row>
    <row r="637" spans="5:12" ht="25.5" customHeight="1">
      <c r="E637" s="32"/>
      <c r="F637" s="32"/>
      <c r="G637" s="32"/>
      <c r="H637" s="32"/>
      <c r="I637" s="32"/>
      <c r="J637" s="32"/>
      <c r="K637" s="32"/>
      <c r="L637" s="32"/>
    </row>
    <row r="638" spans="5:12" ht="25.5" customHeight="1">
      <c r="E638" s="32"/>
      <c r="F638" s="32"/>
      <c r="G638" s="32"/>
      <c r="H638" s="32"/>
      <c r="I638" s="32"/>
      <c r="J638" s="32"/>
      <c r="K638" s="32"/>
      <c r="L638" s="32"/>
    </row>
    <row r="639" spans="5:12" ht="25.5" customHeight="1">
      <c r="E639" s="32"/>
      <c r="F639" s="32"/>
      <c r="G639" s="32"/>
      <c r="H639" s="32"/>
      <c r="I639" s="32"/>
      <c r="J639" s="32"/>
      <c r="K639" s="32"/>
      <c r="L639" s="32"/>
    </row>
    <row r="640" spans="5:12" ht="25.5" customHeight="1">
      <c r="E640" s="32"/>
      <c r="F640" s="32"/>
      <c r="G640" s="32"/>
      <c r="H640" s="32"/>
      <c r="I640" s="32"/>
      <c r="J640" s="32"/>
      <c r="K640" s="32"/>
      <c r="L640" s="32"/>
    </row>
    <row r="641" spans="5:12" ht="25.5" customHeight="1">
      <c r="E641" s="32"/>
      <c r="F641" s="32"/>
      <c r="G641" s="32"/>
      <c r="H641" s="32"/>
      <c r="I641" s="32"/>
      <c r="J641" s="32"/>
      <c r="K641" s="32"/>
      <c r="L641" s="32"/>
    </row>
    <row r="642" spans="5:12" ht="25.5" customHeight="1">
      <c r="E642" s="32"/>
      <c r="F642" s="32"/>
      <c r="G642" s="32"/>
      <c r="H642" s="32"/>
      <c r="I642" s="32"/>
      <c r="J642" s="32"/>
      <c r="K642" s="32"/>
      <c r="L642" s="32"/>
    </row>
    <row r="643" spans="5:12" ht="25.5" customHeight="1">
      <c r="E643" s="32"/>
      <c r="F643" s="32"/>
      <c r="G643" s="32"/>
      <c r="H643" s="32"/>
      <c r="I643" s="32"/>
      <c r="J643" s="32"/>
      <c r="K643" s="32"/>
      <c r="L643" s="32"/>
    </row>
    <row r="644" spans="5:12" ht="25.5" customHeight="1">
      <c r="E644" s="32"/>
      <c r="F644" s="32"/>
      <c r="G644" s="32"/>
      <c r="H644" s="32"/>
      <c r="I644" s="32"/>
      <c r="J644" s="32"/>
      <c r="K644" s="32"/>
      <c r="L644" s="32"/>
    </row>
    <row r="645" spans="5:12" ht="25.5" customHeight="1">
      <c r="E645" s="32"/>
      <c r="F645" s="32"/>
      <c r="G645" s="32"/>
      <c r="H645" s="32"/>
      <c r="I645" s="32"/>
      <c r="J645" s="32"/>
      <c r="K645" s="32"/>
      <c r="L645" s="32"/>
    </row>
    <row r="646" spans="5:12" ht="25.5" customHeight="1">
      <c r="E646" s="32"/>
      <c r="F646" s="32"/>
      <c r="G646" s="32"/>
      <c r="H646" s="32"/>
      <c r="I646" s="32"/>
      <c r="J646" s="32"/>
      <c r="K646" s="32"/>
      <c r="L646" s="32"/>
    </row>
    <row r="647" spans="5:12" ht="25.5" customHeight="1">
      <c r="E647" s="32"/>
      <c r="F647" s="32"/>
      <c r="G647" s="32"/>
      <c r="H647" s="32"/>
      <c r="I647" s="32"/>
      <c r="J647" s="32"/>
      <c r="K647" s="32"/>
      <c r="L647" s="32"/>
    </row>
    <row r="648" spans="5:12" ht="25.5" customHeight="1">
      <c r="E648" s="32"/>
      <c r="F648" s="32"/>
      <c r="G648" s="32"/>
      <c r="H648" s="32"/>
      <c r="I648" s="32"/>
      <c r="J648" s="32"/>
      <c r="K648" s="32"/>
      <c r="L648" s="32"/>
    </row>
    <row r="649" spans="5:12" ht="25.5" customHeight="1">
      <c r="E649" s="32"/>
      <c r="F649" s="32"/>
      <c r="G649" s="32"/>
      <c r="H649" s="32"/>
      <c r="I649" s="32"/>
      <c r="J649" s="32"/>
      <c r="K649" s="32"/>
      <c r="L649" s="32"/>
    </row>
    <row r="650" spans="5:12" ht="25.5" customHeight="1">
      <c r="E650" s="32"/>
      <c r="F650" s="32"/>
      <c r="G650" s="32"/>
      <c r="H650" s="32"/>
      <c r="I650" s="32"/>
      <c r="J650" s="32"/>
      <c r="K650" s="32"/>
      <c r="L650" s="32"/>
    </row>
    <row r="651" spans="5:12" ht="25.5" customHeight="1">
      <c r="E651" s="32"/>
      <c r="F651" s="32"/>
      <c r="G651" s="32"/>
      <c r="H651" s="32"/>
      <c r="I651" s="32"/>
      <c r="J651" s="32"/>
      <c r="K651" s="32"/>
      <c r="L651" s="32"/>
    </row>
    <row r="652" spans="5:12" ht="25.5" customHeight="1">
      <c r="E652" s="32"/>
      <c r="F652" s="32"/>
      <c r="G652" s="32"/>
      <c r="H652" s="32"/>
      <c r="I652" s="32"/>
      <c r="J652" s="32"/>
      <c r="K652" s="32"/>
      <c r="L652" s="32"/>
    </row>
    <row r="653" spans="5:12" ht="25.5" customHeight="1">
      <c r="E653" s="32"/>
      <c r="F653" s="32"/>
      <c r="G653" s="32"/>
      <c r="H653" s="32"/>
      <c r="I653" s="32"/>
      <c r="J653" s="32"/>
      <c r="K653" s="32"/>
      <c r="L653" s="32"/>
    </row>
    <row r="654" spans="5:12" ht="25.5" customHeight="1">
      <c r="E654" s="32"/>
      <c r="F654" s="32"/>
      <c r="G654" s="32"/>
      <c r="H654" s="32"/>
      <c r="I654" s="32"/>
      <c r="J654" s="32"/>
      <c r="K654" s="32"/>
      <c r="L654" s="32"/>
    </row>
    <row r="655" spans="5:12" ht="25.5" customHeight="1">
      <c r="E655" s="32"/>
      <c r="F655" s="32"/>
      <c r="G655" s="32"/>
      <c r="H655" s="32"/>
      <c r="I655" s="32"/>
      <c r="J655" s="32"/>
      <c r="K655" s="32"/>
      <c r="L655" s="32"/>
    </row>
    <row r="656" spans="5:12" ht="25.5" customHeight="1">
      <c r="E656" s="32"/>
      <c r="F656" s="32"/>
      <c r="G656" s="32"/>
      <c r="H656" s="32"/>
      <c r="I656" s="32"/>
      <c r="J656" s="32"/>
      <c r="K656" s="32"/>
      <c r="L656" s="32"/>
    </row>
    <row r="657" spans="5:12" ht="25.5" customHeight="1">
      <c r="E657" s="32"/>
      <c r="F657" s="32"/>
      <c r="G657" s="32"/>
      <c r="H657" s="32"/>
      <c r="I657" s="32"/>
      <c r="J657" s="32"/>
      <c r="K657" s="32"/>
      <c r="L657" s="32"/>
    </row>
    <row r="658" spans="5:12" ht="25.5" customHeight="1">
      <c r="E658" s="32"/>
      <c r="F658" s="32"/>
      <c r="G658" s="32"/>
      <c r="H658" s="32"/>
      <c r="I658" s="32"/>
      <c r="J658" s="32"/>
      <c r="K658" s="32"/>
      <c r="L658" s="32"/>
    </row>
    <row r="659" spans="5:12" ht="25.5" customHeight="1">
      <c r="E659" s="32"/>
      <c r="F659" s="32"/>
      <c r="G659" s="32"/>
      <c r="H659" s="32"/>
      <c r="I659" s="32"/>
      <c r="J659" s="32"/>
      <c r="K659" s="32"/>
      <c r="L659" s="32"/>
    </row>
    <row r="660" spans="5:12" ht="25.5" customHeight="1">
      <c r="E660" s="32"/>
      <c r="F660" s="32"/>
      <c r="G660" s="32"/>
      <c r="H660" s="32"/>
      <c r="I660" s="32"/>
      <c r="J660" s="32"/>
      <c r="K660" s="32"/>
      <c r="L660" s="32"/>
    </row>
    <row r="661" spans="5:12" ht="25.5" customHeight="1">
      <c r="E661" s="32"/>
      <c r="F661" s="32"/>
      <c r="G661" s="32"/>
      <c r="H661" s="32"/>
      <c r="I661" s="32"/>
      <c r="J661" s="32"/>
      <c r="K661" s="32"/>
      <c r="L661" s="32"/>
    </row>
    <row r="662" spans="5:12" ht="25.5" customHeight="1">
      <c r="E662" s="32"/>
      <c r="F662" s="32"/>
      <c r="G662" s="32"/>
      <c r="H662" s="32"/>
      <c r="I662" s="32"/>
      <c r="J662" s="32"/>
      <c r="K662" s="32"/>
      <c r="L662" s="32"/>
    </row>
    <row r="663" spans="5:12" ht="25.5" customHeight="1">
      <c r="E663" s="32"/>
      <c r="F663" s="32"/>
      <c r="G663" s="32"/>
      <c r="H663" s="32"/>
      <c r="I663" s="32"/>
      <c r="J663" s="32"/>
      <c r="K663" s="32"/>
      <c r="L663" s="32"/>
    </row>
    <row r="664" spans="5:12" ht="25.5" customHeight="1">
      <c r="E664" s="32"/>
      <c r="F664" s="32"/>
      <c r="G664" s="32"/>
      <c r="H664" s="32"/>
      <c r="I664" s="32"/>
      <c r="J664" s="32"/>
      <c r="K664" s="32"/>
      <c r="L664" s="32"/>
    </row>
    <row r="665" spans="5:12" ht="25.5" customHeight="1">
      <c r="E665" s="32"/>
      <c r="F665" s="32"/>
      <c r="G665" s="32"/>
      <c r="H665" s="32"/>
      <c r="I665" s="32"/>
      <c r="J665" s="32"/>
      <c r="K665" s="32"/>
      <c r="L665" s="32"/>
    </row>
    <row r="666" spans="5:12" ht="25.5" customHeight="1">
      <c r="E666" s="32"/>
      <c r="F666" s="32"/>
      <c r="G666" s="32"/>
      <c r="H666" s="32"/>
      <c r="I666" s="32"/>
      <c r="J666" s="32"/>
      <c r="K666" s="32"/>
      <c r="L666" s="32"/>
    </row>
    <row r="667" spans="5:12" ht="25.5" customHeight="1">
      <c r="E667" s="32"/>
      <c r="F667" s="32"/>
      <c r="G667" s="32"/>
      <c r="H667" s="32"/>
      <c r="I667" s="32"/>
      <c r="J667" s="32"/>
      <c r="K667" s="32"/>
      <c r="L667" s="32"/>
    </row>
    <row r="668" spans="5:12" ht="25.5" customHeight="1">
      <c r="E668" s="32"/>
      <c r="F668" s="32"/>
      <c r="G668" s="32"/>
      <c r="H668" s="32"/>
      <c r="I668" s="32"/>
      <c r="J668" s="32"/>
      <c r="K668" s="32"/>
      <c r="L668" s="32"/>
    </row>
    <row r="669" spans="5:12" ht="25.5" customHeight="1">
      <c r="E669" s="32"/>
      <c r="F669" s="32"/>
      <c r="G669" s="32"/>
      <c r="H669" s="32"/>
      <c r="I669" s="32"/>
      <c r="J669" s="32"/>
      <c r="K669" s="32"/>
      <c r="L669" s="32"/>
    </row>
    <row r="670" spans="5:12" ht="25.5" customHeight="1">
      <c r="E670" s="32"/>
      <c r="F670" s="32"/>
      <c r="G670" s="32"/>
      <c r="H670" s="32"/>
      <c r="I670" s="32"/>
      <c r="J670" s="32"/>
      <c r="K670" s="32"/>
      <c r="L670" s="32"/>
    </row>
    <row r="671" spans="5:12" ht="25.5" customHeight="1">
      <c r="E671" s="32"/>
      <c r="F671" s="32"/>
      <c r="G671" s="32"/>
      <c r="H671" s="32"/>
      <c r="I671" s="32"/>
      <c r="J671" s="32"/>
      <c r="K671" s="32"/>
      <c r="L671" s="32"/>
    </row>
    <row r="672" spans="5:12" ht="25.5" customHeight="1">
      <c r="E672" s="32"/>
      <c r="F672" s="32"/>
      <c r="G672" s="32"/>
      <c r="H672" s="32"/>
      <c r="I672" s="32"/>
      <c r="J672" s="32"/>
      <c r="K672" s="32"/>
      <c r="L672" s="32"/>
    </row>
    <row r="673" spans="5:12" ht="25.5" customHeight="1">
      <c r="E673" s="32"/>
      <c r="F673" s="32"/>
      <c r="G673" s="32"/>
      <c r="H673" s="32"/>
      <c r="I673" s="32"/>
      <c r="J673" s="32"/>
      <c r="K673" s="32"/>
      <c r="L673" s="32"/>
    </row>
    <row r="674" spans="5:12" ht="25.5" customHeight="1">
      <c r="E674" s="32"/>
      <c r="F674" s="32"/>
      <c r="G674" s="32"/>
      <c r="H674" s="32"/>
      <c r="I674" s="32"/>
      <c r="J674" s="32"/>
      <c r="K674" s="32"/>
      <c r="L674" s="32"/>
    </row>
    <row r="675" spans="5:12" ht="25.5" customHeight="1">
      <c r="E675" s="32"/>
      <c r="F675" s="32"/>
      <c r="G675" s="32"/>
      <c r="H675" s="32"/>
      <c r="I675" s="32"/>
      <c r="J675" s="32"/>
      <c r="K675" s="32"/>
      <c r="L675" s="32"/>
    </row>
    <row r="676" spans="5:12" ht="25.5" customHeight="1">
      <c r="E676" s="32"/>
      <c r="F676" s="32"/>
      <c r="G676" s="32"/>
      <c r="H676" s="32"/>
      <c r="I676" s="32"/>
      <c r="J676" s="32"/>
      <c r="K676" s="32"/>
      <c r="L676" s="32"/>
    </row>
    <row r="677" spans="5:12" ht="25.5" customHeight="1">
      <c r="E677" s="32"/>
      <c r="F677" s="32"/>
      <c r="G677" s="32"/>
      <c r="H677" s="32"/>
      <c r="I677" s="32"/>
      <c r="J677" s="32"/>
      <c r="K677" s="32"/>
      <c r="L677" s="32"/>
    </row>
    <row r="678" spans="5:12" ht="25.5" customHeight="1">
      <c r="E678" s="32"/>
      <c r="F678" s="32"/>
      <c r="G678" s="32"/>
      <c r="H678" s="32"/>
      <c r="I678" s="32"/>
      <c r="J678" s="32"/>
      <c r="K678" s="32"/>
      <c r="L678" s="32"/>
    </row>
    <row r="679" spans="5:12" ht="25.5" customHeight="1">
      <c r="E679" s="32"/>
      <c r="F679" s="32"/>
      <c r="G679" s="32"/>
      <c r="H679" s="32"/>
      <c r="I679" s="32"/>
      <c r="J679" s="32"/>
      <c r="K679" s="32"/>
      <c r="L679" s="32"/>
    </row>
    <row r="680" spans="5:12" ht="25.5" customHeight="1">
      <c r="E680" s="32"/>
      <c r="F680" s="32"/>
      <c r="G680" s="32"/>
      <c r="H680" s="32"/>
      <c r="I680" s="32"/>
      <c r="J680" s="32"/>
      <c r="K680" s="32"/>
      <c r="L680" s="32"/>
    </row>
    <row r="681" spans="5:12" ht="25.5" customHeight="1">
      <c r="E681" s="32"/>
      <c r="F681" s="32"/>
      <c r="G681" s="32"/>
      <c r="H681" s="32"/>
      <c r="I681" s="32"/>
      <c r="J681" s="32"/>
      <c r="K681" s="32"/>
      <c r="L681" s="32"/>
    </row>
    <row r="682" spans="5:12" ht="25.5" customHeight="1">
      <c r="E682" s="32"/>
      <c r="F682" s="32"/>
      <c r="G682" s="32"/>
      <c r="H682" s="32"/>
      <c r="I682" s="32"/>
      <c r="J682" s="32"/>
      <c r="K682" s="32"/>
      <c r="L682" s="32"/>
    </row>
    <row r="683" spans="5:12" ht="25.5" customHeight="1">
      <c r="E683" s="32"/>
      <c r="F683" s="32"/>
      <c r="G683" s="32"/>
      <c r="H683" s="32"/>
      <c r="I683" s="32"/>
      <c r="J683" s="32"/>
      <c r="K683" s="32"/>
      <c r="L683" s="32"/>
    </row>
    <row r="684" spans="5:12" ht="25.5" customHeight="1">
      <c r="E684" s="32"/>
      <c r="F684" s="32"/>
      <c r="G684" s="32"/>
      <c r="H684" s="32"/>
      <c r="I684" s="32"/>
      <c r="J684" s="32"/>
      <c r="K684" s="32"/>
      <c r="L684" s="32"/>
    </row>
    <row r="685" spans="5:12" ht="25.5" customHeight="1">
      <c r="E685" s="32"/>
      <c r="F685" s="32"/>
      <c r="G685" s="32"/>
      <c r="H685" s="32"/>
      <c r="I685" s="32"/>
      <c r="J685" s="32"/>
      <c r="K685" s="32"/>
      <c r="L685" s="32"/>
    </row>
    <row r="686" spans="5:12" ht="25.5" customHeight="1">
      <c r="E686" s="32"/>
      <c r="F686" s="32"/>
      <c r="G686" s="32"/>
      <c r="H686" s="32"/>
      <c r="I686" s="32"/>
      <c r="J686" s="32"/>
      <c r="K686" s="32"/>
      <c r="L686" s="32"/>
    </row>
    <row r="687" spans="5:12" ht="25.5" customHeight="1">
      <c r="E687" s="32"/>
      <c r="F687" s="32"/>
      <c r="G687" s="32"/>
      <c r="H687" s="32"/>
      <c r="I687" s="32"/>
      <c r="J687" s="32"/>
      <c r="K687" s="32"/>
      <c r="L687" s="32"/>
    </row>
    <row r="688" spans="5:12" ht="25.5" customHeight="1">
      <c r="E688" s="32"/>
      <c r="F688" s="32"/>
      <c r="G688" s="32"/>
      <c r="H688" s="32"/>
      <c r="I688" s="32"/>
      <c r="J688" s="32"/>
      <c r="K688" s="32"/>
      <c r="L688" s="32"/>
    </row>
    <row r="689" spans="5:12" ht="25.5" customHeight="1">
      <c r="E689" s="32"/>
      <c r="F689" s="32"/>
      <c r="G689" s="32"/>
      <c r="H689" s="32"/>
      <c r="I689" s="32"/>
      <c r="J689" s="32"/>
      <c r="K689" s="32"/>
      <c r="L689" s="32"/>
    </row>
    <row r="690" spans="5:12" ht="25.5" customHeight="1">
      <c r="E690" s="32"/>
      <c r="F690" s="32"/>
      <c r="G690" s="32"/>
      <c r="H690" s="32"/>
      <c r="I690" s="32"/>
      <c r="J690" s="32"/>
      <c r="K690" s="32"/>
      <c r="L690" s="32"/>
    </row>
    <row r="691" spans="5:12" ht="25.5" customHeight="1">
      <c r="E691" s="32"/>
      <c r="F691" s="32"/>
      <c r="G691" s="32"/>
      <c r="H691" s="32"/>
      <c r="I691" s="32"/>
      <c r="J691" s="32"/>
      <c r="K691" s="32"/>
      <c r="L691" s="32"/>
    </row>
    <row r="692" spans="5:12" ht="25.5" customHeight="1">
      <c r="E692" s="32"/>
      <c r="F692" s="32"/>
      <c r="G692" s="32"/>
      <c r="H692" s="32"/>
      <c r="I692" s="32"/>
      <c r="J692" s="32"/>
      <c r="K692" s="32"/>
      <c r="L692" s="32"/>
    </row>
    <row r="693" spans="5:12" ht="25.5" customHeight="1">
      <c r="E693" s="32"/>
      <c r="F693" s="32"/>
      <c r="G693" s="32"/>
      <c r="H693" s="32"/>
      <c r="I693" s="32"/>
      <c r="J693" s="32"/>
      <c r="K693" s="32"/>
      <c r="L693" s="32"/>
    </row>
    <row r="694" spans="5:12" ht="25.5" customHeight="1">
      <c r="E694" s="32"/>
      <c r="F694" s="32"/>
      <c r="G694" s="32"/>
      <c r="H694" s="32"/>
      <c r="I694" s="32"/>
      <c r="J694" s="32"/>
      <c r="K694" s="32"/>
      <c r="L694" s="32"/>
    </row>
    <row r="695" spans="5:12" ht="25.5" customHeight="1">
      <c r="E695" s="32"/>
      <c r="F695" s="32"/>
      <c r="G695" s="32"/>
      <c r="H695" s="32"/>
      <c r="I695" s="32"/>
      <c r="J695" s="32"/>
      <c r="K695" s="32"/>
      <c r="L695" s="32"/>
    </row>
    <row r="696" spans="5:12" ht="25.5" customHeight="1">
      <c r="E696" s="32"/>
      <c r="F696" s="32"/>
      <c r="G696" s="32"/>
      <c r="H696" s="32"/>
      <c r="I696" s="32"/>
      <c r="J696" s="32"/>
      <c r="K696" s="32"/>
      <c r="L696" s="32"/>
    </row>
    <row r="697" spans="5:12" ht="25.5" customHeight="1">
      <c r="E697" s="32"/>
      <c r="F697" s="32"/>
      <c r="G697" s="32"/>
      <c r="H697" s="32"/>
      <c r="I697" s="32"/>
      <c r="J697" s="32"/>
      <c r="K697" s="32"/>
      <c r="L697" s="32"/>
    </row>
    <row r="698" spans="5:12" ht="25.5" customHeight="1">
      <c r="E698" s="32"/>
      <c r="F698" s="32"/>
      <c r="G698" s="32"/>
      <c r="H698" s="32"/>
      <c r="I698" s="32"/>
      <c r="J698" s="32"/>
      <c r="K698" s="32"/>
      <c r="L698" s="32"/>
    </row>
    <row r="699" spans="5:12" ht="25.5" customHeight="1">
      <c r="E699" s="32"/>
      <c r="F699" s="32"/>
      <c r="G699" s="32"/>
      <c r="H699" s="32"/>
      <c r="I699" s="32"/>
      <c r="J699" s="32"/>
      <c r="K699" s="32"/>
      <c r="L699" s="32"/>
    </row>
    <row r="700" spans="5:12" ht="25.5" customHeight="1">
      <c r="E700" s="32"/>
      <c r="F700" s="32"/>
      <c r="G700" s="32"/>
      <c r="H700" s="32"/>
      <c r="I700" s="32"/>
      <c r="J700" s="32"/>
      <c r="K700" s="32"/>
      <c r="L700" s="32"/>
    </row>
    <row r="701" spans="5:12" ht="25.5" customHeight="1">
      <c r="E701" s="32"/>
      <c r="F701" s="32"/>
      <c r="G701" s="32"/>
      <c r="H701" s="32"/>
      <c r="I701" s="32"/>
      <c r="J701" s="32"/>
      <c r="K701" s="32"/>
      <c r="L701" s="32"/>
    </row>
    <row r="702" spans="5:12" ht="25.5" customHeight="1">
      <c r="E702" s="32"/>
      <c r="F702" s="32"/>
      <c r="G702" s="32"/>
      <c r="H702" s="32"/>
      <c r="I702" s="32"/>
      <c r="J702" s="32"/>
      <c r="K702" s="32"/>
      <c r="L702" s="32"/>
    </row>
    <row r="703" spans="5:12" ht="25.5" customHeight="1">
      <c r="E703" s="32"/>
      <c r="F703" s="32"/>
      <c r="G703" s="32"/>
      <c r="H703" s="32"/>
      <c r="I703" s="32"/>
      <c r="J703" s="32"/>
      <c r="K703" s="32"/>
      <c r="L703" s="32"/>
    </row>
    <row r="704" spans="5:12" ht="25.5" customHeight="1">
      <c r="E704" s="32"/>
      <c r="F704" s="32"/>
      <c r="G704" s="32"/>
      <c r="H704" s="32"/>
      <c r="I704" s="32"/>
      <c r="J704" s="32"/>
      <c r="K704" s="32"/>
      <c r="L704" s="32"/>
    </row>
    <row r="705" spans="5:12" ht="25.5" customHeight="1">
      <c r="E705" s="32"/>
      <c r="F705" s="32"/>
      <c r="G705" s="32"/>
      <c r="H705" s="32"/>
      <c r="I705" s="32"/>
      <c r="J705" s="32"/>
      <c r="K705" s="32"/>
      <c r="L705" s="32"/>
    </row>
    <row r="706" spans="5:12" ht="25.5" customHeight="1">
      <c r="E706" s="32"/>
      <c r="F706" s="32"/>
      <c r="G706" s="32"/>
      <c r="H706" s="32"/>
      <c r="I706" s="32"/>
      <c r="J706" s="32"/>
      <c r="K706" s="32"/>
      <c r="L706" s="32"/>
    </row>
    <row r="707" spans="5:12" ht="25.5" customHeight="1">
      <c r="E707" s="32"/>
      <c r="F707" s="32"/>
      <c r="G707" s="32"/>
      <c r="H707" s="32"/>
      <c r="I707" s="32"/>
      <c r="J707" s="32"/>
      <c r="K707" s="32"/>
      <c r="L707" s="32"/>
    </row>
    <row r="708" spans="5:12" ht="25.5" customHeight="1">
      <c r="E708" s="32"/>
      <c r="F708" s="32"/>
      <c r="G708" s="32"/>
      <c r="H708" s="32"/>
      <c r="I708" s="32"/>
      <c r="J708" s="32"/>
      <c r="K708" s="32"/>
      <c r="L708" s="32"/>
    </row>
    <row r="709" spans="5:12" ht="25.5" customHeight="1">
      <c r="E709" s="32"/>
      <c r="F709" s="32"/>
      <c r="G709" s="32"/>
      <c r="H709" s="32"/>
      <c r="I709" s="32"/>
      <c r="J709" s="32"/>
      <c r="K709" s="32"/>
      <c r="L709" s="32"/>
    </row>
    <row r="710" spans="5:12" ht="25.5" customHeight="1">
      <c r="E710" s="32"/>
      <c r="F710" s="32"/>
      <c r="G710" s="32"/>
      <c r="H710" s="32"/>
      <c r="I710" s="32"/>
      <c r="J710" s="32"/>
      <c r="K710" s="32"/>
      <c r="L710" s="32"/>
    </row>
    <row r="711" spans="5:12" ht="25.5" customHeight="1">
      <c r="E711" s="32"/>
      <c r="F711" s="32"/>
      <c r="G711" s="32"/>
      <c r="H711" s="32"/>
      <c r="I711" s="32"/>
      <c r="J711" s="32"/>
      <c r="K711" s="32"/>
      <c r="L711" s="32"/>
    </row>
    <row r="712" spans="5:12" ht="25.5" customHeight="1">
      <c r="E712" s="32"/>
      <c r="F712" s="32"/>
      <c r="G712" s="32"/>
      <c r="H712" s="32"/>
      <c r="I712" s="32"/>
      <c r="J712" s="32"/>
      <c r="K712" s="32"/>
      <c r="L712" s="32"/>
    </row>
    <row r="713" spans="5:12" ht="25.5" customHeight="1">
      <c r="E713" s="32"/>
      <c r="F713" s="32"/>
      <c r="G713" s="32"/>
      <c r="H713" s="32"/>
      <c r="I713" s="32"/>
      <c r="J713" s="32"/>
      <c r="K713" s="32"/>
      <c r="L713" s="32"/>
    </row>
    <row r="714" spans="5:12" ht="25.5" customHeight="1">
      <c r="E714" s="32"/>
      <c r="F714" s="32"/>
      <c r="G714" s="32"/>
      <c r="H714" s="32"/>
      <c r="I714" s="32"/>
      <c r="J714" s="32"/>
      <c r="K714" s="32"/>
      <c r="L714" s="32"/>
    </row>
    <row r="715" spans="5:12" ht="25.5" customHeight="1">
      <c r="E715" s="32"/>
      <c r="F715" s="32"/>
      <c r="G715" s="32"/>
      <c r="H715" s="32"/>
      <c r="I715" s="32"/>
      <c r="J715" s="32"/>
      <c r="K715" s="32"/>
      <c r="L715" s="32"/>
    </row>
    <row r="716" spans="5:12" ht="25.5" customHeight="1">
      <c r="E716" s="32"/>
      <c r="F716" s="32"/>
      <c r="G716" s="32"/>
      <c r="H716" s="32"/>
      <c r="I716" s="32"/>
      <c r="J716" s="32"/>
      <c r="K716" s="32"/>
      <c r="L716" s="32"/>
    </row>
    <row r="717" spans="5:12" ht="25.5" customHeight="1">
      <c r="E717" s="32"/>
      <c r="F717" s="32"/>
      <c r="G717" s="32"/>
      <c r="H717" s="32"/>
      <c r="I717" s="32"/>
      <c r="J717" s="32"/>
      <c r="K717" s="32"/>
      <c r="L717" s="32"/>
    </row>
    <row r="718" spans="5:12" ht="25.5" customHeight="1">
      <c r="E718" s="32"/>
      <c r="F718" s="32"/>
      <c r="G718" s="32"/>
      <c r="H718" s="32"/>
      <c r="I718" s="32"/>
      <c r="J718" s="32"/>
      <c r="K718" s="32"/>
      <c r="L718" s="32"/>
    </row>
    <row r="719" spans="5:12" ht="25.5" customHeight="1">
      <c r="E719" s="32"/>
      <c r="F719" s="32"/>
      <c r="G719" s="32"/>
      <c r="H719" s="32"/>
      <c r="I719" s="32"/>
      <c r="J719" s="32"/>
      <c r="K719" s="32"/>
      <c r="L719" s="32"/>
    </row>
    <row r="720" spans="5:12" ht="25.5" customHeight="1">
      <c r="E720" s="32"/>
      <c r="F720" s="32"/>
      <c r="G720" s="32"/>
      <c r="H720" s="32"/>
      <c r="I720" s="32"/>
      <c r="J720" s="32"/>
      <c r="K720" s="32"/>
      <c r="L720" s="32"/>
    </row>
    <row r="721" spans="5:12" ht="25.5" customHeight="1">
      <c r="E721" s="32"/>
      <c r="F721" s="32"/>
      <c r="G721" s="32"/>
      <c r="H721" s="32"/>
      <c r="I721" s="32"/>
      <c r="J721" s="32"/>
      <c r="K721" s="32"/>
      <c r="L721" s="32"/>
    </row>
    <row r="722" spans="5:12" ht="25.5" customHeight="1">
      <c r="E722" s="32"/>
      <c r="F722" s="32"/>
      <c r="G722" s="32"/>
      <c r="H722" s="32"/>
      <c r="I722" s="32"/>
      <c r="J722" s="32"/>
      <c r="K722" s="32"/>
      <c r="L722" s="32"/>
    </row>
    <row r="723" spans="5:12" ht="25.5" customHeight="1">
      <c r="E723" s="32"/>
      <c r="F723" s="32"/>
      <c r="G723" s="32"/>
      <c r="H723" s="32"/>
      <c r="I723" s="32"/>
      <c r="J723" s="32"/>
      <c r="K723" s="32"/>
      <c r="L723" s="32"/>
    </row>
    <row r="724" spans="5:12" ht="25.5" customHeight="1">
      <c r="E724" s="32"/>
      <c r="F724" s="32"/>
      <c r="G724" s="32"/>
      <c r="H724" s="32"/>
      <c r="I724" s="32"/>
      <c r="J724" s="32"/>
      <c r="K724" s="32"/>
      <c r="L724" s="32"/>
    </row>
    <row r="725" spans="5:12" ht="25.5" customHeight="1">
      <c r="E725" s="32"/>
      <c r="F725" s="32"/>
      <c r="G725" s="32"/>
      <c r="H725" s="32"/>
      <c r="I725" s="32"/>
      <c r="J725" s="32"/>
      <c r="K725" s="32"/>
      <c r="L725" s="32"/>
    </row>
    <row r="726" spans="5:12" ht="25.5" customHeight="1">
      <c r="E726" s="32"/>
      <c r="F726" s="32"/>
      <c r="G726" s="32"/>
      <c r="H726" s="32"/>
      <c r="I726" s="32"/>
      <c r="J726" s="32"/>
      <c r="K726" s="32"/>
      <c r="L726" s="32"/>
    </row>
    <row r="727" spans="5:12" ht="25.5" customHeight="1">
      <c r="E727" s="32"/>
      <c r="F727" s="32"/>
      <c r="G727" s="32"/>
      <c r="H727" s="32"/>
      <c r="I727" s="32"/>
      <c r="J727" s="32"/>
      <c r="K727" s="32"/>
      <c r="L727" s="32"/>
    </row>
    <row r="728" spans="5:12" ht="25.5" customHeight="1">
      <c r="E728" s="32"/>
      <c r="F728" s="32"/>
      <c r="G728" s="32"/>
      <c r="H728" s="32"/>
      <c r="I728" s="32"/>
      <c r="J728" s="32"/>
      <c r="K728" s="32"/>
      <c r="L728" s="32"/>
    </row>
    <row r="729" spans="5:12" ht="25.5" customHeight="1">
      <c r="E729" s="32"/>
      <c r="F729" s="32"/>
      <c r="G729" s="32"/>
      <c r="H729" s="32"/>
      <c r="I729" s="32"/>
      <c r="J729" s="32"/>
      <c r="K729" s="32"/>
      <c r="L729" s="32"/>
    </row>
    <row r="730" spans="5:12" ht="25.5" customHeight="1">
      <c r="E730" s="32"/>
      <c r="F730" s="32"/>
      <c r="G730" s="32"/>
      <c r="H730" s="32"/>
      <c r="I730" s="32"/>
      <c r="J730" s="32"/>
      <c r="K730" s="32"/>
      <c r="L730" s="32"/>
    </row>
    <row r="731" spans="5:12" ht="25.5" customHeight="1">
      <c r="E731" s="32"/>
      <c r="F731" s="32"/>
      <c r="G731" s="32"/>
      <c r="H731" s="32"/>
      <c r="I731" s="32"/>
      <c r="J731" s="32"/>
      <c r="K731" s="32"/>
      <c r="L731" s="32"/>
    </row>
    <row r="732" spans="5:12" ht="25.5" customHeight="1">
      <c r="E732" s="32"/>
      <c r="F732" s="32"/>
      <c r="G732" s="32"/>
      <c r="H732" s="32"/>
      <c r="I732" s="32"/>
      <c r="J732" s="32"/>
      <c r="K732" s="32"/>
      <c r="L732" s="32"/>
    </row>
    <row r="733" spans="5:12" ht="25.5" customHeight="1">
      <c r="E733" s="32"/>
      <c r="F733" s="32"/>
      <c r="G733" s="32"/>
      <c r="H733" s="32"/>
      <c r="I733" s="32"/>
      <c r="J733" s="32"/>
      <c r="K733" s="32"/>
      <c r="L733" s="32"/>
    </row>
    <row r="734" spans="5:12" ht="25.5" customHeight="1">
      <c r="E734" s="32"/>
      <c r="F734" s="32"/>
      <c r="G734" s="32"/>
      <c r="H734" s="32"/>
      <c r="I734" s="32"/>
      <c r="J734" s="32"/>
      <c r="K734" s="32"/>
      <c r="L734" s="32"/>
    </row>
    <row r="735" spans="5:12" ht="25.5" customHeight="1">
      <c r="E735" s="32"/>
      <c r="F735" s="32"/>
      <c r="G735" s="32"/>
      <c r="H735" s="32"/>
      <c r="I735" s="32"/>
      <c r="J735" s="32"/>
      <c r="K735" s="32"/>
      <c r="L735" s="32"/>
    </row>
    <row r="736" spans="5:12" ht="25.5" customHeight="1">
      <c r="E736" s="32"/>
      <c r="F736" s="32"/>
      <c r="G736" s="32"/>
      <c r="H736" s="32"/>
      <c r="I736" s="32"/>
      <c r="J736" s="32"/>
      <c r="K736" s="32"/>
      <c r="L736" s="32"/>
    </row>
    <row r="737" spans="5:12" ht="25.5" customHeight="1">
      <c r="E737" s="32"/>
      <c r="F737" s="32"/>
      <c r="G737" s="32"/>
      <c r="H737" s="32"/>
      <c r="I737" s="32"/>
      <c r="J737" s="32"/>
      <c r="K737" s="32"/>
      <c r="L737" s="32"/>
    </row>
    <row r="738" spans="5:12" ht="25.5" customHeight="1">
      <c r="E738" s="32"/>
      <c r="F738" s="32"/>
      <c r="G738" s="32"/>
      <c r="H738" s="32"/>
      <c r="I738" s="32"/>
      <c r="J738" s="32"/>
      <c r="K738" s="32"/>
      <c r="L738" s="32"/>
    </row>
    <row r="739" spans="5:12" ht="25.5" customHeight="1">
      <c r="E739" s="32"/>
      <c r="F739" s="32"/>
      <c r="G739" s="32"/>
      <c r="H739" s="32"/>
      <c r="I739" s="32"/>
      <c r="J739" s="32"/>
      <c r="K739" s="32"/>
      <c r="L739" s="32"/>
    </row>
    <row r="740" spans="5:12" ht="25.5" customHeight="1">
      <c r="E740" s="32"/>
      <c r="F740" s="32"/>
      <c r="G740" s="32"/>
      <c r="H740" s="32"/>
      <c r="I740" s="32"/>
      <c r="J740" s="32"/>
      <c r="K740" s="32"/>
      <c r="L740" s="32"/>
    </row>
    <row r="741" spans="5:12" ht="25.5" customHeight="1">
      <c r="E741" s="32"/>
      <c r="F741" s="32"/>
      <c r="G741" s="32"/>
      <c r="H741" s="32"/>
      <c r="I741" s="32"/>
      <c r="J741" s="32"/>
      <c r="K741" s="32"/>
      <c r="L741" s="32"/>
    </row>
    <row r="742" spans="5:12" ht="25.5" customHeight="1">
      <c r="E742" s="32"/>
      <c r="F742" s="32"/>
      <c r="G742" s="32"/>
      <c r="H742" s="32"/>
      <c r="I742" s="32"/>
      <c r="J742" s="32"/>
      <c r="K742" s="32"/>
      <c r="L742" s="32"/>
    </row>
    <row r="743" spans="5:12" ht="25.5" customHeight="1">
      <c r="E743" s="32"/>
      <c r="F743" s="32"/>
      <c r="G743" s="32"/>
      <c r="H743" s="32"/>
      <c r="I743" s="32"/>
      <c r="J743" s="32"/>
      <c r="K743" s="32"/>
      <c r="L743" s="32"/>
    </row>
    <row r="744" spans="5:12" ht="25.5" customHeight="1">
      <c r="E744" s="32"/>
      <c r="F744" s="32"/>
      <c r="G744" s="32"/>
      <c r="H744" s="32"/>
      <c r="I744" s="32"/>
      <c r="J744" s="32"/>
      <c r="K744" s="32"/>
      <c r="L744" s="32"/>
    </row>
    <row r="745" spans="5:12" ht="25.5" customHeight="1">
      <c r="E745" s="32"/>
      <c r="F745" s="32"/>
      <c r="G745" s="32"/>
      <c r="H745" s="32"/>
      <c r="I745" s="32"/>
      <c r="J745" s="32"/>
      <c r="K745" s="32"/>
      <c r="L745" s="32"/>
    </row>
    <row r="746" spans="5:12" ht="25.5" customHeight="1">
      <c r="E746" s="32"/>
      <c r="F746" s="32"/>
      <c r="G746" s="32"/>
      <c r="H746" s="32"/>
      <c r="I746" s="32"/>
      <c r="J746" s="32"/>
      <c r="K746" s="32"/>
      <c r="L746" s="32"/>
    </row>
    <row r="747" spans="5:12" ht="25.5" customHeight="1">
      <c r="E747" s="32"/>
      <c r="F747" s="32"/>
      <c r="G747" s="32"/>
      <c r="H747" s="32"/>
      <c r="I747" s="32"/>
      <c r="J747" s="32"/>
      <c r="K747" s="32"/>
      <c r="L747" s="32"/>
    </row>
    <row r="748" spans="5:12" ht="25.5" customHeight="1">
      <c r="E748" s="32"/>
      <c r="F748" s="32"/>
      <c r="G748" s="32"/>
      <c r="H748" s="32"/>
      <c r="I748" s="32"/>
      <c r="J748" s="32"/>
      <c r="K748" s="32"/>
      <c r="L748" s="32"/>
    </row>
    <row r="749" spans="5:12" ht="25.5" customHeight="1">
      <c r="E749" s="32"/>
      <c r="F749" s="32"/>
      <c r="G749" s="32"/>
      <c r="H749" s="32"/>
      <c r="I749" s="32"/>
      <c r="J749" s="32"/>
      <c r="K749" s="32"/>
      <c r="L749" s="32"/>
    </row>
    <row r="750" spans="5:12" ht="25.5" customHeight="1">
      <c r="E750" s="32"/>
      <c r="F750" s="32"/>
      <c r="G750" s="32"/>
      <c r="H750" s="32"/>
      <c r="I750" s="32"/>
      <c r="J750" s="32"/>
      <c r="K750" s="32"/>
      <c r="L750" s="32"/>
    </row>
    <row r="751" spans="5:12" ht="25.5" customHeight="1">
      <c r="E751" s="32"/>
      <c r="F751" s="32"/>
      <c r="G751" s="32"/>
      <c r="H751" s="32"/>
      <c r="I751" s="32"/>
      <c r="J751" s="32"/>
      <c r="K751" s="32"/>
      <c r="L751" s="32"/>
    </row>
    <row r="752" spans="5:12" ht="25.5" customHeight="1">
      <c r="E752" s="32"/>
      <c r="F752" s="32"/>
      <c r="G752" s="32"/>
      <c r="H752" s="32"/>
      <c r="I752" s="32"/>
      <c r="J752" s="32"/>
      <c r="K752" s="32"/>
      <c r="L752" s="32"/>
    </row>
    <row r="753" spans="5:12" ht="25.5" customHeight="1">
      <c r="E753" s="32"/>
      <c r="F753" s="32"/>
      <c r="G753" s="32"/>
      <c r="H753" s="32"/>
      <c r="I753" s="32"/>
      <c r="J753" s="32"/>
      <c r="K753" s="32"/>
      <c r="L753" s="32"/>
    </row>
    <row r="754" spans="5:12" ht="25.5" customHeight="1">
      <c r="E754" s="32"/>
      <c r="F754" s="32"/>
      <c r="G754" s="32"/>
      <c r="H754" s="32"/>
      <c r="I754" s="32"/>
      <c r="J754" s="32"/>
      <c r="K754" s="32"/>
      <c r="L754" s="32"/>
    </row>
    <row r="755" spans="5:12" ht="25.5" customHeight="1">
      <c r="E755" s="32"/>
      <c r="F755" s="32"/>
      <c r="G755" s="32"/>
      <c r="H755" s="32"/>
      <c r="I755" s="32"/>
      <c r="J755" s="32"/>
      <c r="K755" s="32"/>
      <c r="L755" s="32"/>
    </row>
    <row r="756" spans="5:12" ht="25.5" customHeight="1">
      <c r="E756" s="32"/>
      <c r="F756" s="32"/>
      <c r="G756" s="32"/>
      <c r="H756" s="32"/>
      <c r="I756" s="32"/>
      <c r="J756" s="32"/>
      <c r="K756" s="32"/>
      <c r="L756" s="32"/>
    </row>
    <row r="757" spans="5:12" ht="25.5" customHeight="1">
      <c r="E757" s="32"/>
      <c r="F757" s="32"/>
      <c r="G757" s="32"/>
      <c r="H757" s="32"/>
      <c r="I757" s="32"/>
      <c r="J757" s="32"/>
      <c r="K757" s="32"/>
      <c r="L757" s="32"/>
    </row>
    <row r="758" spans="5:12" ht="25.5" customHeight="1">
      <c r="E758" s="32"/>
      <c r="F758" s="32"/>
      <c r="G758" s="32"/>
      <c r="H758" s="32"/>
      <c r="I758" s="32"/>
      <c r="J758" s="32"/>
      <c r="K758" s="32"/>
      <c r="L758" s="32"/>
    </row>
    <row r="759" spans="5:12" ht="25.5" customHeight="1">
      <c r="E759" s="32"/>
      <c r="F759" s="32"/>
      <c r="G759" s="32"/>
      <c r="H759" s="32"/>
      <c r="I759" s="32"/>
      <c r="J759" s="32"/>
      <c r="K759" s="32"/>
      <c r="L759" s="32"/>
    </row>
    <row r="760" spans="5:12" ht="25.5" customHeight="1">
      <c r="E760" s="32"/>
      <c r="F760" s="32"/>
      <c r="G760" s="32"/>
      <c r="H760" s="32"/>
      <c r="I760" s="32"/>
      <c r="J760" s="32"/>
      <c r="K760" s="32"/>
      <c r="L760" s="32"/>
    </row>
    <row r="761" spans="5:12" ht="25.5" customHeight="1">
      <c r="E761" s="32"/>
      <c r="F761" s="32"/>
      <c r="G761" s="32"/>
      <c r="H761" s="32"/>
      <c r="I761" s="32"/>
      <c r="J761" s="32"/>
      <c r="K761" s="32"/>
      <c r="L761" s="32"/>
    </row>
    <row r="762" spans="5:12" ht="25.5" customHeight="1">
      <c r="E762" s="32"/>
      <c r="F762" s="32"/>
      <c r="G762" s="32"/>
      <c r="H762" s="32"/>
      <c r="I762" s="32"/>
      <c r="J762" s="32"/>
      <c r="K762" s="32"/>
      <c r="L762" s="32"/>
    </row>
    <row r="763" spans="5:12" ht="25.5" customHeight="1">
      <c r="E763" s="32"/>
      <c r="F763" s="32"/>
      <c r="G763" s="32"/>
      <c r="H763" s="32"/>
      <c r="I763" s="32"/>
      <c r="J763" s="32"/>
      <c r="K763" s="32"/>
      <c r="L763" s="32"/>
    </row>
    <row r="764" spans="5:12" ht="25.5" customHeight="1">
      <c r="E764" s="32"/>
      <c r="F764" s="32"/>
      <c r="G764" s="32"/>
      <c r="H764" s="32"/>
      <c r="I764" s="32"/>
      <c r="J764" s="32"/>
      <c r="K764" s="32"/>
      <c r="L764" s="32"/>
    </row>
    <row r="765" spans="5:12" ht="25.5" customHeight="1">
      <c r="E765" s="32"/>
      <c r="F765" s="32"/>
      <c r="G765" s="32"/>
      <c r="H765" s="32"/>
      <c r="I765" s="32"/>
      <c r="J765" s="32"/>
      <c r="K765" s="32"/>
      <c r="L765" s="32"/>
    </row>
    <row r="766" spans="5:12" ht="25.5" customHeight="1">
      <c r="E766" s="32"/>
      <c r="F766" s="32"/>
      <c r="G766" s="32"/>
      <c r="H766" s="32"/>
      <c r="I766" s="32"/>
      <c r="J766" s="32"/>
      <c r="K766" s="32"/>
      <c r="L766" s="32"/>
    </row>
    <row r="767" spans="5:12" ht="25.5" customHeight="1">
      <c r="E767" s="32"/>
      <c r="F767" s="32"/>
      <c r="G767" s="32"/>
      <c r="H767" s="32"/>
      <c r="I767" s="32"/>
      <c r="J767" s="32"/>
      <c r="K767" s="32"/>
      <c r="L767" s="32"/>
    </row>
    <row r="768" spans="5:12" ht="25.5" customHeight="1">
      <c r="E768" s="32"/>
      <c r="F768" s="32"/>
      <c r="G768" s="32"/>
      <c r="H768" s="32"/>
      <c r="I768" s="32"/>
      <c r="J768" s="32"/>
      <c r="K768" s="32"/>
      <c r="L768" s="32"/>
    </row>
    <row r="769" spans="5:12" ht="25.5" customHeight="1">
      <c r="E769" s="32"/>
      <c r="F769" s="32"/>
      <c r="G769" s="32"/>
      <c r="H769" s="32"/>
      <c r="I769" s="32"/>
      <c r="J769" s="32"/>
      <c r="K769" s="32"/>
      <c r="L769" s="32"/>
    </row>
    <row r="770" spans="5:12" ht="25.5" customHeight="1">
      <c r="E770" s="32"/>
      <c r="F770" s="32"/>
      <c r="G770" s="32"/>
      <c r="H770" s="32"/>
      <c r="I770" s="32"/>
      <c r="J770" s="32"/>
      <c r="K770" s="32"/>
      <c r="L770" s="32"/>
    </row>
    <row r="771" spans="5:12" ht="25.5" customHeight="1">
      <c r="E771" s="32"/>
      <c r="F771" s="32"/>
      <c r="G771" s="32"/>
      <c r="H771" s="32"/>
      <c r="I771" s="32"/>
      <c r="J771" s="32"/>
      <c r="K771" s="32"/>
      <c r="L771" s="32"/>
    </row>
    <row r="772" spans="5:12" ht="25.5" customHeight="1">
      <c r="E772" s="32"/>
      <c r="F772" s="32"/>
      <c r="G772" s="32"/>
      <c r="H772" s="32"/>
      <c r="I772" s="32"/>
      <c r="J772" s="32"/>
      <c r="K772" s="32"/>
      <c r="L772" s="32"/>
    </row>
    <row r="773" spans="5:12" ht="25.5" customHeight="1">
      <c r="E773" s="32"/>
      <c r="F773" s="32"/>
      <c r="G773" s="32"/>
      <c r="H773" s="32"/>
      <c r="I773" s="32"/>
      <c r="J773" s="32"/>
      <c r="K773" s="32"/>
      <c r="L773" s="32"/>
    </row>
    <row r="774" spans="5:12" ht="25.5" customHeight="1">
      <c r="E774" s="32"/>
      <c r="F774" s="32"/>
      <c r="G774" s="32"/>
      <c r="H774" s="32"/>
      <c r="I774" s="32"/>
      <c r="J774" s="32"/>
      <c r="K774" s="32"/>
      <c r="L774" s="32"/>
    </row>
    <row r="775" spans="5:12" ht="25.5" customHeight="1">
      <c r="E775" s="32"/>
      <c r="F775" s="32"/>
      <c r="G775" s="32"/>
      <c r="H775" s="32"/>
      <c r="I775" s="32"/>
      <c r="J775" s="32"/>
      <c r="K775" s="32"/>
      <c r="L775" s="32"/>
    </row>
    <row r="776" spans="5:12" ht="25.5" customHeight="1">
      <c r="E776" s="32"/>
      <c r="F776" s="32"/>
      <c r="G776" s="32"/>
      <c r="H776" s="32"/>
      <c r="I776" s="32"/>
      <c r="J776" s="32"/>
      <c r="K776" s="32"/>
      <c r="L776" s="32"/>
    </row>
    <row r="777" spans="5:12" ht="25.5" customHeight="1">
      <c r="E777" s="32"/>
      <c r="F777" s="32"/>
      <c r="G777" s="32"/>
      <c r="H777" s="32"/>
      <c r="I777" s="32"/>
      <c r="J777" s="32"/>
      <c r="K777" s="32"/>
      <c r="L777" s="32"/>
    </row>
    <row r="778" spans="5:12" ht="25.5" customHeight="1">
      <c r="E778" s="32"/>
      <c r="F778" s="32"/>
      <c r="G778" s="32"/>
      <c r="H778" s="32"/>
      <c r="I778" s="32"/>
      <c r="J778" s="32"/>
      <c r="K778" s="32"/>
      <c r="L778" s="32"/>
    </row>
    <row r="779" spans="5:12" ht="25.5" customHeight="1">
      <c r="E779" s="32"/>
      <c r="F779" s="32"/>
      <c r="G779" s="32"/>
      <c r="H779" s="32"/>
      <c r="I779" s="32"/>
      <c r="J779" s="32"/>
      <c r="K779" s="32"/>
      <c r="L779" s="32"/>
    </row>
    <row r="780" spans="5:12" ht="25.5" customHeight="1">
      <c r="E780" s="32"/>
      <c r="F780" s="32"/>
      <c r="G780" s="32"/>
      <c r="H780" s="32"/>
      <c r="I780" s="32"/>
      <c r="J780" s="32"/>
      <c r="K780" s="32"/>
      <c r="L780" s="32"/>
    </row>
    <row r="781" spans="5:12" ht="25.5" customHeight="1">
      <c r="E781" s="32"/>
      <c r="F781" s="32"/>
      <c r="G781" s="32"/>
      <c r="H781" s="32"/>
      <c r="I781" s="32"/>
      <c r="J781" s="32"/>
      <c r="K781" s="32"/>
      <c r="L781" s="32"/>
    </row>
    <row r="782" spans="5:12" ht="25.5" customHeight="1">
      <c r="E782" s="32"/>
      <c r="F782" s="32"/>
      <c r="G782" s="32"/>
      <c r="H782" s="32"/>
      <c r="I782" s="32"/>
      <c r="J782" s="32"/>
      <c r="K782" s="32"/>
      <c r="L782" s="32"/>
    </row>
    <row r="783" spans="5:12" ht="25.5" customHeight="1">
      <c r="E783" s="32"/>
      <c r="F783" s="32"/>
      <c r="G783" s="32"/>
      <c r="H783" s="32"/>
      <c r="I783" s="32"/>
      <c r="J783" s="32"/>
      <c r="K783" s="32"/>
      <c r="L783" s="32"/>
    </row>
    <row r="784" spans="5:12" ht="25.5" customHeight="1">
      <c r="E784" s="32"/>
      <c r="F784" s="32"/>
      <c r="G784" s="32"/>
      <c r="H784" s="32"/>
      <c r="I784" s="32"/>
      <c r="J784" s="32"/>
      <c r="K784" s="32"/>
      <c r="L784" s="32"/>
    </row>
    <row r="785" spans="5:12" ht="25.5" customHeight="1">
      <c r="E785" s="32"/>
      <c r="F785" s="32"/>
      <c r="G785" s="32"/>
      <c r="H785" s="32"/>
      <c r="I785" s="32"/>
      <c r="J785" s="32"/>
      <c r="K785" s="32"/>
      <c r="L785" s="32"/>
    </row>
    <row r="786" spans="5:12" ht="25.5" customHeight="1">
      <c r="E786" s="32"/>
      <c r="F786" s="32"/>
      <c r="G786" s="32"/>
      <c r="H786" s="32"/>
      <c r="I786" s="32"/>
      <c r="J786" s="32"/>
      <c r="K786" s="32"/>
      <c r="L786" s="32"/>
    </row>
    <row r="787" spans="5:12" ht="25.5" customHeight="1">
      <c r="E787" s="32"/>
      <c r="F787" s="32"/>
      <c r="G787" s="32"/>
      <c r="H787" s="32"/>
      <c r="I787" s="32"/>
      <c r="J787" s="32"/>
      <c r="K787" s="32"/>
      <c r="L787" s="32"/>
    </row>
    <row r="788" spans="5:12" ht="25.5" customHeight="1">
      <c r="E788" s="32"/>
      <c r="F788" s="32"/>
      <c r="G788" s="32"/>
      <c r="H788" s="32"/>
      <c r="I788" s="32"/>
      <c r="J788" s="32"/>
      <c r="K788" s="32"/>
      <c r="L788" s="32"/>
    </row>
    <row r="789" spans="5:12" ht="25.5" customHeight="1">
      <c r="E789" s="32"/>
      <c r="F789" s="32"/>
      <c r="G789" s="32"/>
      <c r="H789" s="32"/>
      <c r="I789" s="32"/>
      <c r="J789" s="32"/>
      <c r="K789" s="32"/>
      <c r="L789" s="32"/>
    </row>
    <row r="790" spans="5:12" ht="25.5" customHeight="1">
      <c r="E790" s="32"/>
      <c r="F790" s="32"/>
      <c r="G790" s="32"/>
      <c r="H790" s="32"/>
      <c r="I790" s="32"/>
      <c r="J790" s="32"/>
      <c r="K790" s="32"/>
      <c r="L790" s="32"/>
    </row>
    <row r="791" spans="5:12" ht="25.5" customHeight="1">
      <c r="E791" s="32"/>
      <c r="F791" s="32"/>
      <c r="G791" s="32"/>
      <c r="H791" s="32"/>
      <c r="I791" s="32"/>
      <c r="J791" s="32"/>
      <c r="K791" s="32"/>
      <c r="L791" s="32"/>
    </row>
    <row r="792" spans="5:12" ht="25.5" customHeight="1">
      <c r="E792" s="32"/>
      <c r="F792" s="32"/>
      <c r="G792" s="32"/>
      <c r="H792" s="32"/>
      <c r="I792" s="32"/>
      <c r="J792" s="32"/>
      <c r="K792" s="32"/>
      <c r="L792" s="32"/>
    </row>
    <row r="793" spans="5:12" ht="25.5" customHeight="1">
      <c r="E793" s="32"/>
      <c r="F793" s="32"/>
      <c r="G793" s="32"/>
      <c r="H793" s="32"/>
      <c r="I793" s="32"/>
      <c r="J793" s="32"/>
      <c r="K793" s="32"/>
      <c r="L793" s="32"/>
    </row>
    <row r="794" spans="5:12" ht="25.5" customHeight="1">
      <c r="E794" s="32"/>
      <c r="F794" s="32"/>
      <c r="G794" s="32"/>
      <c r="H794" s="32"/>
      <c r="I794" s="32"/>
      <c r="J794" s="32"/>
      <c r="K794" s="32"/>
      <c r="L794" s="32"/>
    </row>
    <row r="795" spans="5:12" ht="25.5" customHeight="1">
      <c r="E795" s="32"/>
      <c r="F795" s="32"/>
      <c r="G795" s="32"/>
      <c r="H795" s="32"/>
      <c r="I795" s="32"/>
      <c r="J795" s="32"/>
      <c r="K795" s="32"/>
      <c r="L795" s="32"/>
    </row>
    <row r="796" spans="5:12" ht="25.5" customHeight="1">
      <c r="E796" s="32"/>
      <c r="F796" s="32"/>
      <c r="G796" s="32"/>
      <c r="H796" s="32"/>
      <c r="I796" s="32"/>
      <c r="J796" s="32"/>
      <c r="K796" s="32"/>
      <c r="L796" s="32"/>
    </row>
    <row r="797" spans="5:12" ht="25.5" customHeight="1">
      <c r="E797" s="32"/>
      <c r="F797" s="32"/>
      <c r="G797" s="32"/>
      <c r="H797" s="32"/>
      <c r="I797" s="32"/>
      <c r="J797" s="32"/>
      <c r="K797" s="32"/>
      <c r="L797" s="32"/>
    </row>
    <row r="798" spans="5:12" ht="25.5" customHeight="1">
      <c r="E798" s="32"/>
      <c r="F798" s="32"/>
      <c r="G798" s="32"/>
      <c r="H798" s="32"/>
      <c r="I798" s="32"/>
      <c r="J798" s="32"/>
      <c r="K798" s="32"/>
      <c r="L798" s="32"/>
    </row>
    <row r="799" spans="5:12" ht="25.5" customHeight="1">
      <c r="E799" s="32"/>
      <c r="F799" s="32"/>
      <c r="G799" s="32"/>
      <c r="H799" s="32"/>
      <c r="I799" s="32"/>
      <c r="J799" s="32"/>
      <c r="K799" s="32"/>
      <c r="L799" s="32"/>
    </row>
    <row r="800" spans="5:12" ht="25.5" customHeight="1">
      <c r="E800" s="32"/>
      <c r="F800" s="32"/>
      <c r="G800" s="32"/>
      <c r="H800" s="32"/>
      <c r="I800" s="32"/>
      <c r="J800" s="32"/>
      <c r="K800" s="32"/>
      <c r="L800" s="32"/>
    </row>
    <row r="801" spans="5:12" ht="25.5" customHeight="1">
      <c r="E801" s="32"/>
      <c r="F801" s="32"/>
      <c r="G801" s="32"/>
      <c r="H801" s="32"/>
      <c r="I801" s="32"/>
      <c r="J801" s="32"/>
      <c r="K801" s="32"/>
      <c r="L801" s="32"/>
    </row>
    <row r="802" spans="5:12" ht="25.5" customHeight="1">
      <c r="E802" s="32"/>
      <c r="F802" s="32"/>
      <c r="G802" s="32"/>
      <c r="H802" s="32"/>
      <c r="I802" s="32"/>
      <c r="J802" s="32"/>
      <c r="K802" s="32"/>
      <c r="L802" s="32"/>
    </row>
    <row r="803" spans="5:12" ht="25.5" customHeight="1">
      <c r="E803" s="32"/>
      <c r="F803" s="32"/>
      <c r="G803" s="32"/>
      <c r="H803" s="32"/>
      <c r="I803" s="32"/>
      <c r="J803" s="32"/>
      <c r="K803" s="32"/>
      <c r="L803" s="32"/>
    </row>
    <row r="804" spans="5:12" ht="25.5" customHeight="1">
      <c r="E804" s="32"/>
      <c r="F804" s="32"/>
      <c r="G804" s="32"/>
      <c r="H804" s="32"/>
      <c r="I804" s="32"/>
      <c r="J804" s="32"/>
      <c r="K804" s="32"/>
      <c r="L804" s="32"/>
    </row>
    <row r="805" spans="5:12" ht="25.5" customHeight="1">
      <c r="E805" s="32"/>
      <c r="F805" s="32"/>
      <c r="G805" s="32"/>
      <c r="H805" s="32"/>
      <c r="I805" s="32"/>
      <c r="J805" s="32"/>
      <c r="K805" s="32"/>
      <c r="L805" s="32"/>
    </row>
    <row r="806" spans="5:12" ht="25.5" customHeight="1">
      <c r="E806" s="32"/>
      <c r="F806" s="32"/>
      <c r="G806" s="32"/>
      <c r="H806" s="32"/>
      <c r="I806" s="32"/>
      <c r="J806" s="32"/>
      <c r="K806" s="32"/>
      <c r="L806" s="32"/>
    </row>
    <row r="807" spans="5:12" ht="25.5" customHeight="1">
      <c r="E807" s="32"/>
      <c r="F807" s="32"/>
      <c r="G807" s="32"/>
      <c r="H807" s="32"/>
      <c r="I807" s="32"/>
      <c r="J807" s="32"/>
      <c r="K807" s="32"/>
      <c r="L807" s="32"/>
    </row>
    <row r="808" spans="5:12" ht="25.5" customHeight="1">
      <c r="E808" s="32"/>
      <c r="F808" s="32"/>
      <c r="G808" s="32"/>
      <c r="H808" s="32"/>
      <c r="I808" s="32"/>
      <c r="J808" s="32"/>
      <c r="K808" s="32"/>
      <c r="L808" s="32"/>
    </row>
    <row r="809" spans="5:12" ht="25.5" customHeight="1">
      <c r="E809" s="32"/>
      <c r="F809" s="32"/>
      <c r="G809" s="32"/>
      <c r="H809" s="32"/>
      <c r="I809" s="32"/>
      <c r="J809" s="32"/>
      <c r="K809" s="32"/>
      <c r="L809" s="32"/>
    </row>
    <row r="810" spans="5:12" ht="25.5" customHeight="1">
      <c r="E810" s="32"/>
      <c r="F810" s="32"/>
      <c r="G810" s="32"/>
      <c r="H810" s="32"/>
      <c r="I810" s="32"/>
      <c r="J810" s="32"/>
      <c r="K810" s="32"/>
      <c r="L810" s="32"/>
    </row>
    <row r="811" spans="5:12" ht="25.5" customHeight="1">
      <c r="E811" s="32"/>
      <c r="F811" s="32"/>
      <c r="G811" s="32"/>
      <c r="H811" s="32"/>
      <c r="I811" s="32"/>
      <c r="J811" s="32"/>
      <c r="K811" s="32"/>
      <c r="L811" s="32"/>
    </row>
    <row r="812" spans="5:12" ht="25.5" customHeight="1">
      <c r="E812" s="32"/>
      <c r="F812" s="32"/>
      <c r="G812" s="32"/>
      <c r="H812" s="32"/>
      <c r="I812" s="32"/>
      <c r="J812" s="32"/>
      <c r="K812" s="32"/>
      <c r="L812" s="32"/>
    </row>
    <row r="813" spans="5:12" ht="25.5" customHeight="1">
      <c r="E813" s="32"/>
      <c r="F813" s="32"/>
      <c r="G813" s="32"/>
      <c r="H813" s="32"/>
      <c r="I813" s="32"/>
      <c r="J813" s="32"/>
      <c r="K813" s="32"/>
      <c r="L813" s="32"/>
    </row>
    <row r="814" spans="5:12" ht="25.5" customHeight="1">
      <c r="E814" s="32"/>
      <c r="F814" s="32"/>
      <c r="G814" s="32"/>
      <c r="H814" s="32"/>
      <c r="I814" s="32"/>
      <c r="J814" s="32"/>
      <c r="K814" s="32"/>
      <c r="L814" s="32"/>
    </row>
    <row r="815" spans="5:12" ht="25.5" customHeight="1">
      <c r="E815" s="32"/>
      <c r="F815" s="32"/>
      <c r="G815" s="32"/>
      <c r="H815" s="32"/>
      <c r="I815" s="32"/>
      <c r="J815" s="32"/>
      <c r="K815" s="32"/>
      <c r="L815" s="32"/>
    </row>
    <row r="816" spans="5:12" ht="25.5" customHeight="1">
      <c r="E816" s="32"/>
      <c r="F816" s="32"/>
      <c r="G816" s="32"/>
      <c r="H816" s="32"/>
      <c r="I816" s="32"/>
      <c r="J816" s="32"/>
      <c r="K816" s="32"/>
      <c r="L816" s="32"/>
    </row>
    <row r="817" spans="5:12" ht="25.5" customHeight="1">
      <c r="E817" s="32"/>
      <c r="F817" s="32"/>
      <c r="G817" s="32"/>
      <c r="H817" s="32"/>
      <c r="I817" s="32"/>
      <c r="J817" s="32"/>
      <c r="K817" s="32"/>
      <c r="L817" s="32"/>
    </row>
    <row r="818" spans="5:12" ht="25.5" customHeight="1">
      <c r="E818" s="32"/>
      <c r="F818" s="32"/>
      <c r="G818" s="32"/>
      <c r="H818" s="32"/>
      <c r="I818" s="32"/>
      <c r="J818" s="32"/>
      <c r="K818" s="32"/>
      <c r="L818" s="32"/>
    </row>
    <row r="819" spans="5:12" ht="25.5" customHeight="1">
      <c r="E819" s="32"/>
      <c r="F819" s="32"/>
      <c r="G819" s="32"/>
      <c r="H819" s="32"/>
      <c r="I819" s="32"/>
      <c r="J819" s="32"/>
      <c r="K819" s="32"/>
      <c r="L819" s="32"/>
    </row>
    <row r="820" spans="5:12" ht="25.5" customHeight="1">
      <c r="E820" s="32"/>
      <c r="F820" s="32"/>
      <c r="G820" s="32"/>
      <c r="H820" s="32"/>
      <c r="I820" s="32"/>
      <c r="J820" s="32"/>
      <c r="K820" s="32"/>
      <c r="L820" s="32"/>
    </row>
    <row r="821" spans="5:12" ht="25.5" customHeight="1">
      <c r="E821" s="32"/>
      <c r="F821" s="32"/>
      <c r="G821" s="32"/>
      <c r="H821" s="32"/>
      <c r="I821" s="32"/>
      <c r="J821" s="32"/>
      <c r="K821" s="32"/>
      <c r="L821" s="32"/>
    </row>
    <row r="822" spans="5:12" ht="25.5" customHeight="1">
      <c r="E822" s="32"/>
      <c r="F822" s="32"/>
      <c r="G822" s="32"/>
      <c r="H822" s="32"/>
      <c r="I822" s="32"/>
      <c r="J822" s="32"/>
      <c r="K822" s="32"/>
      <c r="L822" s="32"/>
    </row>
    <row r="823" spans="5:12" ht="25.5" customHeight="1">
      <c r="E823" s="32"/>
      <c r="F823" s="32"/>
      <c r="G823" s="32"/>
      <c r="H823" s="32"/>
      <c r="I823" s="32"/>
      <c r="J823" s="32"/>
      <c r="K823" s="32"/>
      <c r="L823" s="32"/>
    </row>
    <row r="824" spans="5:12" ht="25.5" customHeight="1">
      <c r="E824" s="32"/>
      <c r="F824" s="32"/>
      <c r="G824" s="32"/>
      <c r="H824" s="32"/>
      <c r="I824" s="32"/>
      <c r="J824" s="32"/>
      <c r="K824" s="32"/>
      <c r="L824" s="32"/>
    </row>
    <row r="825" spans="5:12" ht="25.5" customHeight="1">
      <c r="E825" s="32"/>
      <c r="F825" s="32"/>
      <c r="G825" s="32"/>
      <c r="H825" s="32"/>
      <c r="I825" s="32"/>
      <c r="J825" s="32"/>
      <c r="K825" s="32"/>
      <c r="L825" s="32"/>
    </row>
    <row r="826" spans="5:12" ht="25.5" customHeight="1">
      <c r="E826" s="32"/>
      <c r="F826" s="32"/>
      <c r="G826" s="32"/>
      <c r="H826" s="32"/>
      <c r="I826" s="32"/>
      <c r="J826" s="32"/>
      <c r="K826" s="32"/>
      <c r="L826" s="32"/>
    </row>
    <row r="827" spans="5:12" ht="25.5" customHeight="1">
      <c r="E827" s="32"/>
      <c r="F827" s="32"/>
      <c r="G827" s="32"/>
      <c r="H827" s="32"/>
      <c r="I827" s="32"/>
      <c r="J827" s="32"/>
      <c r="K827" s="32"/>
      <c r="L827" s="32"/>
    </row>
    <row r="828" spans="5:12" ht="25.5" customHeight="1">
      <c r="E828" s="32"/>
      <c r="F828" s="32"/>
      <c r="G828" s="32"/>
      <c r="H828" s="32"/>
      <c r="I828" s="32"/>
      <c r="J828" s="32"/>
      <c r="K828" s="32"/>
      <c r="L828" s="32"/>
    </row>
    <row r="829" spans="5:12" ht="25.5" customHeight="1">
      <c r="E829" s="32"/>
      <c r="F829" s="32"/>
      <c r="G829" s="32"/>
      <c r="H829" s="32"/>
      <c r="I829" s="32"/>
      <c r="J829" s="32"/>
      <c r="K829" s="32"/>
      <c r="L829" s="32"/>
    </row>
    <row r="830" spans="5:12" ht="25.5" customHeight="1">
      <c r="E830" s="32"/>
      <c r="F830" s="32"/>
      <c r="G830" s="32"/>
      <c r="H830" s="32"/>
      <c r="I830" s="32"/>
      <c r="J830" s="32"/>
      <c r="K830" s="32"/>
      <c r="L830" s="32"/>
    </row>
    <row r="831" spans="5:12" ht="25.5" customHeight="1">
      <c r="E831" s="32"/>
      <c r="F831" s="32"/>
      <c r="G831" s="32"/>
      <c r="H831" s="32"/>
      <c r="I831" s="32"/>
      <c r="J831" s="32"/>
      <c r="K831" s="32"/>
      <c r="L831" s="32"/>
    </row>
    <row r="832" spans="5:12" ht="25.5" customHeight="1">
      <c r="E832" s="32"/>
      <c r="F832" s="32"/>
      <c r="G832" s="32"/>
      <c r="H832" s="32"/>
      <c r="I832" s="32"/>
      <c r="J832" s="32"/>
      <c r="K832" s="32"/>
      <c r="L832" s="32"/>
    </row>
    <row r="833" spans="5:12" ht="25.5" customHeight="1">
      <c r="E833" s="32"/>
      <c r="F833" s="32"/>
      <c r="G833" s="32"/>
      <c r="H833" s="32"/>
      <c r="I833" s="32"/>
      <c r="J833" s="32"/>
      <c r="K833" s="32"/>
      <c r="L833" s="32"/>
    </row>
    <row r="834" spans="5:12" ht="25.5" customHeight="1">
      <c r="E834" s="32"/>
      <c r="F834" s="32"/>
      <c r="G834" s="32"/>
      <c r="H834" s="32"/>
      <c r="I834" s="32"/>
      <c r="J834" s="32"/>
      <c r="K834" s="32"/>
      <c r="L834" s="32"/>
    </row>
    <row r="835" spans="5:12" ht="25.5" customHeight="1">
      <c r="E835" s="32"/>
      <c r="F835" s="32"/>
      <c r="G835" s="32"/>
      <c r="H835" s="32"/>
      <c r="I835" s="32"/>
      <c r="J835" s="32"/>
      <c r="K835" s="32"/>
      <c r="L835" s="32"/>
    </row>
    <row r="836" spans="5:12" ht="25.5" customHeight="1">
      <c r="E836" s="32"/>
      <c r="F836" s="32"/>
      <c r="G836" s="32"/>
      <c r="H836" s="32"/>
      <c r="I836" s="32"/>
      <c r="J836" s="32"/>
      <c r="K836" s="32"/>
      <c r="L836" s="32"/>
    </row>
    <row r="837" spans="5:12" ht="25.5" customHeight="1">
      <c r="E837" s="32"/>
      <c r="F837" s="32"/>
      <c r="G837" s="32"/>
      <c r="H837" s="32"/>
      <c r="I837" s="32"/>
      <c r="J837" s="32"/>
      <c r="K837" s="32"/>
      <c r="L837" s="32"/>
    </row>
    <row r="838" spans="5:12" ht="25.5" customHeight="1">
      <c r="E838" s="32"/>
      <c r="F838" s="32"/>
      <c r="G838" s="32"/>
      <c r="H838" s="32"/>
      <c r="I838" s="32"/>
      <c r="J838" s="32"/>
      <c r="K838" s="32"/>
      <c r="L838" s="32"/>
    </row>
    <row r="839" spans="5:12" ht="25.5" customHeight="1">
      <c r="E839" s="32"/>
      <c r="F839" s="32"/>
      <c r="G839" s="32"/>
      <c r="H839" s="32"/>
      <c r="I839" s="32"/>
      <c r="J839" s="32"/>
      <c r="K839" s="32"/>
      <c r="L839" s="32"/>
    </row>
    <row r="840" spans="5:12" ht="25.5" customHeight="1">
      <c r="E840" s="32"/>
      <c r="F840" s="32"/>
      <c r="G840" s="32"/>
      <c r="H840" s="32"/>
      <c r="I840" s="32"/>
      <c r="J840" s="32"/>
      <c r="K840" s="32"/>
      <c r="L840" s="32"/>
    </row>
    <row r="841" spans="5:12" ht="25.5" customHeight="1">
      <c r="E841" s="32"/>
      <c r="F841" s="32"/>
      <c r="G841" s="32"/>
      <c r="H841" s="32"/>
      <c r="I841" s="32"/>
      <c r="J841" s="32"/>
      <c r="K841" s="32"/>
      <c r="L841" s="32"/>
    </row>
    <row r="842" spans="5:12" ht="25.5" customHeight="1">
      <c r="E842" s="32"/>
      <c r="F842" s="32"/>
      <c r="G842" s="32"/>
      <c r="H842" s="32"/>
      <c r="I842" s="32"/>
      <c r="J842" s="32"/>
      <c r="K842" s="32"/>
      <c r="L842" s="32"/>
    </row>
    <row r="843" spans="5:12" ht="25.5" customHeight="1">
      <c r="E843" s="32"/>
      <c r="F843" s="32"/>
      <c r="G843" s="32"/>
      <c r="H843" s="32"/>
      <c r="I843" s="32"/>
      <c r="J843" s="32"/>
      <c r="K843" s="32"/>
      <c r="L843" s="32"/>
    </row>
    <row r="844" spans="5:12" ht="25.5" customHeight="1">
      <c r="E844" s="32"/>
      <c r="F844" s="32"/>
      <c r="G844" s="32"/>
      <c r="H844" s="32"/>
      <c r="I844" s="32"/>
      <c r="J844" s="32"/>
      <c r="K844" s="32"/>
      <c r="L844" s="32"/>
    </row>
    <row r="845" spans="5:12" ht="25.5" customHeight="1">
      <c r="E845" s="32"/>
      <c r="F845" s="32"/>
      <c r="G845" s="32"/>
      <c r="H845" s="32"/>
      <c r="I845" s="32"/>
      <c r="J845" s="32"/>
      <c r="K845" s="32"/>
      <c r="L845" s="32"/>
    </row>
    <row r="846" spans="5:12" ht="25.5" customHeight="1">
      <c r="E846" s="32"/>
      <c r="F846" s="32"/>
      <c r="G846" s="32"/>
      <c r="H846" s="32"/>
      <c r="I846" s="32"/>
      <c r="J846" s="32"/>
      <c r="K846" s="32"/>
      <c r="L846" s="32"/>
    </row>
    <row r="847" spans="5:12" ht="25.5" customHeight="1">
      <c r="E847" s="32"/>
      <c r="F847" s="32"/>
      <c r="G847" s="32"/>
      <c r="H847" s="32"/>
      <c r="I847" s="32"/>
      <c r="J847" s="32"/>
      <c r="K847" s="32"/>
      <c r="L847" s="32"/>
    </row>
    <row r="848" spans="5:12" ht="25.5" customHeight="1">
      <c r="E848" s="32"/>
      <c r="F848" s="32"/>
      <c r="G848" s="32"/>
      <c r="H848" s="32"/>
      <c r="I848" s="32"/>
      <c r="J848" s="32"/>
      <c r="K848" s="32"/>
      <c r="L848" s="32"/>
    </row>
    <row r="849" spans="5:12" ht="25.5" customHeight="1">
      <c r="E849" s="32"/>
      <c r="F849" s="32"/>
      <c r="G849" s="32"/>
      <c r="H849" s="32"/>
      <c r="I849" s="32"/>
      <c r="J849" s="32"/>
      <c r="K849" s="32"/>
      <c r="L849" s="32"/>
    </row>
    <row r="850" spans="5:12" ht="25.5" customHeight="1">
      <c r="E850" s="32"/>
      <c r="F850" s="32"/>
      <c r="G850" s="32"/>
      <c r="H850" s="32"/>
      <c r="I850" s="32"/>
      <c r="J850" s="32"/>
      <c r="K850" s="32"/>
      <c r="L850" s="32"/>
    </row>
    <row r="851" spans="5:12" ht="25.5" customHeight="1">
      <c r="E851" s="32"/>
      <c r="F851" s="32"/>
      <c r="G851" s="32"/>
      <c r="H851" s="32"/>
      <c r="I851" s="32"/>
      <c r="J851" s="32"/>
      <c r="K851" s="32"/>
      <c r="L851" s="32"/>
    </row>
    <row r="852" spans="5:12" ht="25.5" customHeight="1">
      <c r="E852" s="32"/>
      <c r="F852" s="32"/>
      <c r="G852" s="32"/>
      <c r="H852" s="32"/>
      <c r="I852" s="32"/>
      <c r="J852" s="32"/>
      <c r="K852" s="32"/>
      <c r="L852" s="32"/>
    </row>
    <row r="853" spans="5:12" ht="25.5" customHeight="1">
      <c r="E853" s="32"/>
      <c r="F853" s="32"/>
      <c r="G853" s="32"/>
      <c r="H853" s="32"/>
      <c r="I853" s="32"/>
      <c r="J853" s="32"/>
      <c r="K853" s="32"/>
      <c r="L853" s="32"/>
    </row>
    <row r="854" spans="5:12" ht="25.5" customHeight="1">
      <c r="E854" s="32"/>
      <c r="F854" s="32"/>
      <c r="G854" s="32"/>
      <c r="H854" s="32"/>
      <c r="I854" s="32"/>
      <c r="J854" s="32"/>
      <c r="K854" s="32"/>
      <c r="L854" s="32"/>
    </row>
    <row r="855" spans="5:12" ht="25.5" customHeight="1">
      <c r="E855" s="32"/>
      <c r="F855" s="32"/>
      <c r="G855" s="32"/>
      <c r="H855" s="32"/>
      <c r="I855" s="32"/>
      <c r="J855" s="32"/>
      <c r="K855" s="32"/>
      <c r="L855" s="32"/>
    </row>
    <row r="856" spans="5:12" ht="25.5" customHeight="1">
      <c r="E856" s="32"/>
      <c r="F856" s="32"/>
      <c r="G856" s="32"/>
      <c r="H856" s="32"/>
      <c r="I856" s="32"/>
      <c r="J856" s="32"/>
      <c r="K856" s="32"/>
      <c r="L856" s="32"/>
    </row>
    <row r="857" spans="5:12" ht="25.5" customHeight="1">
      <c r="E857" s="32"/>
      <c r="F857" s="32"/>
      <c r="G857" s="32"/>
      <c r="H857" s="32"/>
      <c r="I857" s="32"/>
      <c r="J857" s="32"/>
      <c r="K857" s="32"/>
      <c r="L857" s="32"/>
    </row>
    <row r="858" spans="5:12" ht="25.5" customHeight="1">
      <c r="E858" s="32"/>
      <c r="F858" s="32"/>
      <c r="G858" s="32"/>
      <c r="H858" s="32"/>
      <c r="I858" s="32"/>
      <c r="J858" s="32"/>
      <c r="K858" s="32"/>
      <c r="L858" s="32"/>
    </row>
    <row r="859" spans="5:12" ht="25.5" customHeight="1">
      <c r="E859" s="32"/>
      <c r="F859" s="32"/>
      <c r="G859" s="32"/>
      <c r="H859" s="32"/>
      <c r="I859" s="32"/>
      <c r="J859" s="32"/>
      <c r="K859" s="32"/>
      <c r="L859" s="32"/>
    </row>
    <row r="860" spans="5:12" ht="25.5" customHeight="1">
      <c r="E860" s="32"/>
      <c r="F860" s="32"/>
      <c r="G860" s="32"/>
      <c r="H860" s="32"/>
      <c r="I860" s="32"/>
      <c r="J860" s="32"/>
      <c r="K860" s="32"/>
      <c r="L860" s="32"/>
    </row>
    <row r="861" spans="5:12" ht="25.5" customHeight="1">
      <c r="E861" s="32"/>
      <c r="F861" s="32"/>
      <c r="G861" s="32"/>
      <c r="H861" s="32"/>
      <c r="I861" s="32"/>
      <c r="J861" s="32"/>
      <c r="K861" s="32"/>
      <c r="L861" s="32"/>
    </row>
    <row r="862" spans="5:12" ht="25.5" customHeight="1">
      <c r="E862" s="32"/>
      <c r="F862" s="32"/>
      <c r="G862" s="32"/>
      <c r="H862" s="32"/>
      <c r="I862" s="32"/>
      <c r="J862" s="32"/>
      <c r="K862" s="32"/>
      <c r="L862" s="32"/>
    </row>
    <row r="863" spans="5:12" ht="25.5" customHeight="1">
      <c r="E863" s="32"/>
      <c r="F863" s="32"/>
      <c r="G863" s="32"/>
      <c r="H863" s="32"/>
      <c r="I863" s="32"/>
      <c r="J863" s="32"/>
      <c r="K863" s="32"/>
      <c r="L863" s="32"/>
    </row>
    <row r="864" spans="5:12" ht="25.5" customHeight="1">
      <c r="E864" s="32"/>
      <c r="F864" s="32"/>
      <c r="G864" s="32"/>
      <c r="H864" s="32"/>
      <c r="I864" s="32"/>
      <c r="J864" s="32"/>
      <c r="K864" s="32"/>
      <c r="L864" s="32"/>
    </row>
    <row r="865" spans="5:12" ht="25.5" customHeight="1">
      <c r="E865" s="32"/>
      <c r="F865" s="32"/>
      <c r="G865" s="32"/>
      <c r="H865" s="32"/>
      <c r="I865" s="32"/>
      <c r="J865" s="32"/>
      <c r="K865" s="32"/>
      <c r="L865" s="32"/>
    </row>
    <row r="866" spans="5:12" ht="25.5" customHeight="1">
      <c r="E866" s="32"/>
      <c r="F866" s="32"/>
      <c r="G866" s="32"/>
      <c r="H866" s="32"/>
      <c r="I866" s="32"/>
      <c r="J866" s="32"/>
      <c r="K866" s="32"/>
      <c r="L866" s="32"/>
    </row>
    <row r="867" spans="5:12" ht="25.5" customHeight="1">
      <c r="E867" s="32"/>
      <c r="F867" s="32"/>
      <c r="G867" s="32"/>
      <c r="H867" s="32"/>
      <c r="I867" s="32"/>
      <c r="J867" s="32"/>
      <c r="K867" s="32"/>
      <c r="L867" s="32"/>
    </row>
    <row r="868" spans="5:12" ht="25.5" customHeight="1">
      <c r="E868" s="32"/>
      <c r="F868" s="32"/>
      <c r="G868" s="32"/>
      <c r="H868" s="32"/>
      <c r="I868" s="32"/>
      <c r="J868" s="32"/>
      <c r="K868" s="32"/>
      <c r="L868" s="32"/>
    </row>
    <row r="869" spans="5:12" ht="25.5" customHeight="1">
      <c r="E869" s="32"/>
      <c r="F869" s="32"/>
      <c r="G869" s="32"/>
      <c r="H869" s="32"/>
      <c r="I869" s="32"/>
      <c r="J869" s="32"/>
      <c r="K869" s="32"/>
      <c r="L869" s="32"/>
    </row>
    <row r="870" spans="5:12" ht="25.5" customHeight="1">
      <c r="E870" s="32"/>
      <c r="F870" s="32"/>
      <c r="G870" s="32"/>
      <c r="H870" s="32"/>
      <c r="I870" s="32"/>
      <c r="J870" s="32"/>
      <c r="K870" s="32"/>
      <c r="L870" s="32"/>
    </row>
    <row r="871" spans="5:12" ht="25.5" customHeight="1">
      <c r="E871" s="32"/>
      <c r="F871" s="32"/>
      <c r="G871" s="32"/>
      <c r="H871" s="32"/>
      <c r="I871" s="32"/>
      <c r="J871" s="32"/>
      <c r="K871" s="32"/>
      <c r="L871" s="32"/>
    </row>
    <row r="872" spans="5:12" ht="25.5" customHeight="1">
      <c r="E872" s="32"/>
      <c r="F872" s="32"/>
      <c r="G872" s="32"/>
      <c r="H872" s="32"/>
      <c r="I872" s="32"/>
      <c r="J872" s="32"/>
      <c r="K872" s="32"/>
      <c r="L872" s="32"/>
    </row>
    <row r="873" spans="5:12" ht="25.5" customHeight="1">
      <c r="E873" s="32"/>
      <c r="F873" s="32"/>
      <c r="G873" s="32"/>
      <c r="H873" s="32"/>
      <c r="I873" s="32"/>
      <c r="J873" s="32"/>
      <c r="K873" s="32"/>
      <c r="L873" s="32"/>
    </row>
    <row r="874" spans="5:12" ht="25.5" customHeight="1">
      <c r="E874" s="32"/>
      <c r="F874" s="32"/>
      <c r="G874" s="32"/>
      <c r="H874" s="32"/>
      <c r="I874" s="32"/>
      <c r="J874" s="32"/>
      <c r="K874" s="32"/>
      <c r="L874" s="32"/>
    </row>
    <row r="875" spans="5:12" ht="25.5" customHeight="1">
      <c r="E875" s="32"/>
      <c r="F875" s="32"/>
      <c r="G875" s="32"/>
      <c r="H875" s="32"/>
      <c r="I875" s="32"/>
      <c r="J875" s="32"/>
      <c r="K875" s="32"/>
      <c r="L875" s="32"/>
    </row>
    <row r="876" spans="5:12" ht="25.5" customHeight="1">
      <c r="E876" s="32"/>
      <c r="F876" s="32"/>
      <c r="G876" s="32"/>
      <c r="H876" s="32"/>
      <c r="I876" s="32"/>
      <c r="J876" s="32"/>
      <c r="K876" s="32"/>
      <c r="L876" s="32"/>
    </row>
    <row r="877" spans="5:12" ht="25.5" customHeight="1">
      <c r="E877" s="32"/>
      <c r="F877" s="32"/>
      <c r="G877" s="32"/>
      <c r="H877" s="32"/>
      <c r="I877" s="32"/>
      <c r="J877" s="32"/>
      <c r="K877" s="32"/>
      <c r="L877" s="32"/>
    </row>
    <row r="878" spans="5:12" ht="25.5" customHeight="1">
      <c r="E878" s="32"/>
      <c r="F878" s="32"/>
      <c r="G878" s="32"/>
      <c r="H878" s="32"/>
      <c r="I878" s="32"/>
      <c r="J878" s="32"/>
      <c r="K878" s="32"/>
      <c r="L878" s="32"/>
    </row>
    <row r="879" spans="5:12" ht="25.5" customHeight="1">
      <c r="E879" s="32"/>
      <c r="F879" s="32"/>
      <c r="G879" s="32"/>
      <c r="H879" s="32"/>
      <c r="I879" s="32"/>
      <c r="J879" s="32"/>
      <c r="K879" s="32"/>
      <c r="L879" s="32"/>
    </row>
    <row r="880" spans="5:12" ht="25.5" customHeight="1">
      <c r="E880" s="32"/>
      <c r="F880" s="32"/>
      <c r="G880" s="32"/>
      <c r="H880" s="32"/>
      <c r="I880" s="32"/>
      <c r="J880" s="32"/>
      <c r="K880" s="32"/>
      <c r="L880" s="32"/>
    </row>
    <row r="881" spans="5:12" ht="25.5" customHeight="1">
      <c r="E881" s="32"/>
      <c r="F881" s="32"/>
      <c r="G881" s="32"/>
      <c r="H881" s="32"/>
      <c r="I881" s="32"/>
      <c r="J881" s="32"/>
      <c r="K881" s="32"/>
      <c r="L881" s="32"/>
    </row>
    <row r="882" spans="5:12" ht="25.5" customHeight="1">
      <c r="E882" s="32"/>
      <c r="F882" s="32"/>
      <c r="G882" s="32"/>
      <c r="H882" s="32"/>
      <c r="I882" s="32"/>
      <c r="J882" s="32"/>
      <c r="K882" s="32"/>
      <c r="L882" s="32"/>
    </row>
    <row r="883" spans="5:12" ht="25.5" customHeight="1">
      <c r="E883" s="32"/>
      <c r="F883" s="32"/>
      <c r="G883" s="32"/>
      <c r="H883" s="32"/>
      <c r="I883" s="32"/>
      <c r="J883" s="32"/>
      <c r="K883" s="32"/>
      <c r="L883" s="32"/>
    </row>
    <row r="884" spans="5:12" ht="25.5" customHeight="1">
      <c r="E884" s="32"/>
      <c r="F884" s="32"/>
      <c r="G884" s="32"/>
      <c r="H884" s="32"/>
      <c r="I884" s="32"/>
      <c r="J884" s="32"/>
      <c r="K884" s="32"/>
      <c r="L884" s="32"/>
    </row>
    <row r="885" spans="5:12" ht="25.5" customHeight="1">
      <c r="E885" s="32"/>
      <c r="F885" s="32"/>
      <c r="G885" s="32"/>
      <c r="H885" s="32"/>
      <c r="I885" s="32"/>
      <c r="J885" s="32"/>
      <c r="K885" s="32"/>
      <c r="L885" s="32"/>
    </row>
    <row r="886" spans="5:12" ht="25.5" customHeight="1">
      <c r="E886" s="32"/>
      <c r="F886" s="32"/>
      <c r="G886" s="32"/>
      <c r="H886" s="32"/>
      <c r="I886" s="32"/>
      <c r="J886" s="32"/>
      <c r="K886" s="32"/>
      <c r="L886" s="32"/>
    </row>
    <row r="887" spans="5:12" ht="25.5" customHeight="1">
      <c r="E887" s="32"/>
      <c r="F887" s="32"/>
      <c r="G887" s="32"/>
      <c r="H887" s="32"/>
      <c r="I887" s="32"/>
      <c r="J887" s="32"/>
      <c r="K887" s="32"/>
      <c r="L887" s="32"/>
    </row>
    <row r="888" spans="5:12" ht="25.5" customHeight="1">
      <c r="E888" s="32"/>
      <c r="F888" s="32"/>
      <c r="G888" s="32"/>
      <c r="H888" s="32"/>
      <c r="I888" s="32"/>
      <c r="J888" s="32"/>
      <c r="K888" s="32"/>
      <c r="L888" s="32"/>
    </row>
    <row r="889" spans="5:12" ht="25.5" customHeight="1">
      <c r="E889" s="32"/>
      <c r="F889" s="32"/>
      <c r="G889" s="32"/>
      <c r="H889" s="32"/>
      <c r="I889" s="32"/>
      <c r="J889" s="32"/>
      <c r="K889" s="32"/>
      <c r="L889" s="32"/>
    </row>
    <row r="890" spans="5:12" ht="25.5" customHeight="1">
      <c r="E890" s="32"/>
      <c r="F890" s="32"/>
      <c r="G890" s="32"/>
      <c r="H890" s="32"/>
      <c r="I890" s="32"/>
      <c r="J890" s="32"/>
      <c r="K890" s="32"/>
      <c r="L890" s="32"/>
    </row>
    <row r="891" spans="5:12" ht="25.5" customHeight="1">
      <c r="E891" s="32"/>
      <c r="F891" s="32"/>
      <c r="G891" s="32"/>
      <c r="H891" s="32"/>
      <c r="I891" s="32"/>
      <c r="J891" s="32"/>
      <c r="K891" s="32"/>
      <c r="L891" s="32"/>
    </row>
    <row r="892" spans="5:12" ht="25.5" customHeight="1">
      <c r="E892" s="32"/>
      <c r="F892" s="32"/>
      <c r="G892" s="32"/>
      <c r="H892" s="32"/>
      <c r="I892" s="32"/>
      <c r="J892" s="32"/>
      <c r="K892" s="32"/>
      <c r="L892" s="32"/>
    </row>
    <row r="893" spans="5:12" ht="25.5" customHeight="1">
      <c r="E893" s="32"/>
      <c r="F893" s="32"/>
      <c r="G893" s="32"/>
      <c r="H893" s="32"/>
      <c r="I893" s="32"/>
      <c r="J893" s="32"/>
      <c r="K893" s="32"/>
      <c r="L893" s="32"/>
    </row>
    <row r="894" spans="5:12" ht="25.5" customHeight="1">
      <c r="E894" s="32"/>
      <c r="F894" s="32"/>
      <c r="G894" s="32"/>
      <c r="H894" s="32"/>
      <c r="I894" s="32"/>
      <c r="J894" s="32"/>
      <c r="K894" s="32"/>
      <c r="L894" s="32"/>
    </row>
    <row r="895" spans="5:12" ht="25.5" customHeight="1">
      <c r="E895" s="32"/>
      <c r="F895" s="32"/>
      <c r="G895" s="32"/>
      <c r="H895" s="32"/>
      <c r="I895" s="32"/>
      <c r="J895" s="32"/>
      <c r="K895" s="32"/>
      <c r="L895" s="32"/>
    </row>
    <row r="896" spans="5:12" ht="25.5" customHeight="1">
      <c r="E896" s="32"/>
      <c r="F896" s="32"/>
      <c r="G896" s="32"/>
      <c r="H896" s="32"/>
      <c r="I896" s="32"/>
      <c r="J896" s="32"/>
      <c r="K896" s="32"/>
      <c r="L896" s="32"/>
    </row>
    <row r="897" spans="5:12" ht="25.5" customHeight="1">
      <c r="E897" s="32"/>
      <c r="F897" s="32"/>
      <c r="G897" s="32"/>
      <c r="H897" s="32"/>
      <c r="I897" s="32"/>
      <c r="J897" s="32"/>
      <c r="K897" s="32"/>
      <c r="L897" s="32"/>
    </row>
    <row r="898" spans="5:12" ht="25.5" customHeight="1">
      <c r="E898" s="32"/>
      <c r="F898" s="32"/>
      <c r="G898" s="32"/>
      <c r="H898" s="32"/>
      <c r="I898" s="32"/>
      <c r="J898" s="32"/>
      <c r="K898" s="32"/>
      <c r="L898" s="32"/>
    </row>
    <row r="899" spans="5:12" ht="25.5" customHeight="1">
      <c r="E899" s="32"/>
      <c r="F899" s="32"/>
      <c r="G899" s="32"/>
      <c r="H899" s="32"/>
      <c r="I899" s="32"/>
      <c r="J899" s="32"/>
      <c r="K899" s="32"/>
      <c r="L899" s="32"/>
    </row>
    <row r="900" spans="5:12" ht="25.5" customHeight="1">
      <c r="E900" s="32"/>
      <c r="F900" s="32"/>
      <c r="G900" s="32"/>
      <c r="H900" s="32"/>
      <c r="I900" s="32"/>
      <c r="J900" s="32"/>
      <c r="K900" s="32"/>
      <c r="L900" s="32"/>
    </row>
    <row r="901" spans="5:12" ht="25.5" customHeight="1">
      <c r="E901" s="32"/>
      <c r="F901" s="32"/>
      <c r="G901" s="32"/>
      <c r="H901" s="32"/>
      <c r="I901" s="32"/>
      <c r="J901" s="32"/>
      <c r="K901" s="32"/>
      <c r="L901" s="32"/>
    </row>
    <row r="902" spans="5:12" ht="25.5" customHeight="1">
      <c r="E902" s="32"/>
      <c r="F902" s="32"/>
      <c r="G902" s="32"/>
      <c r="H902" s="32"/>
      <c r="I902" s="32"/>
      <c r="J902" s="32"/>
      <c r="K902" s="32"/>
      <c r="L902" s="32"/>
    </row>
    <row r="903" spans="5:12" ht="25.5" customHeight="1">
      <c r="E903" s="32"/>
      <c r="F903" s="32"/>
      <c r="G903" s="32"/>
      <c r="H903" s="32"/>
      <c r="I903" s="32"/>
      <c r="J903" s="32"/>
      <c r="K903" s="32"/>
      <c r="L903" s="32"/>
    </row>
    <row r="904" spans="5:12" ht="25.5" customHeight="1">
      <c r="E904" s="32"/>
      <c r="F904" s="32"/>
      <c r="G904" s="32"/>
      <c r="H904" s="32"/>
      <c r="I904" s="32"/>
      <c r="J904" s="32"/>
      <c r="K904" s="32"/>
      <c r="L904" s="32"/>
    </row>
    <row r="905" spans="5:12" ht="25.5" customHeight="1">
      <c r="E905" s="32"/>
      <c r="F905" s="32"/>
      <c r="G905" s="32"/>
      <c r="H905" s="32"/>
      <c r="I905" s="32"/>
      <c r="J905" s="32"/>
      <c r="K905" s="32"/>
      <c r="L905" s="32"/>
    </row>
    <row r="906" spans="5:12" ht="25.5" customHeight="1">
      <c r="E906" s="32"/>
      <c r="F906" s="32"/>
      <c r="G906" s="32"/>
      <c r="H906" s="32"/>
      <c r="I906" s="32"/>
      <c r="J906" s="32"/>
      <c r="K906" s="32"/>
      <c r="L906" s="32"/>
    </row>
    <row r="907" spans="5:12" ht="25.5" customHeight="1">
      <c r="E907" s="32"/>
      <c r="F907" s="32"/>
      <c r="G907" s="32"/>
      <c r="H907" s="32"/>
      <c r="I907" s="32"/>
      <c r="J907" s="32"/>
      <c r="K907" s="32"/>
      <c r="L907" s="32"/>
    </row>
    <row r="908" spans="5:12" ht="25.5" customHeight="1">
      <c r="E908" s="32"/>
      <c r="F908" s="32"/>
      <c r="G908" s="32"/>
      <c r="H908" s="32"/>
      <c r="I908" s="32"/>
      <c r="J908" s="32"/>
      <c r="K908" s="32"/>
      <c r="L908" s="32"/>
    </row>
    <row r="909" spans="5:12" ht="25.5" customHeight="1">
      <c r="E909" s="32"/>
      <c r="F909" s="32"/>
      <c r="G909" s="32"/>
      <c r="H909" s="32"/>
      <c r="I909" s="32"/>
      <c r="J909" s="32"/>
      <c r="K909" s="32"/>
      <c r="L909" s="32"/>
    </row>
    <row r="910" spans="5:12" ht="25.5" customHeight="1">
      <c r="E910" s="32"/>
      <c r="F910" s="32"/>
      <c r="G910" s="32"/>
      <c r="H910" s="32"/>
      <c r="I910" s="32"/>
      <c r="J910" s="32"/>
      <c r="K910" s="32"/>
      <c r="L910" s="32"/>
    </row>
    <row r="911" spans="5:12" ht="25.5" customHeight="1">
      <c r="E911" s="32"/>
      <c r="F911" s="32"/>
      <c r="G911" s="32"/>
      <c r="H911" s="32"/>
      <c r="I911" s="32"/>
      <c r="J911" s="32"/>
      <c r="K911" s="32"/>
      <c r="L911" s="32"/>
    </row>
    <row r="912" spans="5:12" ht="25.5" customHeight="1">
      <c r="E912" s="32"/>
      <c r="F912" s="32"/>
      <c r="G912" s="32"/>
      <c r="H912" s="32"/>
      <c r="I912" s="32"/>
      <c r="J912" s="32"/>
      <c r="K912" s="32"/>
      <c r="L912" s="32"/>
    </row>
    <row r="913" spans="5:12" ht="25.5" customHeight="1">
      <c r="E913" s="32"/>
      <c r="F913" s="32"/>
      <c r="G913" s="32"/>
      <c r="H913" s="32"/>
      <c r="I913" s="32"/>
      <c r="J913" s="32"/>
      <c r="K913" s="32"/>
      <c r="L913" s="32"/>
    </row>
    <row r="914" spans="5:12" ht="25.5" customHeight="1">
      <c r="E914" s="32"/>
      <c r="F914" s="32"/>
      <c r="G914" s="32"/>
      <c r="H914" s="32"/>
      <c r="I914" s="32"/>
      <c r="J914" s="32"/>
      <c r="K914" s="32"/>
      <c r="L914" s="32"/>
    </row>
    <row r="915" spans="5:12" ht="25.5" customHeight="1">
      <c r="E915" s="32"/>
      <c r="F915" s="32"/>
      <c r="G915" s="32"/>
      <c r="H915" s="32"/>
      <c r="I915" s="32"/>
      <c r="J915" s="32"/>
      <c r="K915" s="32"/>
      <c r="L915" s="32"/>
    </row>
    <row r="916" spans="5:12" ht="25.5" customHeight="1">
      <c r="E916" s="32"/>
      <c r="F916" s="32"/>
      <c r="G916" s="32"/>
      <c r="H916" s="32"/>
      <c r="I916" s="32"/>
      <c r="J916" s="32"/>
      <c r="K916" s="32"/>
      <c r="L916" s="32"/>
    </row>
    <row r="917" spans="5:12" ht="25.5" customHeight="1">
      <c r="E917" s="32"/>
      <c r="F917" s="32"/>
      <c r="G917" s="32"/>
      <c r="H917" s="32"/>
      <c r="I917" s="32"/>
      <c r="J917" s="32"/>
      <c r="K917" s="32"/>
      <c r="L917" s="32"/>
    </row>
    <row r="918" spans="5:12" ht="25.5" customHeight="1">
      <c r="E918" s="32"/>
      <c r="F918" s="32"/>
      <c r="G918" s="32"/>
      <c r="H918" s="32"/>
      <c r="I918" s="32"/>
      <c r="J918" s="32"/>
      <c r="K918" s="32"/>
      <c r="L918" s="32"/>
    </row>
    <row r="919" spans="5:12" ht="25.5" customHeight="1">
      <c r="E919" s="32"/>
      <c r="F919" s="32"/>
      <c r="G919" s="32"/>
      <c r="H919" s="32"/>
      <c r="I919" s="32"/>
      <c r="J919" s="32"/>
      <c r="K919" s="32"/>
      <c r="L919" s="32"/>
    </row>
    <row r="920" spans="5:12" ht="25.5" customHeight="1">
      <c r="E920" s="32"/>
      <c r="F920" s="32"/>
      <c r="G920" s="32"/>
      <c r="H920" s="32"/>
      <c r="I920" s="32"/>
      <c r="J920" s="32"/>
      <c r="K920" s="32"/>
      <c r="L920" s="32"/>
    </row>
    <row r="921" spans="5:12" ht="25.5" customHeight="1">
      <c r="E921" s="32"/>
      <c r="F921" s="32"/>
      <c r="G921" s="32"/>
      <c r="H921" s="32"/>
      <c r="I921" s="32"/>
      <c r="J921" s="32"/>
      <c r="K921" s="32"/>
      <c r="L921" s="32"/>
    </row>
    <row r="922" spans="5:12" ht="25.5" customHeight="1">
      <c r="E922" s="32"/>
      <c r="F922" s="32"/>
      <c r="G922" s="32"/>
      <c r="H922" s="32"/>
      <c r="I922" s="32"/>
      <c r="J922" s="32"/>
      <c r="K922" s="32"/>
      <c r="L922" s="32"/>
    </row>
    <row r="923" spans="5:12" ht="25.5" customHeight="1">
      <c r="E923" s="32"/>
      <c r="F923" s="32"/>
      <c r="G923" s="32"/>
      <c r="H923" s="32"/>
      <c r="I923" s="32"/>
      <c r="J923" s="32"/>
      <c r="K923" s="32"/>
      <c r="L923" s="32"/>
    </row>
    <row r="924" spans="5:12" ht="25.5" customHeight="1">
      <c r="E924" s="32"/>
      <c r="F924" s="32"/>
      <c r="G924" s="32"/>
      <c r="H924" s="32"/>
      <c r="I924" s="32"/>
      <c r="J924" s="32"/>
      <c r="K924" s="32"/>
      <c r="L924" s="32"/>
    </row>
    <row r="925" spans="5:12" ht="25.5" customHeight="1">
      <c r="E925" s="32"/>
      <c r="F925" s="32"/>
      <c r="G925" s="32"/>
      <c r="H925" s="32"/>
      <c r="I925" s="32"/>
      <c r="J925" s="32"/>
      <c r="K925" s="32"/>
      <c r="L925" s="32"/>
    </row>
    <row r="926" spans="5:12" ht="25.5" customHeight="1">
      <c r="E926" s="32"/>
      <c r="F926" s="32"/>
      <c r="G926" s="32"/>
      <c r="H926" s="32"/>
      <c r="I926" s="32"/>
      <c r="J926" s="32"/>
      <c r="K926" s="32"/>
      <c r="L926" s="32"/>
    </row>
    <row r="927" spans="5:12" ht="25.5" customHeight="1">
      <c r="E927" s="32"/>
      <c r="F927" s="32"/>
      <c r="G927" s="32"/>
      <c r="H927" s="32"/>
      <c r="I927" s="32"/>
      <c r="J927" s="32"/>
      <c r="K927" s="32"/>
      <c r="L927" s="32"/>
    </row>
    <row r="928" spans="5:12" ht="25.5" customHeight="1">
      <c r="E928" s="32"/>
      <c r="F928" s="32"/>
      <c r="G928" s="32"/>
      <c r="H928" s="32"/>
      <c r="I928" s="32"/>
      <c r="J928" s="32"/>
      <c r="K928" s="32"/>
      <c r="L928" s="32"/>
    </row>
    <row r="929" spans="5:12" ht="25.5" customHeight="1">
      <c r="E929" s="32"/>
      <c r="F929" s="32"/>
      <c r="G929" s="32"/>
      <c r="H929" s="32"/>
      <c r="I929" s="32"/>
      <c r="J929" s="32"/>
      <c r="K929" s="32"/>
      <c r="L929" s="32"/>
    </row>
    <row r="930" spans="5:12" ht="25.5" customHeight="1">
      <c r="E930" s="32"/>
      <c r="F930" s="32"/>
      <c r="G930" s="32"/>
      <c r="H930" s="32"/>
      <c r="I930" s="32"/>
      <c r="J930" s="32"/>
      <c r="K930" s="32"/>
      <c r="L930" s="32"/>
    </row>
    <row r="931" spans="5:12" ht="25.5" customHeight="1">
      <c r="E931" s="32"/>
      <c r="F931" s="32"/>
      <c r="G931" s="32"/>
      <c r="H931" s="32"/>
      <c r="I931" s="32"/>
      <c r="J931" s="32"/>
      <c r="K931" s="32"/>
      <c r="L931" s="32"/>
    </row>
    <row r="932" spans="5:12" ht="25.5" customHeight="1">
      <c r="E932" s="32"/>
      <c r="F932" s="32"/>
      <c r="G932" s="32"/>
      <c r="H932" s="32"/>
      <c r="I932" s="32"/>
      <c r="J932" s="32"/>
      <c r="K932" s="32"/>
      <c r="L932" s="32"/>
    </row>
    <row r="933" spans="5:12" ht="25.5" customHeight="1">
      <c r="E933" s="32"/>
      <c r="F933" s="32"/>
      <c r="G933" s="32"/>
      <c r="H933" s="32"/>
      <c r="I933" s="32"/>
      <c r="J933" s="32"/>
      <c r="K933" s="32"/>
      <c r="L933" s="32"/>
    </row>
    <row r="934" spans="5:12" ht="25.5" customHeight="1">
      <c r="E934" s="32"/>
      <c r="F934" s="32"/>
      <c r="G934" s="32"/>
      <c r="H934" s="32"/>
      <c r="I934" s="32"/>
      <c r="J934" s="32"/>
      <c r="K934" s="32"/>
      <c r="L934" s="32"/>
    </row>
    <row r="935" spans="5:12" ht="25.5" customHeight="1">
      <c r="E935" s="32"/>
      <c r="F935" s="32"/>
      <c r="G935" s="32"/>
      <c r="H935" s="32"/>
      <c r="I935" s="32"/>
      <c r="J935" s="32"/>
      <c r="K935" s="32"/>
      <c r="L935" s="32"/>
    </row>
    <row r="936" spans="5:12" ht="25.5" customHeight="1">
      <c r="E936" s="32"/>
      <c r="F936" s="32"/>
      <c r="G936" s="32"/>
      <c r="H936" s="32"/>
      <c r="I936" s="32"/>
      <c r="J936" s="32"/>
      <c r="K936" s="32"/>
      <c r="L936" s="32"/>
    </row>
    <row r="937" spans="5:12" ht="25.5" customHeight="1">
      <c r="E937" s="32"/>
      <c r="F937" s="32"/>
      <c r="G937" s="32"/>
      <c r="H937" s="32"/>
      <c r="I937" s="32"/>
      <c r="J937" s="32"/>
      <c r="K937" s="32"/>
      <c r="L937" s="32"/>
    </row>
    <row r="938" spans="5:12" ht="25.5" customHeight="1">
      <c r="E938" s="32"/>
      <c r="F938" s="32"/>
      <c r="G938" s="32"/>
      <c r="H938" s="32"/>
      <c r="I938" s="32"/>
      <c r="J938" s="32"/>
      <c r="K938" s="32"/>
      <c r="L938" s="32"/>
    </row>
    <row r="939" spans="5:12" ht="25.5" customHeight="1">
      <c r="E939" s="32"/>
      <c r="F939" s="32"/>
      <c r="G939" s="32"/>
      <c r="H939" s="32"/>
      <c r="I939" s="32"/>
      <c r="J939" s="32"/>
      <c r="K939" s="32"/>
      <c r="L939" s="32"/>
    </row>
    <row r="940" spans="5:12" ht="25.5" customHeight="1">
      <c r="E940" s="32"/>
      <c r="F940" s="32"/>
      <c r="G940" s="32"/>
      <c r="H940" s="32"/>
      <c r="I940" s="32"/>
      <c r="J940" s="32"/>
      <c r="K940" s="32"/>
      <c r="L940" s="32"/>
    </row>
    <row r="941" spans="5:12" ht="25.5" customHeight="1">
      <c r="E941" s="32"/>
      <c r="F941" s="32"/>
      <c r="G941" s="32"/>
      <c r="H941" s="32"/>
      <c r="I941" s="32"/>
      <c r="J941" s="32"/>
      <c r="K941" s="32"/>
      <c r="L941" s="32"/>
    </row>
    <row r="942" spans="5:12" ht="25.5" customHeight="1">
      <c r="E942" s="32"/>
      <c r="F942" s="32"/>
      <c r="G942" s="32"/>
      <c r="H942" s="32"/>
      <c r="I942" s="32"/>
      <c r="J942" s="32"/>
      <c r="K942" s="32"/>
      <c r="L942" s="32"/>
    </row>
    <row r="943" spans="5:12" ht="25.5" customHeight="1">
      <c r="E943" s="32"/>
      <c r="F943" s="32"/>
      <c r="G943" s="32"/>
      <c r="H943" s="32"/>
      <c r="I943" s="32"/>
      <c r="J943" s="32"/>
      <c r="K943" s="32"/>
      <c r="L943" s="32"/>
    </row>
    <row r="944" spans="5:12" ht="25.5" customHeight="1">
      <c r="E944" s="32"/>
      <c r="F944" s="32"/>
      <c r="G944" s="32"/>
      <c r="H944" s="32"/>
      <c r="I944" s="32"/>
      <c r="J944" s="32"/>
      <c r="K944" s="32"/>
      <c r="L944" s="32"/>
    </row>
    <row r="945" spans="5:12" ht="25.5" customHeight="1">
      <c r="E945" s="32"/>
      <c r="F945" s="32"/>
      <c r="G945" s="32"/>
      <c r="H945" s="32"/>
      <c r="I945" s="32"/>
      <c r="J945" s="32"/>
      <c r="K945" s="32"/>
      <c r="L945" s="32"/>
    </row>
    <row r="946" spans="5:12" ht="25.5" customHeight="1">
      <c r="E946" s="32"/>
      <c r="F946" s="32"/>
      <c r="G946" s="32"/>
      <c r="H946" s="32"/>
      <c r="I946" s="32"/>
      <c r="J946" s="32"/>
      <c r="K946" s="32"/>
      <c r="L946" s="32"/>
    </row>
    <row r="947" spans="5:12" ht="25.5" customHeight="1">
      <c r="E947" s="32"/>
      <c r="F947" s="32"/>
      <c r="G947" s="32"/>
      <c r="H947" s="32"/>
      <c r="I947" s="32"/>
      <c r="J947" s="32"/>
      <c r="K947" s="32"/>
      <c r="L947" s="32"/>
    </row>
    <row r="948" spans="5:12" ht="25.5" customHeight="1">
      <c r="E948" s="32"/>
      <c r="F948" s="32"/>
      <c r="G948" s="32"/>
      <c r="H948" s="32"/>
      <c r="I948" s="32"/>
      <c r="J948" s="32"/>
      <c r="K948" s="32"/>
      <c r="L948" s="32"/>
    </row>
    <row r="949" spans="5:12" ht="25.5" customHeight="1">
      <c r="E949" s="32"/>
      <c r="F949" s="32"/>
      <c r="G949" s="32"/>
      <c r="H949" s="32"/>
      <c r="I949" s="32"/>
      <c r="J949" s="32"/>
      <c r="K949" s="32"/>
      <c r="L949" s="32"/>
    </row>
    <row r="950" spans="5:12" ht="25.5" customHeight="1">
      <c r="E950" s="32"/>
      <c r="F950" s="32"/>
      <c r="G950" s="32"/>
      <c r="H950" s="32"/>
      <c r="I950" s="32"/>
      <c r="J950" s="32"/>
      <c r="K950" s="32"/>
      <c r="L950" s="32"/>
    </row>
    <row r="951" spans="5:12" ht="25.5" customHeight="1">
      <c r="E951" s="32"/>
      <c r="F951" s="32"/>
      <c r="G951" s="32"/>
      <c r="H951" s="32"/>
      <c r="I951" s="32"/>
      <c r="J951" s="32"/>
      <c r="K951" s="32"/>
      <c r="L951" s="32"/>
    </row>
    <row r="952" spans="5:12" ht="25.5" customHeight="1">
      <c r="E952" s="32"/>
      <c r="F952" s="32"/>
      <c r="G952" s="32"/>
      <c r="H952" s="32"/>
      <c r="I952" s="32"/>
      <c r="J952" s="32"/>
      <c r="K952" s="32"/>
      <c r="L952" s="32"/>
    </row>
    <row r="953" spans="5:12" ht="25.5" customHeight="1">
      <c r="E953" s="32"/>
      <c r="F953" s="32"/>
      <c r="G953" s="32"/>
      <c r="H953" s="32"/>
      <c r="I953" s="32"/>
      <c r="J953" s="32"/>
      <c r="K953" s="32"/>
      <c r="L953" s="32"/>
    </row>
    <row r="954" spans="5:12" ht="25.5" customHeight="1">
      <c r="E954" s="32"/>
      <c r="F954" s="32"/>
      <c r="G954" s="32"/>
      <c r="H954" s="32"/>
      <c r="I954" s="32"/>
      <c r="J954" s="32"/>
      <c r="K954" s="32"/>
      <c r="L954" s="32"/>
    </row>
    <row r="955" spans="5:12" ht="25.5" customHeight="1">
      <c r="E955" s="32"/>
      <c r="F955" s="32"/>
      <c r="G955" s="32"/>
      <c r="H955" s="32"/>
      <c r="I955" s="32"/>
      <c r="J955" s="32"/>
      <c r="K955" s="32"/>
      <c r="L955" s="32"/>
    </row>
    <row r="956" spans="5:12" ht="25.5" customHeight="1">
      <c r="E956" s="32"/>
      <c r="F956" s="32"/>
      <c r="G956" s="32"/>
      <c r="H956" s="32"/>
      <c r="I956" s="32"/>
      <c r="J956" s="32"/>
      <c r="K956" s="32"/>
      <c r="L956" s="32"/>
    </row>
    <row r="957" spans="5:12" ht="25.5" customHeight="1">
      <c r="E957" s="32"/>
      <c r="F957" s="32"/>
      <c r="G957" s="32"/>
      <c r="H957" s="32"/>
      <c r="I957" s="32"/>
      <c r="J957" s="32"/>
      <c r="K957" s="32"/>
      <c r="L957" s="32"/>
    </row>
    <row r="958" spans="5:12" ht="25.5" customHeight="1">
      <c r="E958" s="32"/>
      <c r="F958" s="32"/>
      <c r="G958" s="32"/>
      <c r="H958" s="32"/>
      <c r="I958" s="32"/>
      <c r="J958" s="32"/>
      <c r="K958" s="32"/>
      <c r="L958" s="32"/>
    </row>
    <row r="959" spans="5:12" ht="25.5" customHeight="1">
      <c r="E959" s="32"/>
      <c r="F959" s="32"/>
      <c r="G959" s="32"/>
      <c r="H959" s="32"/>
      <c r="I959" s="32"/>
      <c r="J959" s="32"/>
      <c r="K959" s="32"/>
      <c r="L959" s="32"/>
    </row>
    <row r="960" spans="5:12" ht="25.5" customHeight="1">
      <c r="E960" s="32"/>
      <c r="F960" s="32"/>
      <c r="G960" s="32"/>
      <c r="H960" s="32"/>
      <c r="I960" s="32"/>
      <c r="J960" s="32"/>
      <c r="K960" s="32"/>
      <c r="L960" s="32"/>
    </row>
    <row r="961" spans="5:12" ht="25.5" customHeight="1">
      <c r="E961" s="32"/>
      <c r="F961" s="32"/>
      <c r="G961" s="32"/>
      <c r="H961" s="32"/>
      <c r="I961" s="32"/>
      <c r="J961" s="32"/>
      <c r="K961" s="32"/>
      <c r="L961" s="32"/>
    </row>
    <row r="962" spans="5:12" ht="25.5" customHeight="1">
      <c r="E962" s="32"/>
      <c r="F962" s="32"/>
      <c r="G962" s="32"/>
      <c r="H962" s="32"/>
      <c r="I962" s="32"/>
      <c r="J962" s="32"/>
      <c r="K962" s="32"/>
      <c r="L962" s="32"/>
    </row>
    <row r="963" spans="5:12" ht="25.5" customHeight="1">
      <c r="E963" s="32"/>
      <c r="F963" s="32"/>
      <c r="G963" s="32"/>
      <c r="H963" s="32"/>
      <c r="I963" s="32"/>
      <c r="J963" s="32"/>
      <c r="K963" s="32"/>
      <c r="L963" s="32"/>
    </row>
    <row r="964" spans="5:12" ht="25.5" customHeight="1">
      <c r="E964" s="32"/>
      <c r="F964" s="32"/>
      <c r="G964" s="32"/>
      <c r="H964" s="32"/>
      <c r="I964" s="32"/>
      <c r="J964" s="32"/>
      <c r="K964" s="32"/>
      <c r="L964" s="32"/>
    </row>
    <row r="965" spans="5:12" ht="25.5" customHeight="1">
      <c r="E965" s="32"/>
      <c r="F965" s="32"/>
      <c r="G965" s="32"/>
      <c r="H965" s="32"/>
      <c r="I965" s="32"/>
      <c r="J965" s="32"/>
      <c r="K965" s="32"/>
      <c r="L965" s="32"/>
    </row>
    <row r="966" spans="5:12" ht="25.5" customHeight="1">
      <c r="E966" s="32"/>
      <c r="F966" s="32"/>
      <c r="G966" s="32"/>
      <c r="H966" s="32"/>
      <c r="I966" s="32"/>
      <c r="J966" s="32"/>
      <c r="K966" s="32"/>
      <c r="L966" s="32"/>
    </row>
    <row r="967" spans="5:12" ht="25.5" customHeight="1">
      <c r="E967" s="32"/>
      <c r="F967" s="32"/>
      <c r="G967" s="32"/>
      <c r="H967" s="32"/>
      <c r="I967" s="32"/>
      <c r="J967" s="32"/>
      <c r="K967" s="32"/>
      <c r="L967" s="32"/>
    </row>
    <row r="968" spans="5:12" ht="25.5" customHeight="1">
      <c r="E968" s="32"/>
      <c r="F968" s="32"/>
      <c r="G968" s="32"/>
      <c r="H968" s="32"/>
      <c r="I968" s="32"/>
      <c r="J968" s="32"/>
      <c r="K968" s="32"/>
      <c r="L968" s="32"/>
    </row>
    <row r="969" spans="5:12" ht="25.5" customHeight="1">
      <c r="E969" s="32"/>
      <c r="F969" s="32"/>
      <c r="G969" s="32"/>
      <c r="H969" s="32"/>
      <c r="I969" s="32"/>
      <c r="J969" s="32"/>
      <c r="K969" s="32"/>
      <c r="L969" s="32"/>
    </row>
    <row r="970" spans="5:12" ht="25.5" customHeight="1">
      <c r="E970" s="32"/>
      <c r="F970" s="32"/>
      <c r="G970" s="32"/>
      <c r="H970" s="32"/>
      <c r="I970" s="32"/>
      <c r="J970" s="32"/>
      <c r="K970" s="32"/>
      <c r="L970" s="32"/>
    </row>
    <row r="971" spans="5:12" ht="25.5" customHeight="1">
      <c r="E971" s="32"/>
      <c r="F971" s="32"/>
      <c r="G971" s="32"/>
      <c r="H971" s="32"/>
      <c r="I971" s="32"/>
      <c r="J971" s="32"/>
      <c r="K971" s="32"/>
      <c r="L971" s="32"/>
    </row>
    <row r="972" spans="5:12" ht="25.5" customHeight="1">
      <c r="E972" s="32"/>
      <c r="F972" s="32"/>
      <c r="G972" s="32"/>
      <c r="H972" s="32"/>
      <c r="I972" s="32"/>
      <c r="J972" s="32"/>
      <c r="K972" s="32"/>
      <c r="L972" s="32"/>
    </row>
    <row r="973" spans="5:12" ht="25.5" customHeight="1">
      <c r="E973" s="32"/>
      <c r="F973" s="32"/>
      <c r="G973" s="32"/>
      <c r="H973" s="32"/>
      <c r="I973" s="32"/>
      <c r="J973" s="32"/>
      <c r="K973" s="32"/>
      <c r="L973" s="32"/>
    </row>
    <row r="974" spans="5:12" ht="25.5" customHeight="1">
      <c r="E974" s="32"/>
      <c r="F974" s="32"/>
      <c r="G974" s="32"/>
      <c r="H974" s="32"/>
      <c r="I974" s="32"/>
      <c r="J974" s="32"/>
      <c r="K974" s="32"/>
      <c r="L974" s="32"/>
    </row>
    <row r="975" spans="5:12" ht="25.5" customHeight="1">
      <c r="E975" s="32"/>
      <c r="F975" s="32"/>
      <c r="G975" s="32"/>
      <c r="H975" s="32"/>
      <c r="I975" s="32"/>
      <c r="J975" s="32"/>
      <c r="K975" s="32"/>
      <c r="L975" s="32"/>
    </row>
    <row r="976" spans="5:12" ht="25.5" customHeight="1">
      <c r="E976" s="32"/>
      <c r="F976" s="32"/>
      <c r="G976" s="32"/>
      <c r="H976" s="32"/>
      <c r="I976" s="32"/>
      <c r="J976" s="32"/>
      <c r="K976" s="32"/>
      <c r="L976" s="32"/>
    </row>
    <row r="977" spans="5:12" ht="25.5" customHeight="1">
      <c r="E977" s="32"/>
      <c r="F977" s="32"/>
      <c r="G977" s="32"/>
      <c r="H977" s="32"/>
      <c r="I977" s="32"/>
      <c r="J977" s="32"/>
      <c r="K977" s="32"/>
      <c r="L977" s="32"/>
    </row>
    <row r="978" spans="5:12" ht="25.5" customHeight="1">
      <c r="E978" s="32"/>
      <c r="F978" s="32"/>
      <c r="G978" s="32"/>
      <c r="H978" s="32"/>
      <c r="I978" s="32"/>
      <c r="J978" s="32"/>
      <c r="K978" s="32"/>
      <c r="L978" s="32"/>
    </row>
    <row r="979" spans="5:12" ht="25.5" customHeight="1">
      <c r="E979" s="32"/>
      <c r="F979" s="32"/>
      <c r="G979" s="32"/>
      <c r="H979" s="32"/>
      <c r="I979" s="32"/>
      <c r="J979" s="32"/>
      <c r="K979" s="32"/>
      <c r="L979" s="32"/>
    </row>
    <row r="980" spans="5:12" ht="25.5" customHeight="1">
      <c r="E980" s="32"/>
      <c r="F980" s="32"/>
      <c r="G980" s="32"/>
      <c r="H980" s="32"/>
      <c r="I980" s="32"/>
      <c r="J980" s="32"/>
      <c r="K980" s="32"/>
      <c r="L980" s="32"/>
    </row>
    <row r="981" spans="5:12" ht="25.5" customHeight="1">
      <c r="E981" s="32"/>
      <c r="F981" s="32"/>
      <c r="G981" s="32"/>
      <c r="H981" s="32"/>
      <c r="I981" s="32"/>
      <c r="J981" s="32"/>
      <c r="K981" s="32"/>
      <c r="L981" s="32"/>
    </row>
    <row r="982" spans="5:12" ht="25.5" customHeight="1">
      <c r="E982" s="32"/>
      <c r="F982" s="32"/>
      <c r="G982" s="32"/>
      <c r="H982" s="32"/>
      <c r="I982" s="32"/>
      <c r="J982" s="32"/>
      <c r="K982" s="32"/>
      <c r="L982" s="32"/>
    </row>
    <row r="983" spans="5:12" ht="25.5" customHeight="1">
      <c r="E983" s="32"/>
      <c r="F983" s="32"/>
      <c r="G983" s="32"/>
      <c r="H983" s="32"/>
      <c r="I983" s="32"/>
      <c r="J983" s="32"/>
      <c r="K983" s="32"/>
      <c r="L983" s="32"/>
    </row>
    <row r="984" spans="5:12" ht="25.5" customHeight="1">
      <c r="E984" s="32"/>
      <c r="F984" s="32"/>
      <c r="G984" s="32"/>
      <c r="H984" s="32"/>
      <c r="I984" s="32"/>
      <c r="J984" s="32"/>
      <c r="K984" s="32"/>
      <c r="L984" s="32"/>
    </row>
    <row r="985" spans="5:12" ht="25.5" customHeight="1">
      <c r="E985" s="32"/>
      <c r="F985" s="32"/>
      <c r="G985" s="32"/>
      <c r="H985" s="32"/>
      <c r="I985" s="32"/>
      <c r="J985" s="32"/>
      <c r="K985" s="32"/>
      <c r="L985" s="32"/>
    </row>
    <row r="986" spans="5:12" ht="25.5" customHeight="1">
      <c r="E986" s="32"/>
      <c r="F986" s="32"/>
      <c r="G986" s="32"/>
      <c r="H986" s="32"/>
      <c r="I986" s="32"/>
      <c r="J986" s="32"/>
      <c r="K986" s="32"/>
      <c r="L986" s="32"/>
    </row>
    <row r="987" spans="5:12" ht="25.5" customHeight="1">
      <c r="E987" s="32"/>
      <c r="F987" s="32"/>
      <c r="G987" s="32"/>
      <c r="H987" s="32"/>
      <c r="I987" s="32"/>
      <c r="J987" s="32"/>
      <c r="K987" s="32"/>
      <c r="L987" s="32"/>
    </row>
    <row r="988" spans="5:12" ht="25.5" customHeight="1">
      <c r="E988" s="32"/>
      <c r="F988" s="32"/>
      <c r="G988" s="32"/>
      <c r="H988" s="32"/>
      <c r="I988" s="32"/>
      <c r="J988" s="32"/>
      <c r="K988" s="32"/>
      <c r="L988" s="32"/>
    </row>
    <row r="989" spans="5:12" ht="25.5" customHeight="1">
      <c r="E989" s="32"/>
      <c r="F989" s="32"/>
      <c r="G989" s="32"/>
      <c r="H989" s="32"/>
      <c r="I989" s="32"/>
      <c r="J989" s="32"/>
      <c r="K989" s="32"/>
      <c r="L989" s="32"/>
    </row>
    <row r="990" spans="5:12" ht="25.5" customHeight="1">
      <c r="E990" s="32"/>
      <c r="F990" s="32"/>
      <c r="G990" s="32"/>
      <c r="H990" s="32"/>
      <c r="I990" s="32"/>
      <c r="J990" s="32"/>
      <c r="K990" s="32"/>
      <c r="L990" s="32"/>
    </row>
    <row r="991" spans="5:12" ht="25.5" customHeight="1">
      <c r="E991" s="32"/>
      <c r="F991" s="32"/>
      <c r="G991" s="32"/>
      <c r="H991" s="32"/>
      <c r="I991" s="32"/>
      <c r="J991" s="32"/>
      <c r="K991" s="32"/>
      <c r="L991" s="32"/>
    </row>
    <row r="992" spans="5:12" ht="25.5" customHeight="1">
      <c r="E992" s="32"/>
      <c r="F992" s="32"/>
      <c r="G992" s="32"/>
      <c r="H992" s="32"/>
      <c r="I992" s="32"/>
      <c r="J992" s="32"/>
      <c r="K992" s="32"/>
      <c r="L992" s="32"/>
    </row>
    <row r="993" spans="5:12" ht="25.5" customHeight="1">
      <c r="E993" s="32"/>
      <c r="F993" s="32"/>
      <c r="G993" s="32"/>
      <c r="H993" s="32"/>
      <c r="I993" s="32"/>
      <c r="J993" s="32"/>
      <c r="K993" s="32"/>
      <c r="L993" s="32"/>
    </row>
    <row r="994" spans="5:12" ht="25.5" customHeight="1">
      <c r="E994" s="32"/>
      <c r="F994" s="32"/>
      <c r="G994" s="32"/>
      <c r="H994" s="32"/>
      <c r="I994" s="32"/>
      <c r="J994" s="32"/>
      <c r="K994" s="32"/>
      <c r="L994" s="32"/>
    </row>
    <row r="995" spans="5:12" ht="25.5" customHeight="1">
      <c r="E995" s="32"/>
      <c r="F995" s="32"/>
      <c r="G995" s="32"/>
      <c r="H995" s="32"/>
      <c r="I995" s="32"/>
      <c r="J995" s="32"/>
      <c r="K995" s="32"/>
      <c r="L995" s="32"/>
    </row>
    <row r="996" spans="5:12" ht="25.5" customHeight="1">
      <c r="E996" s="32"/>
      <c r="F996" s="32"/>
      <c r="G996" s="32"/>
      <c r="H996" s="32"/>
      <c r="I996" s="32"/>
      <c r="J996" s="32"/>
      <c r="K996" s="32"/>
      <c r="L996" s="32"/>
    </row>
    <row r="997" spans="5:12" ht="25.5" customHeight="1">
      <c r="E997" s="32"/>
      <c r="F997" s="32"/>
      <c r="G997" s="32"/>
      <c r="H997" s="32"/>
      <c r="I997" s="32"/>
      <c r="J997" s="32"/>
      <c r="K997" s="32"/>
      <c r="L997" s="32"/>
    </row>
    <row r="998" spans="5:12" ht="25.5" customHeight="1">
      <c r="E998" s="32"/>
      <c r="F998" s="32"/>
      <c r="G998" s="32"/>
      <c r="H998" s="32"/>
      <c r="I998" s="32"/>
      <c r="J998" s="32"/>
      <c r="K998" s="32"/>
      <c r="L998" s="32"/>
    </row>
    <row r="999" spans="5:12" ht="25.5" customHeight="1">
      <c r="E999" s="32"/>
      <c r="F999" s="32"/>
      <c r="G999" s="32"/>
      <c r="H999" s="32"/>
      <c r="I999" s="32"/>
      <c r="J999" s="32"/>
      <c r="K999" s="32"/>
      <c r="L999" s="32"/>
    </row>
    <row r="1000" spans="5:12" ht="25.5" customHeight="1">
      <c r="E1000" s="32"/>
      <c r="F1000" s="32"/>
      <c r="G1000" s="32"/>
      <c r="H1000" s="32"/>
      <c r="I1000" s="32"/>
      <c r="J1000" s="32"/>
      <c r="K1000" s="32"/>
      <c r="L1000" s="32"/>
    </row>
  </sheetData>
  <mergeCells count="1">
    <mergeCell ref="B1:J1"/>
  </mergeCells>
  <phoneticPr fontId="13" type="noConversion"/>
  <pageMargins left="0.7" right="0.7" top="0.75" bottom="0.75" header="0.3" footer="0.3"/>
  <pageSetup paperSize="9" orientation="portrait" verticalDpi="203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BL1001"/>
  <sheetViews>
    <sheetView showGridLines="0" zoomScale="70" zoomScaleNormal="70" workbookViewId="0">
      <pane xSplit="1" topLeftCell="AG1" activePane="topRight" state="frozen"/>
      <selection pane="topRight" activeCell="AQ5" sqref="AQ5"/>
      <selection activeCell="L28" sqref="L28"/>
    </sheetView>
  </sheetViews>
  <sheetFormatPr defaultColWidth="12.625" defaultRowHeight="16.5"/>
  <cols>
    <col min="1" max="1" width="12.625" style="35"/>
    <col min="2" max="18" width="8.625" style="36" customWidth="1"/>
    <col min="19" max="19" width="8.625" style="36" hidden="1" customWidth="1"/>
    <col min="20" max="36" width="8.625" style="36" customWidth="1"/>
    <col min="37" max="37" width="1.125" style="29" customWidth="1"/>
    <col min="38" max="40" width="8.625" style="29" customWidth="1"/>
    <col min="41" max="41" width="8.625" style="29" hidden="1" customWidth="1"/>
    <col min="42" max="43" width="8.625" style="29" customWidth="1"/>
    <col min="44" max="44" width="8.625" style="29" hidden="1" customWidth="1"/>
    <col min="45" max="45" width="0.875" style="29" customWidth="1"/>
    <col min="46" max="47" width="8.625" style="29" customWidth="1"/>
    <col min="48" max="48" width="8.625" style="29" hidden="1" customWidth="1"/>
    <col min="49" max="49" width="8.625" style="29" customWidth="1"/>
    <col min="50" max="51" width="8.625" style="29" hidden="1" customWidth="1"/>
    <col min="52" max="52" width="0.875" style="29" customWidth="1"/>
    <col min="53" max="56" width="9" style="29" customWidth="1"/>
    <col min="57" max="58" width="9" style="29" hidden="1" customWidth="1"/>
    <col min="59" max="61" width="9" style="29" customWidth="1"/>
    <col min="62" max="62" width="9" style="29" hidden="1" customWidth="1"/>
    <col min="63" max="63" width="0.875" style="29" customWidth="1"/>
    <col min="64" max="64" width="30.625" style="29" bestFit="1" customWidth="1"/>
    <col min="65" max="267" width="8" style="29" customWidth="1"/>
    <col min="268" max="16384" width="12.625" style="29"/>
  </cols>
  <sheetData>
    <row r="1" spans="1:64" ht="17.25" thickBot="1">
      <c r="A1" s="55"/>
      <c r="B1" s="454" t="s">
        <v>231</v>
      </c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  <c r="U1" s="455"/>
      <c r="V1" s="455"/>
      <c r="W1" s="455"/>
      <c r="X1" s="455"/>
      <c r="Y1" s="455"/>
      <c r="Z1" s="455"/>
      <c r="AA1" s="455"/>
      <c r="AB1" s="455"/>
      <c r="AC1" s="455"/>
      <c r="AD1" s="455"/>
      <c r="AE1" s="455"/>
      <c r="AF1" s="455"/>
      <c r="AG1" s="455"/>
      <c r="AH1" s="455"/>
      <c r="AI1" s="455"/>
      <c r="AJ1" s="456"/>
    </row>
    <row r="2" spans="1:64" s="25" customFormat="1" ht="45" customHeight="1">
      <c r="A2" s="129" t="s">
        <v>96</v>
      </c>
      <c r="B2" s="233" t="s">
        <v>232</v>
      </c>
      <c r="C2" s="132" t="s">
        <v>233</v>
      </c>
      <c r="D2" s="132" t="s">
        <v>234</v>
      </c>
      <c r="E2" s="132" t="s">
        <v>235</v>
      </c>
      <c r="F2" s="132" t="s">
        <v>236</v>
      </c>
      <c r="G2" s="132" t="s">
        <v>237</v>
      </c>
      <c r="H2" s="132" t="s">
        <v>238</v>
      </c>
      <c r="I2" s="132" t="s">
        <v>239</v>
      </c>
      <c r="J2" s="133" t="s">
        <v>240</v>
      </c>
      <c r="K2" s="155" t="s">
        <v>233</v>
      </c>
      <c r="L2" s="115" t="s">
        <v>234</v>
      </c>
      <c r="M2" s="115" t="s">
        <v>235</v>
      </c>
      <c r="N2" s="115" t="s">
        <v>236</v>
      </c>
      <c r="O2" s="115" t="s">
        <v>237</v>
      </c>
      <c r="P2" s="115" t="s">
        <v>238</v>
      </c>
      <c r="Q2" s="115" t="s">
        <v>239</v>
      </c>
      <c r="R2" s="158" t="s">
        <v>240</v>
      </c>
      <c r="S2" s="116" t="s">
        <v>241</v>
      </c>
      <c r="T2" s="124" t="s">
        <v>242</v>
      </c>
      <c r="U2" s="125" t="s">
        <v>243</v>
      </c>
      <c r="V2" s="125" t="s">
        <v>244</v>
      </c>
      <c r="W2" s="125" t="s">
        <v>245</v>
      </c>
      <c r="X2" s="125" t="s">
        <v>246</v>
      </c>
      <c r="Y2" s="125" t="s">
        <v>247</v>
      </c>
      <c r="Z2" s="126" t="s">
        <v>248</v>
      </c>
      <c r="AA2" s="163" t="s">
        <v>122</v>
      </c>
      <c r="AB2" s="160" t="s">
        <v>123</v>
      </c>
      <c r="AC2" s="160" t="s">
        <v>124</v>
      </c>
      <c r="AD2" s="160" t="s">
        <v>125</v>
      </c>
      <c r="AE2" s="151" t="s">
        <v>126</v>
      </c>
      <c r="AF2" s="151" t="s">
        <v>127</v>
      </c>
      <c r="AG2" s="162" t="s">
        <v>128</v>
      </c>
      <c r="AH2" s="162" t="s">
        <v>249</v>
      </c>
      <c r="AI2" s="152" t="s">
        <v>130</v>
      </c>
      <c r="AJ2" s="122" t="s">
        <v>131</v>
      </c>
      <c r="AK2" s="23"/>
      <c r="AL2" s="24" t="s">
        <v>250</v>
      </c>
      <c r="AM2" s="24" t="s">
        <v>251</v>
      </c>
      <c r="AN2" s="24" t="s">
        <v>252</v>
      </c>
      <c r="AO2" s="24" t="s">
        <v>253</v>
      </c>
      <c r="AP2" s="24" t="s">
        <v>254</v>
      </c>
      <c r="AQ2" s="24" t="s">
        <v>255</v>
      </c>
      <c r="AR2" s="24" t="s">
        <v>256</v>
      </c>
      <c r="AT2" s="82" t="s">
        <v>257</v>
      </c>
      <c r="AU2" s="82" t="s">
        <v>258</v>
      </c>
      <c r="AV2" s="82" t="s">
        <v>259</v>
      </c>
      <c r="AW2" s="82" t="s">
        <v>260</v>
      </c>
      <c r="AX2" s="82" t="s">
        <v>261</v>
      </c>
      <c r="AY2" s="71" t="s">
        <v>262</v>
      </c>
      <c r="AZ2"/>
      <c r="BA2" s="79" t="s">
        <v>263</v>
      </c>
      <c r="BB2" s="79" t="s">
        <v>264</v>
      </c>
      <c r="BC2" s="79" t="s">
        <v>265</v>
      </c>
      <c r="BD2" s="79" t="s">
        <v>266</v>
      </c>
      <c r="BE2" s="79" t="s">
        <v>267</v>
      </c>
      <c r="BF2" s="79" t="s">
        <v>268</v>
      </c>
      <c r="BG2" s="73" t="s">
        <v>269</v>
      </c>
      <c r="BH2" s="73" t="s">
        <v>270</v>
      </c>
      <c r="BI2" s="73" t="s">
        <v>271</v>
      </c>
      <c r="BJ2" s="73" t="s">
        <v>272</v>
      </c>
      <c r="BK2"/>
      <c r="BL2" s="26" t="s">
        <v>156</v>
      </c>
    </row>
    <row r="3" spans="1:64" s="25" customFormat="1" ht="16.5" customHeight="1">
      <c r="A3" s="130" t="s">
        <v>157</v>
      </c>
      <c r="B3" s="368"/>
      <c r="C3" s="77" t="s">
        <v>158</v>
      </c>
      <c r="D3" s="77" t="s">
        <v>273</v>
      </c>
      <c r="E3" s="77" t="s">
        <v>159</v>
      </c>
      <c r="F3" s="77" t="s">
        <v>159</v>
      </c>
      <c r="G3" s="77" t="s">
        <v>160</v>
      </c>
      <c r="H3" s="77" t="s">
        <v>160</v>
      </c>
      <c r="I3" s="77" t="s">
        <v>161</v>
      </c>
      <c r="J3" s="134" t="s">
        <v>161</v>
      </c>
      <c r="K3" s="156" t="s">
        <v>158</v>
      </c>
      <c r="L3" s="112" t="s">
        <v>273</v>
      </c>
      <c r="M3" s="112" t="s">
        <v>159</v>
      </c>
      <c r="N3" s="112" t="s">
        <v>159</v>
      </c>
      <c r="O3" s="112" t="s">
        <v>160</v>
      </c>
      <c r="P3" s="112" t="s">
        <v>160</v>
      </c>
      <c r="Q3" s="112" t="s">
        <v>161</v>
      </c>
      <c r="R3" s="159" t="s">
        <v>161</v>
      </c>
      <c r="S3" s="118"/>
      <c r="T3" s="127" t="s">
        <v>158</v>
      </c>
      <c r="U3" s="58" t="s">
        <v>158</v>
      </c>
      <c r="V3" s="58" t="s">
        <v>158</v>
      </c>
      <c r="W3" s="58" t="s">
        <v>159</v>
      </c>
      <c r="X3" s="58" t="s">
        <v>160</v>
      </c>
      <c r="Y3" s="58" t="s">
        <v>161</v>
      </c>
      <c r="Z3" s="128" t="s">
        <v>230</v>
      </c>
      <c r="AA3" s="164" t="s">
        <v>166</v>
      </c>
      <c r="AB3" s="161" t="s">
        <v>166</v>
      </c>
      <c r="AC3" s="161" t="s">
        <v>161</v>
      </c>
      <c r="AD3" s="161" t="s">
        <v>161</v>
      </c>
      <c r="AE3" s="150" t="s">
        <v>167</v>
      </c>
      <c r="AF3" s="150" t="s">
        <v>167</v>
      </c>
      <c r="AG3" s="157" t="s">
        <v>167</v>
      </c>
      <c r="AH3" s="157" t="s">
        <v>274</v>
      </c>
      <c r="AI3" s="153" t="s">
        <v>160</v>
      </c>
      <c r="AJ3" s="123"/>
      <c r="AK3" s="23"/>
      <c r="AL3" s="24"/>
      <c r="AM3" s="24"/>
      <c r="AN3" s="24"/>
      <c r="AO3" s="24"/>
      <c r="AP3" s="24"/>
      <c r="AQ3" s="24"/>
      <c r="AR3" s="24"/>
      <c r="AT3" s="83"/>
      <c r="AU3" s="83"/>
      <c r="AV3" s="83"/>
      <c r="AW3" s="83"/>
      <c r="AX3" s="83"/>
      <c r="AY3" s="27"/>
      <c r="AZ3"/>
      <c r="BA3" s="77" t="s">
        <v>158</v>
      </c>
      <c r="BB3" s="77" t="s">
        <v>159</v>
      </c>
      <c r="BC3" s="77" t="s">
        <v>160</v>
      </c>
      <c r="BD3" s="77" t="s">
        <v>161</v>
      </c>
      <c r="BE3" s="77" t="s">
        <v>275</v>
      </c>
      <c r="BF3" s="77" t="s">
        <v>276</v>
      </c>
      <c r="BG3" s="58" t="s">
        <v>158</v>
      </c>
      <c r="BH3" s="58" t="s">
        <v>159</v>
      </c>
      <c r="BI3" s="58" t="s">
        <v>160</v>
      </c>
      <c r="BJ3" s="58" t="s">
        <v>161</v>
      </c>
      <c r="BK3"/>
      <c r="BL3" s="28"/>
    </row>
    <row r="4" spans="1:64" s="25" customFormat="1" ht="16.5" customHeight="1">
      <c r="A4" s="130" t="s">
        <v>171</v>
      </c>
      <c r="B4" s="451" t="s">
        <v>277</v>
      </c>
      <c r="C4" s="452"/>
      <c r="D4" s="452"/>
      <c r="E4" s="452"/>
      <c r="F4" s="452"/>
      <c r="G4" s="452"/>
      <c r="H4" s="452"/>
      <c r="I4" s="452"/>
      <c r="J4" s="453"/>
      <c r="K4" s="458" t="s">
        <v>173</v>
      </c>
      <c r="L4" s="458"/>
      <c r="M4" s="458"/>
      <c r="N4" s="458"/>
      <c r="O4" s="458"/>
      <c r="P4" s="458"/>
      <c r="Q4" s="458"/>
      <c r="R4" s="458"/>
      <c r="S4" s="369"/>
      <c r="T4" s="445" t="s">
        <v>174</v>
      </c>
      <c r="U4" s="446"/>
      <c r="V4" s="446"/>
      <c r="W4" s="446"/>
      <c r="X4" s="446"/>
      <c r="Y4" s="446"/>
      <c r="Z4" s="447"/>
      <c r="AA4" s="448" t="s">
        <v>175</v>
      </c>
      <c r="AB4" s="449"/>
      <c r="AC4" s="449"/>
      <c r="AD4" s="449"/>
      <c r="AE4" s="449"/>
      <c r="AF4" s="449"/>
      <c r="AG4" s="449"/>
      <c r="AH4" s="449"/>
      <c r="AI4" s="450"/>
      <c r="AJ4" s="123"/>
      <c r="AK4" s="23"/>
      <c r="AL4" s="24"/>
      <c r="AM4" s="24"/>
      <c r="AN4" s="24"/>
      <c r="AO4" s="24"/>
      <c r="AP4" s="24"/>
      <c r="AQ4" s="24"/>
      <c r="AR4" s="24"/>
      <c r="AT4" s="83"/>
      <c r="AU4" s="83"/>
      <c r="AV4" s="83"/>
      <c r="AW4" s="83"/>
      <c r="AX4" s="83"/>
      <c r="AY4" s="27"/>
      <c r="AZ4"/>
      <c r="BA4" s="77"/>
      <c r="BB4" s="77"/>
      <c r="BC4" s="77"/>
      <c r="BD4" s="77"/>
      <c r="BE4" s="77"/>
      <c r="BF4" s="77"/>
      <c r="BG4" s="58"/>
      <c r="BH4" s="58"/>
      <c r="BI4" s="58"/>
      <c r="BJ4" s="58"/>
      <c r="BK4"/>
      <c r="BL4" s="28"/>
    </row>
    <row r="5" spans="1:64" s="87" customFormat="1" ht="25.5" customHeight="1">
      <c r="A5" s="245">
        <v>46235</v>
      </c>
      <c r="B5" s="246">
        <v>0</v>
      </c>
      <c r="C5" s="247">
        <v>148</v>
      </c>
      <c r="D5" s="247">
        <v>16</v>
      </c>
      <c r="E5" s="247">
        <v>4</v>
      </c>
      <c r="F5" s="247">
        <v>10</v>
      </c>
      <c r="G5" s="247">
        <v>0</v>
      </c>
      <c r="H5" s="247">
        <v>4</v>
      </c>
      <c r="I5" s="247">
        <v>0</v>
      </c>
      <c r="J5" s="250">
        <v>0</v>
      </c>
      <c r="K5" s="251">
        <v>3</v>
      </c>
      <c r="L5" s="247">
        <v>16</v>
      </c>
      <c r="M5" s="247">
        <v>16</v>
      </c>
      <c r="N5" s="247">
        <v>40</v>
      </c>
      <c r="O5" s="247">
        <v>9</v>
      </c>
      <c r="P5" s="247">
        <v>6</v>
      </c>
      <c r="Q5" s="247">
        <v>2</v>
      </c>
      <c r="R5" s="249">
        <v>0</v>
      </c>
      <c r="S5" s="250"/>
      <c r="T5" s="248">
        <v>24</v>
      </c>
      <c r="U5" s="247">
        <v>11</v>
      </c>
      <c r="V5" s="247"/>
      <c r="W5" s="247">
        <v>1</v>
      </c>
      <c r="X5" s="247">
        <v>0</v>
      </c>
      <c r="Y5" s="247">
        <v>0</v>
      </c>
      <c r="Z5" s="250">
        <v>8</v>
      </c>
      <c r="AA5" s="248">
        <v>0</v>
      </c>
      <c r="AB5" s="247"/>
      <c r="AC5" s="247">
        <v>0</v>
      </c>
      <c r="AD5" s="247">
        <v>0</v>
      </c>
      <c r="AE5" s="247">
        <v>0</v>
      </c>
      <c r="AF5" s="247"/>
      <c r="AG5" s="247">
        <v>0</v>
      </c>
      <c r="AH5" s="249">
        <v>0</v>
      </c>
      <c r="AI5" s="250">
        <v>0</v>
      </c>
      <c r="AJ5" s="251">
        <f t="shared" ref="AJ5:AJ31" si="0">SUM(B5:AI5)</f>
        <v>318</v>
      </c>
      <c r="AK5" s="29"/>
      <c r="AL5" s="252">
        <f>SUM(E5:H5)+SUM(I5:J5)*2+SUM(K5:L5)*2+SUM(M5:N5)*3+AH5+SUM(AA5:AD5)</f>
        <v>224</v>
      </c>
      <c r="AM5" s="252">
        <f>SUM(E5:J5)+SUM(O5:R5)*3</f>
        <v>69</v>
      </c>
      <c r="AN5" s="252">
        <f>B5+SUM(C5:D5)*2+SUM(K5:N5)*2+SUM(O5:R5)</f>
        <v>495</v>
      </c>
      <c r="AO5" s="254">
        <v>0</v>
      </c>
      <c r="AP5" s="254">
        <v>24</v>
      </c>
      <c r="AQ5" s="254">
        <v>0</v>
      </c>
      <c r="AR5" s="252">
        <f t="shared" ref="AR5:AR35" si="1">SUM(AA5:AB5)+AH5</f>
        <v>0</v>
      </c>
      <c r="AS5" s="29"/>
      <c r="AT5" s="252">
        <f>AJ5-AU5-AW5-AV5</f>
        <v>240</v>
      </c>
      <c r="AU5" s="252">
        <v>70</v>
      </c>
      <c r="AV5" s="252">
        <f t="shared" ref="AV5:AV29" si="2">AH5</f>
        <v>0</v>
      </c>
      <c r="AW5" s="252">
        <f t="shared" ref="AW5:AW35" si="3">Z5</f>
        <v>8</v>
      </c>
      <c r="AX5" s="252"/>
      <c r="AY5" s="252"/>
      <c r="AZ5" s="29"/>
      <c r="BA5" s="252">
        <f t="shared" ref="BA5:BA35" si="4">SUM(B5:D5)+K5+L5+AA5</f>
        <v>183</v>
      </c>
      <c r="BB5" s="252">
        <f t="shared" ref="BB5:BB31" si="5">SUM(E5:F5)+SUM(M5:N5)+AB5+AH5+S5</f>
        <v>70</v>
      </c>
      <c r="BC5" s="252">
        <f t="shared" ref="BC5:BC31" si="6">SUM(G5:H5)+O5+P5</f>
        <v>19</v>
      </c>
      <c r="BD5" s="252">
        <f t="shared" ref="BD5:BD31" si="7">SUM(I5:J5)+Q5+R5+AC5+AD5</f>
        <v>2</v>
      </c>
      <c r="BE5" s="252"/>
      <c r="BF5" s="252"/>
      <c r="BG5" s="252">
        <f t="shared" ref="BG5:BG31" si="8">SUM(T5:V5)+AE5+AG5</f>
        <v>35</v>
      </c>
      <c r="BH5" s="252">
        <f t="shared" ref="BH5:BH31" si="9">W5+AF5</f>
        <v>1</v>
      </c>
      <c r="BI5" s="252">
        <f t="shared" ref="BI5:BI31" si="10">X5+Z5+AI5</f>
        <v>8</v>
      </c>
      <c r="BJ5" s="252">
        <f t="shared" ref="BJ5:BJ31" si="11">Y5</f>
        <v>0</v>
      </c>
      <c r="BK5" s="29"/>
      <c r="BL5" s="253"/>
    </row>
    <row r="6" spans="1:64" ht="25.5" customHeight="1">
      <c r="A6" s="245">
        <f t="shared" ref="A6:A35" si="12">A5+1</f>
        <v>46236</v>
      </c>
      <c r="B6" s="246">
        <v>0</v>
      </c>
      <c r="C6" s="247">
        <v>240</v>
      </c>
      <c r="D6" s="247">
        <v>0</v>
      </c>
      <c r="E6" s="247">
        <v>26</v>
      </c>
      <c r="F6" s="247">
        <v>21</v>
      </c>
      <c r="G6" s="247">
        <v>13</v>
      </c>
      <c r="H6" s="247">
        <v>0</v>
      </c>
      <c r="I6" s="247">
        <v>0</v>
      </c>
      <c r="J6" s="250">
        <v>0</v>
      </c>
      <c r="K6" s="251">
        <v>5</v>
      </c>
      <c r="L6" s="247">
        <v>32</v>
      </c>
      <c r="M6" s="247">
        <v>70</v>
      </c>
      <c r="N6" s="247">
        <v>51</v>
      </c>
      <c r="O6" s="247">
        <v>15</v>
      </c>
      <c r="P6" s="247">
        <v>14</v>
      </c>
      <c r="Q6" s="247">
        <v>0</v>
      </c>
      <c r="R6" s="249">
        <v>0</v>
      </c>
      <c r="S6" s="250"/>
      <c r="T6" s="248">
        <v>41</v>
      </c>
      <c r="U6" s="247">
        <v>12</v>
      </c>
      <c r="V6" s="247"/>
      <c r="W6" s="247">
        <v>5</v>
      </c>
      <c r="X6" s="247">
        <v>0</v>
      </c>
      <c r="Y6" s="247">
        <v>0</v>
      </c>
      <c r="Z6" s="250">
        <v>16</v>
      </c>
      <c r="AA6" s="248">
        <v>0</v>
      </c>
      <c r="AB6" s="247"/>
      <c r="AC6" s="247">
        <v>0</v>
      </c>
      <c r="AD6" s="247">
        <v>0</v>
      </c>
      <c r="AE6" s="247">
        <v>0</v>
      </c>
      <c r="AF6" s="247"/>
      <c r="AG6" s="247">
        <v>0</v>
      </c>
      <c r="AH6" s="249">
        <v>0</v>
      </c>
      <c r="AI6" s="250">
        <v>0</v>
      </c>
      <c r="AJ6" s="251">
        <f t="shared" si="0"/>
        <v>561</v>
      </c>
      <c r="AL6" s="252">
        <f t="shared" ref="AL6:AL19" si="13">SUM(E6:H6)+SUM(I6:J6)*2+SUM(K6:L6)*2+SUM(M6:N6)*3+AH6+SUM(AA6:AD6)</f>
        <v>497</v>
      </c>
      <c r="AM6" s="252">
        <f t="shared" ref="AM6:AM35" si="14">SUM(E6:J6)+SUM(O6:R6)*3</f>
        <v>147</v>
      </c>
      <c r="AN6" s="252">
        <f t="shared" ref="AN6:AN35" si="15">B6+SUM(C6:D6)*2+SUM(K6:N6)*2+SUM(O6:R6)</f>
        <v>825</v>
      </c>
      <c r="AO6" s="254">
        <v>0</v>
      </c>
      <c r="AP6" s="254">
        <v>32</v>
      </c>
      <c r="AQ6" s="254">
        <v>0</v>
      </c>
      <c r="AR6" s="252">
        <f t="shared" si="1"/>
        <v>0</v>
      </c>
      <c r="AT6" s="252">
        <f t="shared" ref="AT6:AT31" si="16">AJ6-AU6-AW6-AV6</f>
        <v>341</v>
      </c>
      <c r="AU6" s="252">
        <v>204</v>
      </c>
      <c r="AV6" s="252">
        <f t="shared" si="2"/>
        <v>0</v>
      </c>
      <c r="AW6" s="252">
        <f t="shared" si="3"/>
        <v>16</v>
      </c>
      <c r="AX6" s="252"/>
      <c r="AY6" s="252"/>
      <c r="BA6" s="252">
        <f t="shared" si="4"/>
        <v>277</v>
      </c>
      <c r="BB6" s="252">
        <f t="shared" si="5"/>
        <v>168</v>
      </c>
      <c r="BC6" s="252">
        <f t="shared" si="6"/>
        <v>42</v>
      </c>
      <c r="BD6" s="252">
        <f t="shared" si="7"/>
        <v>0</v>
      </c>
      <c r="BE6" s="252"/>
      <c r="BF6" s="252"/>
      <c r="BG6" s="252">
        <f t="shared" si="8"/>
        <v>53</v>
      </c>
      <c r="BH6" s="252">
        <f t="shared" si="9"/>
        <v>5</v>
      </c>
      <c r="BI6" s="252">
        <f t="shared" si="10"/>
        <v>16</v>
      </c>
      <c r="BJ6" s="252">
        <f t="shared" si="11"/>
        <v>0</v>
      </c>
      <c r="BL6" s="15"/>
    </row>
    <row r="7" spans="1:64" ht="25.5" customHeight="1">
      <c r="A7" s="245">
        <f t="shared" si="12"/>
        <v>46237</v>
      </c>
      <c r="B7" s="246">
        <v>0</v>
      </c>
      <c r="C7" s="247">
        <v>827</v>
      </c>
      <c r="D7" s="247">
        <v>24</v>
      </c>
      <c r="E7" s="247">
        <v>8</v>
      </c>
      <c r="F7" s="247">
        <v>18</v>
      </c>
      <c r="G7" s="247">
        <v>3</v>
      </c>
      <c r="H7" s="247">
        <v>0</v>
      </c>
      <c r="I7" s="247">
        <v>0</v>
      </c>
      <c r="J7" s="250">
        <v>0</v>
      </c>
      <c r="K7" s="251">
        <v>16</v>
      </c>
      <c r="L7" s="247">
        <v>20</v>
      </c>
      <c r="M7" s="247">
        <v>33</v>
      </c>
      <c r="N7" s="247">
        <v>71</v>
      </c>
      <c r="O7" s="247">
        <v>15</v>
      </c>
      <c r="P7" s="247">
        <v>7</v>
      </c>
      <c r="Q7" s="247">
        <v>3</v>
      </c>
      <c r="R7" s="249">
        <v>4</v>
      </c>
      <c r="S7" s="250"/>
      <c r="T7" s="248">
        <v>63</v>
      </c>
      <c r="U7" s="247">
        <v>27</v>
      </c>
      <c r="V7" s="247"/>
      <c r="W7" s="247">
        <v>3</v>
      </c>
      <c r="X7" s="247">
        <v>0</v>
      </c>
      <c r="Y7" s="247">
        <v>0</v>
      </c>
      <c r="Z7" s="250">
        <v>13</v>
      </c>
      <c r="AA7" s="248">
        <v>0</v>
      </c>
      <c r="AB7" s="247"/>
      <c r="AC7" s="247">
        <v>0</v>
      </c>
      <c r="AD7" s="247">
        <v>0</v>
      </c>
      <c r="AE7" s="247">
        <v>0</v>
      </c>
      <c r="AF7" s="247"/>
      <c r="AG7" s="247">
        <v>0</v>
      </c>
      <c r="AH7" s="247">
        <v>0</v>
      </c>
      <c r="AI7" s="250">
        <v>0</v>
      </c>
      <c r="AJ7" s="251">
        <f t="shared" si="0"/>
        <v>1155</v>
      </c>
      <c r="AL7" s="252">
        <f t="shared" si="13"/>
        <v>413</v>
      </c>
      <c r="AM7" s="252">
        <f t="shared" si="14"/>
        <v>116</v>
      </c>
      <c r="AN7" s="252">
        <f t="shared" si="15"/>
        <v>2011</v>
      </c>
      <c r="AO7" s="254">
        <v>0</v>
      </c>
      <c r="AP7" s="254">
        <v>33</v>
      </c>
      <c r="AQ7" s="254">
        <v>0</v>
      </c>
      <c r="AR7" s="252">
        <f t="shared" si="1"/>
        <v>0</v>
      </c>
      <c r="AT7" s="252">
        <f t="shared" si="16"/>
        <v>402</v>
      </c>
      <c r="AU7" s="252">
        <v>740</v>
      </c>
      <c r="AV7" s="252">
        <f t="shared" si="2"/>
        <v>0</v>
      </c>
      <c r="AW7" s="252">
        <f t="shared" si="3"/>
        <v>13</v>
      </c>
      <c r="AX7" s="252"/>
      <c r="AY7" s="252"/>
      <c r="BA7" s="252">
        <f t="shared" si="4"/>
        <v>887</v>
      </c>
      <c r="BB7" s="252">
        <f t="shared" si="5"/>
        <v>130</v>
      </c>
      <c r="BC7" s="252">
        <f t="shared" si="6"/>
        <v>25</v>
      </c>
      <c r="BD7" s="252">
        <f t="shared" si="7"/>
        <v>7</v>
      </c>
      <c r="BE7" s="252"/>
      <c r="BF7" s="252"/>
      <c r="BG7" s="252">
        <f t="shared" si="8"/>
        <v>90</v>
      </c>
      <c r="BH7" s="252">
        <f t="shared" si="9"/>
        <v>3</v>
      </c>
      <c r="BI7" s="252">
        <f t="shared" si="10"/>
        <v>13</v>
      </c>
      <c r="BJ7" s="252">
        <f t="shared" si="11"/>
        <v>0</v>
      </c>
      <c r="BL7" s="253"/>
    </row>
    <row r="8" spans="1:64" ht="25.5" customHeight="1">
      <c r="A8" s="245">
        <f t="shared" si="12"/>
        <v>46238</v>
      </c>
      <c r="B8" s="246">
        <v>0</v>
      </c>
      <c r="C8" s="247">
        <v>428</v>
      </c>
      <c r="D8" s="247">
        <v>24</v>
      </c>
      <c r="E8" s="247">
        <v>18</v>
      </c>
      <c r="F8" s="247">
        <v>15</v>
      </c>
      <c r="G8" s="247">
        <v>12</v>
      </c>
      <c r="H8" s="247">
        <v>0</v>
      </c>
      <c r="I8" s="247">
        <v>1</v>
      </c>
      <c r="J8" s="250">
        <v>0</v>
      </c>
      <c r="K8" s="251">
        <v>300</v>
      </c>
      <c r="L8" s="247">
        <v>18</v>
      </c>
      <c r="M8" s="247">
        <v>121</v>
      </c>
      <c r="N8" s="247">
        <v>74</v>
      </c>
      <c r="O8" s="247">
        <v>15</v>
      </c>
      <c r="P8" s="247">
        <v>3</v>
      </c>
      <c r="Q8" s="247">
        <v>0</v>
      </c>
      <c r="R8" s="249">
        <v>0</v>
      </c>
      <c r="S8" s="250"/>
      <c r="T8" s="248">
        <v>52</v>
      </c>
      <c r="U8" s="247">
        <v>9</v>
      </c>
      <c r="V8" s="247"/>
      <c r="W8" s="247">
        <v>4</v>
      </c>
      <c r="X8" s="247">
        <v>0</v>
      </c>
      <c r="Y8" s="247">
        <v>0</v>
      </c>
      <c r="Z8" s="250">
        <v>12</v>
      </c>
      <c r="AA8" s="248">
        <v>0</v>
      </c>
      <c r="AB8" s="247"/>
      <c r="AC8" s="247">
        <v>0</v>
      </c>
      <c r="AD8" s="247">
        <v>0</v>
      </c>
      <c r="AE8" s="247">
        <v>0</v>
      </c>
      <c r="AF8" s="247"/>
      <c r="AG8" s="247">
        <v>0</v>
      </c>
      <c r="AH8" s="247">
        <v>0</v>
      </c>
      <c r="AI8" s="250">
        <v>0</v>
      </c>
      <c r="AJ8" s="251">
        <f t="shared" si="0"/>
        <v>1106</v>
      </c>
      <c r="AL8" s="252">
        <f t="shared" si="13"/>
        <v>1268</v>
      </c>
      <c r="AM8" s="252">
        <f t="shared" si="14"/>
        <v>100</v>
      </c>
      <c r="AN8" s="252">
        <f t="shared" si="15"/>
        <v>1948</v>
      </c>
      <c r="AO8" s="254">
        <v>0</v>
      </c>
      <c r="AP8" s="254">
        <v>24</v>
      </c>
      <c r="AQ8" s="254">
        <v>0</v>
      </c>
      <c r="AR8" s="252">
        <f t="shared" si="1"/>
        <v>0</v>
      </c>
      <c r="AT8" s="252">
        <f t="shared" si="16"/>
        <v>340</v>
      </c>
      <c r="AU8" s="252">
        <v>754</v>
      </c>
      <c r="AV8" s="252">
        <f t="shared" si="2"/>
        <v>0</v>
      </c>
      <c r="AW8" s="252">
        <f t="shared" si="3"/>
        <v>12</v>
      </c>
      <c r="AX8" s="252"/>
      <c r="AY8" s="252"/>
      <c r="BA8" s="252">
        <f t="shared" si="4"/>
        <v>770</v>
      </c>
      <c r="BB8" s="252">
        <f t="shared" si="5"/>
        <v>228</v>
      </c>
      <c r="BC8" s="252">
        <f t="shared" si="6"/>
        <v>30</v>
      </c>
      <c r="BD8" s="252">
        <f t="shared" si="7"/>
        <v>1</v>
      </c>
      <c r="BE8" s="252"/>
      <c r="BF8" s="252"/>
      <c r="BG8" s="252">
        <f t="shared" si="8"/>
        <v>61</v>
      </c>
      <c r="BH8" s="252">
        <f t="shared" si="9"/>
        <v>4</v>
      </c>
      <c r="BI8" s="252">
        <f t="shared" si="10"/>
        <v>12</v>
      </c>
      <c r="BJ8" s="252">
        <f t="shared" si="11"/>
        <v>0</v>
      </c>
      <c r="BL8" s="253"/>
    </row>
    <row r="9" spans="1:64" s="87" customFormat="1" ht="25.5" customHeight="1">
      <c r="A9" s="245">
        <f t="shared" si="12"/>
        <v>46239</v>
      </c>
      <c r="B9" s="246">
        <v>0</v>
      </c>
      <c r="C9" s="247">
        <v>124</v>
      </c>
      <c r="D9" s="247">
        <v>13</v>
      </c>
      <c r="E9" s="247">
        <v>16</v>
      </c>
      <c r="F9" s="247">
        <v>22</v>
      </c>
      <c r="G9" s="247">
        <v>7</v>
      </c>
      <c r="H9" s="247">
        <v>6</v>
      </c>
      <c r="I9" s="247">
        <v>1</v>
      </c>
      <c r="J9" s="250">
        <v>0</v>
      </c>
      <c r="K9" s="251">
        <v>42</v>
      </c>
      <c r="L9" s="247">
        <v>16</v>
      </c>
      <c r="M9" s="247">
        <v>41</v>
      </c>
      <c r="N9" s="247">
        <v>37</v>
      </c>
      <c r="O9" s="247">
        <v>6</v>
      </c>
      <c r="P9" s="247">
        <v>4</v>
      </c>
      <c r="Q9" s="247">
        <v>1</v>
      </c>
      <c r="R9" s="249">
        <v>0</v>
      </c>
      <c r="S9" s="250"/>
      <c r="T9" s="248">
        <v>216</v>
      </c>
      <c r="U9" s="247">
        <v>10</v>
      </c>
      <c r="V9" s="247"/>
      <c r="W9" s="247">
        <v>0</v>
      </c>
      <c r="X9" s="247">
        <v>0</v>
      </c>
      <c r="Y9" s="247">
        <v>0</v>
      </c>
      <c r="Z9" s="250">
        <v>22</v>
      </c>
      <c r="AA9" s="248">
        <v>0</v>
      </c>
      <c r="AB9" s="247"/>
      <c r="AC9" s="247">
        <v>0</v>
      </c>
      <c r="AD9" s="247">
        <v>0</v>
      </c>
      <c r="AE9" s="247">
        <v>0</v>
      </c>
      <c r="AF9" s="247"/>
      <c r="AG9" s="247">
        <v>0</v>
      </c>
      <c r="AH9" s="247">
        <v>0</v>
      </c>
      <c r="AI9" s="261">
        <v>0</v>
      </c>
      <c r="AJ9" s="251">
        <f t="shared" si="0"/>
        <v>584</v>
      </c>
      <c r="AK9" s="29"/>
      <c r="AL9" s="252">
        <f t="shared" si="13"/>
        <v>403</v>
      </c>
      <c r="AM9" s="252">
        <f t="shared" si="14"/>
        <v>85</v>
      </c>
      <c r="AN9" s="252">
        <f t="shared" si="15"/>
        <v>557</v>
      </c>
      <c r="AO9" s="254">
        <v>0</v>
      </c>
      <c r="AP9" s="254">
        <v>41</v>
      </c>
      <c r="AQ9" s="254">
        <v>0</v>
      </c>
      <c r="AR9" s="252">
        <f t="shared" si="1"/>
        <v>0</v>
      </c>
      <c r="AS9" s="29"/>
      <c r="AT9" s="252">
        <f t="shared" si="16"/>
        <v>328</v>
      </c>
      <c r="AU9" s="252">
        <v>234</v>
      </c>
      <c r="AV9" s="252">
        <f t="shared" si="2"/>
        <v>0</v>
      </c>
      <c r="AW9" s="252">
        <f t="shared" si="3"/>
        <v>22</v>
      </c>
      <c r="AX9" s="252"/>
      <c r="AY9" s="252"/>
      <c r="AZ9" s="29"/>
      <c r="BA9" s="252">
        <f t="shared" si="4"/>
        <v>195</v>
      </c>
      <c r="BB9" s="252">
        <f t="shared" si="5"/>
        <v>116</v>
      </c>
      <c r="BC9" s="252">
        <f t="shared" si="6"/>
        <v>23</v>
      </c>
      <c r="BD9" s="252">
        <f>SUM(I9:J9)+Q9+R9+AC9+AD9</f>
        <v>2</v>
      </c>
      <c r="BE9" s="252"/>
      <c r="BF9" s="252"/>
      <c r="BG9" s="252">
        <f t="shared" si="8"/>
        <v>226</v>
      </c>
      <c r="BH9" s="252">
        <f t="shared" si="9"/>
        <v>0</v>
      </c>
      <c r="BI9" s="252">
        <f t="shared" si="10"/>
        <v>22</v>
      </c>
      <c r="BJ9" s="252">
        <f t="shared" si="11"/>
        <v>0</v>
      </c>
      <c r="BK9" s="29"/>
      <c r="BL9" s="253"/>
    </row>
    <row r="10" spans="1:64" s="87" customFormat="1" ht="25.5" customHeight="1">
      <c r="A10" s="245">
        <f t="shared" si="12"/>
        <v>46240</v>
      </c>
      <c r="B10" s="246">
        <v>0</v>
      </c>
      <c r="C10" s="247">
        <v>98</v>
      </c>
      <c r="D10" s="247">
        <v>7</v>
      </c>
      <c r="E10" s="247">
        <v>19</v>
      </c>
      <c r="F10" s="247">
        <v>28</v>
      </c>
      <c r="G10" s="247">
        <v>4</v>
      </c>
      <c r="H10" s="247">
        <v>0</v>
      </c>
      <c r="I10" s="247">
        <v>0</v>
      </c>
      <c r="J10" s="250">
        <v>0</v>
      </c>
      <c r="K10" s="251">
        <v>14</v>
      </c>
      <c r="L10" s="247">
        <v>3</v>
      </c>
      <c r="M10" s="247">
        <v>37</v>
      </c>
      <c r="N10" s="247">
        <v>103</v>
      </c>
      <c r="O10" s="247">
        <v>28</v>
      </c>
      <c r="P10" s="247">
        <v>14</v>
      </c>
      <c r="Q10" s="247">
        <v>5</v>
      </c>
      <c r="R10" s="249">
        <v>1</v>
      </c>
      <c r="S10" s="250"/>
      <c r="T10" s="248">
        <v>116</v>
      </c>
      <c r="U10" s="247">
        <v>25</v>
      </c>
      <c r="V10" s="247"/>
      <c r="W10" s="247">
        <v>4</v>
      </c>
      <c r="X10" s="247">
        <v>0</v>
      </c>
      <c r="Y10" s="247">
        <v>0</v>
      </c>
      <c r="Z10" s="250">
        <v>38</v>
      </c>
      <c r="AA10" s="248">
        <v>0</v>
      </c>
      <c r="AB10" s="247"/>
      <c r="AC10" s="247">
        <v>0</v>
      </c>
      <c r="AD10" s="247">
        <v>0</v>
      </c>
      <c r="AE10" s="247">
        <v>0</v>
      </c>
      <c r="AF10" s="247"/>
      <c r="AG10" s="247">
        <v>0</v>
      </c>
      <c r="AH10" s="247">
        <v>0</v>
      </c>
      <c r="AI10" s="261">
        <v>0</v>
      </c>
      <c r="AJ10" s="251">
        <f t="shared" si="0"/>
        <v>544</v>
      </c>
      <c r="AK10" s="29"/>
      <c r="AL10" s="252">
        <f t="shared" si="13"/>
        <v>505</v>
      </c>
      <c r="AM10" s="252">
        <f t="shared" si="14"/>
        <v>195</v>
      </c>
      <c r="AN10" s="252">
        <f t="shared" si="15"/>
        <v>572</v>
      </c>
      <c r="AO10" s="254">
        <v>0</v>
      </c>
      <c r="AP10" s="254">
        <v>32</v>
      </c>
      <c r="AQ10" s="254">
        <v>0</v>
      </c>
      <c r="AR10" s="252">
        <f t="shared" si="1"/>
        <v>0</v>
      </c>
      <c r="AS10" s="29"/>
      <c r="AT10" s="252">
        <f t="shared" si="16"/>
        <v>304</v>
      </c>
      <c r="AU10" s="252">
        <v>202</v>
      </c>
      <c r="AV10" s="252">
        <f t="shared" si="2"/>
        <v>0</v>
      </c>
      <c r="AW10" s="252">
        <f t="shared" si="3"/>
        <v>38</v>
      </c>
      <c r="AX10" s="252"/>
      <c r="AY10" s="252"/>
      <c r="AZ10" s="29"/>
      <c r="BA10" s="252">
        <f t="shared" si="4"/>
        <v>122</v>
      </c>
      <c r="BB10" s="252">
        <f t="shared" si="5"/>
        <v>187</v>
      </c>
      <c r="BC10" s="252">
        <f t="shared" si="6"/>
        <v>46</v>
      </c>
      <c r="BD10" s="252">
        <f t="shared" si="7"/>
        <v>6</v>
      </c>
      <c r="BE10" s="252"/>
      <c r="BF10" s="252"/>
      <c r="BG10" s="252">
        <f t="shared" si="8"/>
        <v>141</v>
      </c>
      <c r="BH10" s="252">
        <f t="shared" si="9"/>
        <v>4</v>
      </c>
      <c r="BI10" s="252">
        <f t="shared" si="10"/>
        <v>38</v>
      </c>
      <c r="BJ10" s="252">
        <f t="shared" si="11"/>
        <v>0</v>
      </c>
      <c r="BK10" s="29"/>
      <c r="BL10" s="253"/>
    </row>
    <row r="11" spans="1:64" s="87" customFormat="1" ht="25.5" customHeight="1">
      <c r="A11" s="245">
        <f t="shared" si="12"/>
        <v>46241</v>
      </c>
      <c r="B11" s="246">
        <v>0</v>
      </c>
      <c r="C11" s="247">
        <v>115</v>
      </c>
      <c r="D11" s="247">
        <v>22</v>
      </c>
      <c r="E11" s="247">
        <v>13</v>
      </c>
      <c r="F11" s="247">
        <v>19</v>
      </c>
      <c r="G11" s="247">
        <v>1</v>
      </c>
      <c r="H11" s="247">
        <v>1</v>
      </c>
      <c r="I11" s="247">
        <v>1</v>
      </c>
      <c r="J11" s="250">
        <v>0</v>
      </c>
      <c r="K11" s="251">
        <v>8</v>
      </c>
      <c r="L11" s="247">
        <v>7</v>
      </c>
      <c r="M11" s="247">
        <v>36</v>
      </c>
      <c r="N11" s="247">
        <v>20</v>
      </c>
      <c r="O11" s="247">
        <v>9</v>
      </c>
      <c r="P11" s="247">
        <v>5</v>
      </c>
      <c r="Q11" s="247">
        <v>0</v>
      </c>
      <c r="R11" s="249">
        <v>0</v>
      </c>
      <c r="S11" s="250"/>
      <c r="T11" s="248">
        <v>462</v>
      </c>
      <c r="U11" s="247">
        <v>43</v>
      </c>
      <c r="V11" s="247"/>
      <c r="W11" s="247">
        <v>2</v>
      </c>
      <c r="X11" s="247">
        <v>0</v>
      </c>
      <c r="Y11" s="247">
        <v>0</v>
      </c>
      <c r="Z11" s="250">
        <v>14</v>
      </c>
      <c r="AA11" s="248">
        <v>0</v>
      </c>
      <c r="AB11" s="247"/>
      <c r="AC11" s="247">
        <v>0</v>
      </c>
      <c r="AD11" s="247">
        <v>0</v>
      </c>
      <c r="AE11" s="247">
        <v>0</v>
      </c>
      <c r="AF11" s="247"/>
      <c r="AG11" s="247">
        <v>0</v>
      </c>
      <c r="AH11" s="247">
        <v>0</v>
      </c>
      <c r="AI11" s="261">
        <v>0</v>
      </c>
      <c r="AJ11" s="251">
        <f t="shared" si="0"/>
        <v>778</v>
      </c>
      <c r="AK11" s="29"/>
      <c r="AL11" s="252">
        <f t="shared" si="13"/>
        <v>234</v>
      </c>
      <c r="AM11" s="252">
        <f t="shared" si="14"/>
        <v>77</v>
      </c>
      <c r="AN11" s="252">
        <f t="shared" si="15"/>
        <v>430</v>
      </c>
      <c r="AO11" s="254">
        <v>0</v>
      </c>
      <c r="AP11" s="254">
        <v>19</v>
      </c>
      <c r="AQ11" s="254">
        <v>0</v>
      </c>
      <c r="AR11" s="252">
        <f t="shared" si="1"/>
        <v>0</v>
      </c>
      <c r="AS11" s="29"/>
      <c r="AT11" s="252">
        <f>AJ11-AU11-AW11-AV11</f>
        <v>227</v>
      </c>
      <c r="AU11" s="252">
        <v>537</v>
      </c>
      <c r="AV11" s="252">
        <f t="shared" si="2"/>
        <v>0</v>
      </c>
      <c r="AW11" s="252">
        <f t="shared" si="3"/>
        <v>14</v>
      </c>
      <c r="AX11" s="252"/>
      <c r="AY11" s="252"/>
      <c r="AZ11" s="29"/>
      <c r="BA11" s="252">
        <f t="shared" si="4"/>
        <v>152</v>
      </c>
      <c r="BB11" s="252">
        <f t="shared" si="5"/>
        <v>88</v>
      </c>
      <c r="BC11" s="252">
        <f t="shared" si="6"/>
        <v>16</v>
      </c>
      <c r="BD11" s="252">
        <f t="shared" si="7"/>
        <v>1</v>
      </c>
      <c r="BE11" s="252"/>
      <c r="BF11" s="252"/>
      <c r="BG11" s="252">
        <f t="shared" si="8"/>
        <v>505</v>
      </c>
      <c r="BH11" s="252">
        <f t="shared" si="9"/>
        <v>2</v>
      </c>
      <c r="BI11" s="252">
        <f t="shared" si="10"/>
        <v>14</v>
      </c>
      <c r="BJ11" s="252">
        <f t="shared" si="11"/>
        <v>0</v>
      </c>
      <c r="BK11" s="29"/>
      <c r="BL11" s="253"/>
    </row>
    <row r="12" spans="1:64" s="87" customFormat="1" ht="25.5" customHeight="1">
      <c r="A12" s="245">
        <f t="shared" si="12"/>
        <v>46242</v>
      </c>
      <c r="B12" s="246">
        <v>0</v>
      </c>
      <c r="C12" s="247">
        <v>38</v>
      </c>
      <c r="D12" s="247">
        <v>5</v>
      </c>
      <c r="E12" s="247">
        <v>13</v>
      </c>
      <c r="F12" s="247">
        <v>12</v>
      </c>
      <c r="G12" s="247">
        <v>2</v>
      </c>
      <c r="H12" s="247">
        <v>0</v>
      </c>
      <c r="I12" s="247">
        <v>0</v>
      </c>
      <c r="J12" s="250">
        <v>0</v>
      </c>
      <c r="K12" s="251">
        <v>12</v>
      </c>
      <c r="L12" s="247">
        <v>5</v>
      </c>
      <c r="M12" s="247">
        <v>115</v>
      </c>
      <c r="N12" s="247">
        <v>34</v>
      </c>
      <c r="O12" s="247">
        <v>3</v>
      </c>
      <c r="P12" s="247">
        <v>1</v>
      </c>
      <c r="Q12" s="247">
        <v>0</v>
      </c>
      <c r="R12" s="249">
        <v>0</v>
      </c>
      <c r="S12" s="250"/>
      <c r="T12" s="248">
        <v>134</v>
      </c>
      <c r="U12" s="247">
        <v>20</v>
      </c>
      <c r="V12" s="247"/>
      <c r="W12" s="247">
        <v>0</v>
      </c>
      <c r="X12" s="247">
        <v>0</v>
      </c>
      <c r="Y12" s="247">
        <v>0</v>
      </c>
      <c r="Z12" s="247">
        <v>7</v>
      </c>
      <c r="AA12" s="248">
        <v>0</v>
      </c>
      <c r="AB12" s="247"/>
      <c r="AC12" s="247">
        <v>0</v>
      </c>
      <c r="AD12" s="247">
        <v>0</v>
      </c>
      <c r="AE12" s="247">
        <v>0</v>
      </c>
      <c r="AF12" s="247"/>
      <c r="AG12" s="247">
        <v>0</v>
      </c>
      <c r="AH12" s="247">
        <v>0</v>
      </c>
      <c r="AI12" s="261">
        <v>0</v>
      </c>
      <c r="AJ12" s="251">
        <f t="shared" si="0"/>
        <v>401</v>
      </c>
      <c r="AK12" s="29"/>
      <c r="AL12" s="252">
        <f t="shared" si="13"/>
        <v>508</v>
      </c>
      <c r="AM12" s="252">
        <f t="shared" si="14"/>
        <v>39</v>
      </c>
      <c r="AN12" s="252">
        <f t="shared" si="15"/>
        <v>422</v>
      </c>
      <c r="AO12" s="254">
        <v>0</v>
      </c>
      <c r="AP12" s="254">
        <v>8</v>
      </c>
      <c r="AQ12" s="254">
        <v>0</v>
      </c>
      <c r="AR12" s="252">
        <f t="shared" si="1"/>
        <v>0</v>
      </c>
      <c r="AS12" s="29"/>
      <c r="AT12" s="252">
        <f t="shared" si="16"/>
        <v>188</v>
      </c>
      <c r="AU12" s="252">
        <v>206</v>
      </c>
      <c r="AV12" s="252">
        <f t="shared" si="2"/>
        <v>0</v>
      </c>
      <c r="AW12" s="252">
        <f>Z12</f>
        <v>7</v>
      </c>
      <c r="AX12" s="252"/>
      <c r="AY12" s="252"/>
      <c r="AZ12" s="29"/>
      <c r="BA12" s="252">
        <f t="shared" si="4"/>
        <v>60</v>
      </c>
      <c r="BB12" s="252">
        <f t="shared" si="5"/>
        <v>174</v>
      </c>
      <c r="BC12" s="252">
        <f t="shared" si="6"/>
        <v>6</v>
      </c>
      <c r="BD12" s="252">
        <f t="shared" si="7"/>
        <v>0</v>
      </c>
      <c r="BE12" s="252"/>
      <c r="BF12" s="252"/>
      <c r="BG12" s="252">
        <f t="shared" si="8"/>
        <v>154</v>
      </c>
      <c r="BH12" s="252">
        <f t="shared" si="9"/>
        <v>0</v>
      </c>
      <c r="BI12" s="252">
        <f t="shared" si="10"/>
        <v>7</v>
      </c>
      <c r="BJ12" s="252">
        <f t="shared" si="11"/>
        <v>0</v>
      </c>
      <c r="BK12" s="29"/>
      <c r="BL12" s="253"/>
    </row>
    <row r="13" spans="1:64" s="87" customFormat="1" ht="25.5" customHeight="1">
      <c r="A13" s="245">
        <f t="shared" si="12"/>
        <v>46243</v>
      </c>
      <c r="B13" s="246">
        <v>0</v>
      </c>
      <c r="C13" s="247">
        <v>89</v>
      </c>
      <c r="D13" s="247">
        <v>1</v>
      </c>
      <c r="E13" s="247">
        <v>29</v>
      </c>
      <c r="F13" s="247">
        <v>3</v>
      </c>
      <c r="G13" s="247">
        <v>9</v>
      </c>
      <c r="H13" s="247">
        <v>2</v>
      </c>
      <c r="I13" s="247">
        <v>0</v>
      </c>
      <c r="J13" s="250">
        <v>0</v>
      </c>
      <c r="K13" s="251">
        <v>2</v>
      </c>
      <c r="L13" s="247">
        <v>3</v>
      </c>
      <c r="M13" s="247">
        <v>21</v>
      </c>
      <c r="N13" s="247">
        <v>95</v>
      </c>
      <c r="O13" s="247">
        <v>9</v>
      </c>
      <c r="P13" s="247">
        <v>25</v>
      </c>
      <c r="Q13" s="247">
        <v>1</v>
      </c>
      <c r="R13" s="249">
        <v>0</v>
      </c>
      <c r="S13" s="250"/>
      <c r="T13" s="248">
        <v>86</v>
      </c>
      <c r="U13" s="247">
        <v>12</v>
      </c>
      <c r="V13" s="247"/>
      <c r="W13" s="247">
        <v>0</v>
      </c>
      <c r="X13" s="247">
        <v>0</v>
      </c>
      <c r="Y13" s="247">
        <v>0</v>
      </c>
      <c r="Z13" s="250">
        <v>6</v>
      </c>
      <c r="AA13" s="248">
        <v>0</v>
      </c>
      <c r="AB13" s="247"/>
      <c r="AC13" s="247">
        <v>0</v>
      </c>
      <c r="AD13" s="247">
        <v>0</v>
      </c>
      <c r="AE13" s="247">
        <v>0</v>
      </c>
      <c r="AF13" s="247"/>
      <c r="AG13" s="247">
        <v>0</v>
      </c>
      <c r="AH13" s="247">
        <v>0</v>
      </c>
      <c r="AI13" s="261">
        <v>0</v>
      </c>
      <c r="AJ13" s="251">
        <f t="shared" si="0"/>
        <v>393</v>
      </c>
      <c r="AK13" s="29"/>
      <c r="AL13" s="252">
        <f t="shared" si="13"/>
        <v>401</v>
      </c>
      <c r="AM13" s="252">
        <f t="shared" si="14"/>
        <v>148</v>
      </c>
      <c r="AN13" s="252">
        <f t="shared" si="15"/>
        <v>457</v>
      </c>
      <c r="AO13" s="254">
        <v>0</v>
      </c>
      <c r="AP13" s="254">
        <v>23</v>
      </c>
      <c r="AQ13" s="254">
        <v>0</v>
      </c>
      <c r="AR13" s="252">
        <f t="shared" si="1"/>
        <v>0</v>
      </c>
      <c r="AS13" s="29"/>
      <c r="AT13" s="252">
        <f t="shared" si="16"/>
        <v>229</v>
      </c>
      <c r="AU13" s="252">
        <v>158</v>
      </c>
      <c r="AV13" s="252">
        <f t="shared" si="2"/>
        <v>0</v>
      </c>
      <c r="AW13" s="252">
        <f t="shared" si="3"/>
        <v>6</v>
      </c>
      <c r="AX13" s="252"/>
      <c r="AY13" s="252"/>
      <c r="AZ13" s="29"/>
      <c r="BA13" s="252">
        <f t="shared" si="4"/>
        <v>95</v>
      </c>
      <c r="BB13" s="252">
        <f t="shared" si="5"/>
        <v>148</v>
      </c>
      <c r="BC13" s="252">
        <f t="shared" si="6"/>
        <v>45</v>
      </c>
      <c r="BD13" s="252">
        <f t="shared" si="7"/>
        <v>1</v>
      </c>
      <c r="BE13" s="252"/>
      <c r="BF13" s="252"/>
      <c r="BG13" s="252">
        <f>SUM(T13:W13)+AE13+AG13</f>
        <v>98</v>
      </c>
      <c r="BH13" s="252">
        <f>X13+AF13</f>
        <v>0</v>
      </c>
      <c r="BI13" s="252">
        <f>Y13+Z13+AI13</f>
        <v>6</v>
      </c>
      <c r="BJ13" s="252">
        <f t="shared" si="11"/>
        <v>0</v>
      </c>
      <c r="BK13" s="29"/>
      <c r="BL13" s="253"/>
    </row>
    <row r="14" spans="1:64" s="87" customFormat="1" ht="25.5" customHeight="1">
      <c r="A14" s="245">
        <f t="shared" si="12"/>
        <v>46244</v>
      </c>
      <c r="B14" s="246">
        <v>0</v>
      </c>
      <c r="C14" s="247">
        <v>867</v>
      </c>
      <c r="D14" s="247">
        <v>46</v>
      </c>
      <c r="E14" s="247">
        <v>30</v>
      </c>
      <c r="F14" s="247">
        <v>16</v>
      </c>
      <c r="G14" s="247">
        <v>12</v>
      </c>
      <c r="H14" s="247">
        <v>0</v>
      </c>
      <c r="I14" s="247">
        <v>0</v>
      </c>
      <c r="J14" s="250">
        <v>0</v>
      </c>
      <c r="K14" s="251">
        <v>8</v>
      </c>
      <c r="L14" s="247">
        <v>23</v>
      </c>
      <c r="M14" s="247">
        <v>54</v>
      </c>
      <c r="N14" s="247">
        <v>67</v>
      </c>
      <c r="O14" s="247">
        <v>30</v>
      </c>
      <c r="P14" s="247">
        <v>14</v>
      </c>
      <c r="Q14" s="247">
        <v>2</v>
      </c>
      <c r="R14" s="249">
        <v>0</v>
      </c>
      <c r="S14" s="250"/>
      <c r="T14" s="248">
        <v>47</v>
      </c>
      <c r="U14" s="247">
        <v>15</v>
      </c>
      <c r="V14" s="247"/>
      <c r="W14" s="247">
        <v>7</v>
      </c>
      <c r="X14" s="247">
        <v>0</v>
      </c>
      <c r="Y14" s="247">
        <v>0</v>
      </c>
      <c r="Z14" s="250">
        <v>10</v>
      </c>
      <c r="AA14" s="248">
        <v>0</v>
      </c>
      <c r="AB14" s="247"/>
      <c r="AC14" s="247">
        <v>0</v>
      </c>
      <c r="AD14" s="247">
        <v>0</v>
      </c>
      <c r="AE14" s="247">
        <v>0</v>
      </c>
      <c r="AF14" s="247"/>
      <c r="AG14" s="247">
        <v>0</v>
      </c>
      <c r="AH14" s="247">
        <v>0</v>
      </c>
      <c r="AI14" s="261">
        <v>0</v>
      </c>
      <c r="AJ14" s="251">
        <f t="shared" si="0"/>
        <v>1248</v>
      </c>
      <c r="AK14" s="29"/>
      <c r="AL14" s="252">
        <f t="shared" si="13"/>
        <v>483</v>
      </c>
      <c r="AM14" s="252">
        <f t="shared" si="14"/>
        <v>196</v>
      </c>
      <c r="AN14" s="252">
        <f t="shared" si="15"/>
        <v>2176</v>
      </c>
      <c r="AO14" s="254">
        <v>0</v>
      </c>
      <c r="AP14" s="254">
        <v>43</v>
      </c>
      <c r="AQ14" s="254">
        <v>0</v>
      </c>
      <c r="AR14" s="252">
        <f t="shared" si="1"/>
        <v>0</v>
      </c>
      <c r="AS14" s="29"/>
      <c r="AT14" s="252">
        <f t="shared" si="16"/>
        <v>436</v>
      </c>
      <c r="AU14" s="252">
        <v>802</v>
      </c>
      <c r="AV14" s="252">
        <f t="shared" si="2"/>
        <v>0</v>
      </c>
      <c r="AW14" s="252">
        <f t="shared" si="3"/>
        <v>10</v>
      </c>
      <c r="AX14" s="252"/>
      <c r="AY14" s="252"/>
      <c r="AZ14" s="29"/>
      <c r="BA14" s="252">
        <f t="shared" si="4"/>
        <v>944</v>
      </c>
      <c r="BB14" s="252">
        <f t="shared" si="5"/>
        <v>167</v>
      </c>
      <c r="BC14" s="252">
        <f t="shared" si="6"/>
        <v>56</v>
      </c>
      <c r="BD14" s="252">
        <f t="shared" si="7"/>
        <v>2</v>
      </c>
      <c r="BE14" s="252"/>
      <c r="BF14" s="252"/>
      <c r="BG14" s="252">
        <f t="shared" si="8"/>
        <v>62</v>
      </c>
      <c r="BH14" s="252">
        <f t="shared" si="9"/>
        <v>7</v>
      </c>
      <c r="BI14" s="252">
        <f t="shared" si="10"/>
        <v>10</v>
      </c>
      <c r="BJ14" s="252">
        <f t="shared" si="11"/>
        <v>0</v>
      </c>
      <c r="BK14" s="29"/>
      <c r="BL14" s="253"/>
    </row>
    <row r="15" spans="1:64" s="87" customFormat="1" ht="25.5" customHeight="1">
      <c r="A15" s="245">
        <f t="shared" si="12"/>
        <v>46245</v>
      </c>
      <c r="B15" s="246">
        <v>0</v>
      </c>
      <c r="C15" s="247">
        <v>394</v>
      </c>
      <c r="D15" s="247">
        <v>19</v>
      </c>
      <c r="E15" s="247">
        <v>19</v>
      </c>
      <c r="F15" s="247">
        <v>23</v>
      </c>
      <c r="G15" s="247">
        <v>6</v>
      </c>
      <c r="H15" s="247">
        <v>3</v>
      </c>
      <c r="I15" s="247">
        <v>0</v>
      </c>
      <c r="J15" s="250">
        <v>0</v>
      </c>
      <c r="K15" s="251">
        <v>5</v>
      </c>
      <c r="L15" s="247">
        <v>10</v>
      </c>
      <c r="M15" s="247">
        <v>57</v>
      </c>
      <c r="N15" s="247">
        <v>49</v>
      </c>
      <c r="O15" s="247">
        <v>10</v>
      </c>
      <c r="P15" s="247">
        <v>12</v>
      </c>
      <c r="Q15" s="247">
        <v>3</v>
      </c>
      <c r="R15" s="249">
        <v>2</v>
      </c>
      <c r="S15" s="250"/>
      <c r="T15" s="248">
        <v>52</v>
      </c>
      <c r="U15" s="247">
        <v>12</v>
      </c>
      <c r="V15" s="247"/>
      <c r="W15" s="247">
        <v>1</v>
      </c>
      <c r="X15" s="247">
        <v>0</v>
      </c>
      <c r="Y15" s="247">
        <v>0</v>
      </c>
      <c r="Z15" s="250">
        <v>15</v>
      </c>
      <c r="AA15" s="248">
        <v>0</v>
      </c>
      <c r="AB15" s="247"/>
      <c r="AC15" s="247">
        <v>0</v>
      </c>
      <c r="AD15" s="247">
        <v>0</v>
      </c>
      <c r="AE15" s="247">
        <v>0</v>
      </c>
      <c r="AF15" s="247"/>
      <c r="AG15" s="247">
        <v>0</v>
      </c>
      <c r="AH15" s="247">
        <v>0</v>
      </c>
      <c r="AI15" s="261">
        <v>0</v>
      </c>
      <c r="AJ15" s="251">
        <f t="shared" si="0"/>
        <v>692</v>
      </c>
      <c r="AK15" s="29"/>
      <c r="AL15" s="252">
        <f t="shared" si="13"/>
        <v>399</v>
      </c>
      <c r="AM15" s="252">
        <f t="shared" si="14"/>
        <v>132</v>
      </c>
      <c r="AN15" s="252">
        <f t="shared" si="15"/>
        <v>1095</v>
      </c>
      <c r="AO15" s="254">
        <v>0</v>
      </c>
      <c r="AP15" s="254">
        <v>42</v>
      </c>
      <c r="AQ15" s="254">
        <v>0</v>
      </c>
      <c r="AR15" s="252">
        <f t="shared" si="1"/>
        <v>0</v>
      </c>
      <c r="AS15" s="29"/>
      <c r="AT15" s="252">
        <f>AJ15-AU15-AW15-AV15</f>
        <v>358</v>
      </c>
      <c r="AU15" s="252">
        <v>319</v>
      </c>
      <c r="AV15" s="252">
        <f t="shared" si="2"/>
        <v>0</v>
      </c>
      <c r="AW15" s="252">
        <f t="shared" si="3"/>
        <v>15</v>
      </c>
      <c r="AX15" s="252"/>
      <c r="AY15" s="252"/>
      <c r="AZ15" s="29"/>
      <c r="BA15" s="252">
        <f t="shared" si="4"/>
        <v>428</v>
      </c>
      <c r="BB15" s="252">
        <f t="shared" si="5"/>
        <v>148</v>
      </c>
      <c r="BC15" s="252">
        <f t="shared" si="6"/>
        <v>31</v>
      </c>
      <c r="BD15" s="252">
        <f t="shared" si="7"/>
        <v>5</v>
      </c>
      <c r="BE15" s="252"/>
      <c r="BF15" s="252"/>
      <c r="BG15" s="252">
        <f t="shared" si="8"/>
        <v>64</v>
      </c>
      <c r="BH15" s="252">
        <f t="shared" si="9"/>
        <v>1</v>
      </c>
      <c r="BI15" s="252">
        <f t="shared" si="10"/>
        <v>15</v>
      </c>
      <c r="BJ15" s="252">
        <f t="shared" si="11"/>
        <v>0</v>
      </c>
      <c r="BK15" s="29"/>
      <c r="BL15" s="253"/>
    </row>
    <row r="16" spans="1:64" s="87" customFormat="1" ht="25.5" customHeight="1">
      <c r="A16" s="245">
        <f t="shared" si="12"/>
        <v>46246</v>
      </c>
      <c r="B16" s="246">
        <v>0</v>
      </c>
      <c r="C16" s="247">
        <v>1920</v>
      </c>
      <c r="D16" s="247">
        <v>92</v>
      </c>
      <c r="E16" s="247">
        <v>14</v>
      </c>
      <c r="F16" s="247">
        <v>23</v>
      </c>
      <c r="G16" s="247">
        <v>3</v>
      </c>
      <c r="H16" s="247">
        <v>2</v>
      </c>
      <c r="I16" s="247">
        <v>0</v>
      </c>
      <c r="J16" s="250">
        <v>0</v>
      </c>
      <c r="K16" s="251">
        <v>10</v>
      </c>
      <c r="L16" s="247">
        <v>25</v>
      </c>
      <c r="M16" s="247">
        <v>45</v>
      </c>
      <c r="N16" s="247">
        <v>52</v>
      </c>
      <c r="O16" s="247">
        <v>35</v>
      </c>
      <c r="P16" s="247">
        <v>11</v>
      </c>
      <c r="Q16" s="247">
        <v>5</v>
      </c>
      <c r="R16" s="249">
        <v>2</v>
      </c>
      <c r="S16" s="250"/>
      <c r="T16" s="248">
        <v>39</v>
      </c>
      <c r="U16" s="247">
        <v>19</v>
      </c>
      <c r="V16" s="247">
        <v>0</v>
      </c>
      <c r="W16" s="247">
        <v>2</v>
      </c>
      <c r="X16" s="247">
        <v>0</v>
      </c>
      <c r="Y16" s="247">
        <v>0</v>
      </c>
      <c r="Z16" s="250">
        <v>5</v>
      </c>
      <c r="AA16" s="248"/>
      <c r="AB16" s="247"/>
      <c r="AC16" s="247">
        <v>0</v>
      </c>
      <c r="AD16" s="247">
        <v>0</v>
      </c>
      <c r="AE16" s="247">
        <v>0</v>
      </c>
      <c r="AF16" s="247"/>
      <c r="AG16" s="247">
        <v>0</v>
      </c>
      <c r="AH16" s="247">
        <v>0</v>
      </c>
      <c r="AI16" s="261">
        <v>0</v>
      </c>
      <c r="AJ16" s="251">
        <f t="shared" si="0"/>
        <v>2304</v>
      </c>
      <c r="AK16" s="29"/>
      <c r="AL16" s="252">
        <f>SUM(K16:L16)*2+SUM(M16:N16)*3+AH16+SUM(AA16:AD16)</f>
        <v>361</v>
      </c>
      <c r="AM16" s="252">
        <f t="shared" si="14"/>
        <v>201</v>
      </c>
      <c r="AN16" s="252">
        <f>SUM(C16:D16)*3+SUM(E16:H16)*2+SUM(I16:J16)*3+SUM(K16:N16)*2+SUM(O16:R16)</f>
        <v>6437</v>
      </c>
      <c r="AO16" s="254">
        <v>0</v>
      </c>
      <c r="AP16" s="254">
        <v>34</v>
      </c>
      <c r="AQ16" s="254">
        <v>0</v>
      </c>
      <c r="AR16" s="252">
        <f t="shared" si="1"/>
        <v>0</v>
      </c>
      <c r="AS16" s="29"/>
      <c r="AT16" s="252">
        <f t="shared" si="16"/>
        <v>425</v>
      </c>
      <c r="AU16" s="252">
        <v>1874</v>
      </c>
      <c r="AV16" s="252">
        <f t="shared" si="2"/>
        <v>0</v>
      </c>
      <c r="AW16" s="252">
        <f t="shared" si="3"/>
        <v>5</v>
      </c>
      <c r="AX16" s="252"/>
      <c r="AY16" s="252"/>
      <c r="AZ16" s="29"/>
      <c r="BA16" s="252">
        <f t="shared" si="4"/>
        <v>2047</v>
      </c>
      <c r="BB16" s="252">
        <f t="shared" si="5"/>
        <v>134</v>
      </c>
      <c r="BC16" s="252">
        <f t="shared" si="6"/>
        <v>51</v>
      </c>
      <c r="BD16" s="252">
        <f t="shared" si="7"/>
        <v>7</v>
      </c>
      <c r="BE16" s="252"/>
      <c r="BF16" s="252"/>
      <c r="BG16" s="252">
        <f t="shared" si="8"/>
        <v>58</v>
      </c>
      <c r="BH16" s="252">
        <f t="shared" si="9"/>
        <v>2</v>
      </c>
      <c r="BI16" s="252">
        <f t="shared" si="10"/>
        <v>5</v>
      </c>
      <c r="BJ16" s="252">
        <f t="shared" si="11"/>
        <v>0</v>
      </c>
      <c r="BK16" s="29"/>
      <c r="BL16" s="253"/>
    </row>
    <row r="17" spans="1:64" s="87" customFormat="1" ht="25.5" customHeight="1">
      <c r="A17" s="245">
        <f t="shared" si="12"/>
        <v>46247</v>
      </c>
      <c r="B17" s="246"/>
      <c r="C17" s="247"/>
      <c r="D17" s="247"/>
      <c r="E17" s="247"/>
      <c r="F17" s="247"/>
      <c r="G17" s="247"/>
      <c r="H17" s="247"/>
      <c r="I17" s="247"/>
      <c r="J17" s="250"/>
      <c r="K17" s="251"/>
      <c r="L17" s="247"/>
      <c r="M17" s="247"/>
      <c r="N17" s="247"/>
      <c r="O17" s="247"/>
      <c r="P17" s="247"/>
      <c r="Q17" s="247"/>
      <c r="R17" s="249"/>
      <c r="S17" s="250"/>
      <c r="T17" s="248"/>
      <c r="U17" s="247"/>
      <c r="V17" s="247"/>
      <c r="W17" s="247"/>
      <c r="X17" s="247"/>
      <c r="Y17" s="247"/>
      <c r="Z17" s="250"/>
      <c r="AA17" s="248"/>
      <c r="AB17" s="247"/>
      <c r="AC17" s="247"/>
      <c r="AD17" s="247"/>
      <c r="AE17" s="247"/>
      <c r="AF17" s="247"/>
      <c r="AG17" s="247"/>
      <c r="AH17" s="247"/>
      <c r="AI17" s="261"/>
      <c r="AJ17" s="251">
        <f t="shared" si="0"/>
        <v>0</v>
      </c>
      <c r="AK17" s="29"/>
      <c r="AL17" s="252">
        <f t="shared" ref="AL17:AL35" si="17">SUM(K17:L17)*2+SUM(M17:N17)*3+AH17+SUM(AA17:AD17)</f>
        <v>0</v>
      </c>
      <c r="AM17" s="252">
        <f t="shared" si="14"/>
        <v>0</v>
      </c>
      <c r="AN17" s="252">
        <f t="shared" ref="AN17:AN35" si="18">SUM(C17:D17)*3+SUM(E17:H17)*2+SUM(I17:J17)*3+SUM(K17:N17)*2+SUM(O17:R17)</f>
        <v>0</v>
      </c>
      <c r="AO17" s="254">
        <v>0</v>
      </c>
      <c r="AP17" s="254">
        <v>0</v>
      </c>
      <c r="AQ17" s="254">
        <v>0</v>
      </c>
      <c r="AR17" s="252">
        <f t="shared" si="1"/>
        <v>0</v>
      </c>
      <c r="AS17" s="29"/>
      <c r="AT17" s="252">
        <f t="shared" si="16"/>
        <v>0</v>
      </c>
      <c r="AU17" s="252">
        <v>0</v>
      </c>
      <c r="AV17" s="252">
        <f t="shared" si="2"/>
        <v>0</v>
      </c>
      <c r="AW17" s="252">
        <f t="shared" si="3"/>
        <v>0</v>
      </c>
      <c r="AX17" s="252"/>
      <c r="AY17" s="252"/>
      <c r="AZ17" s="29"/>
      <c r="BA17" s="252">
        <f t="shared" si="4"/>
        <v>0</v>
      </c>
      <c r="BB17" s="252">
        <f t="shared" si="5"/>
        <v>0</v>
      </c>
      <c r="BC17" s="252">
        <f t="shared" si="6"/>
        <v>0</v>
      </c>
      <c r="BD17" s="252">
        <f t="shared" si="7"/>
        <v>0</v>
      </c>
      <c r="BE17" s="252"/>
      <c r="BF17" s="252"/>
      <c r="BG17" s="252">
        <f t="shared" si="8"/>
        <v>0</v>
      </c>
      <c r="BH17" s="252">
        <f t="shared" si="9"/>
        <v>0</v>
      </c>
      <c r="BI17" s="252">
        <f t="shared" si="10"/>
        <v>0</v>
      </c>
      <c r="BJ17" s="252">
        <f t="shared" si="11"/>
        <v>0</v>
      </c>
      <c r="BK17" s="29"/>
      <c r="BL17" s="15"/>
    </row>
    <row r="18" spans="1:64" s="87" customFormat="1" ht="25.5" customHeight="1">
      <c r="A18" s="245">
        <f>A17+1</f>
        <v>46248</v>
      </c>
      <c r="B18" s="246"/>
      <c r="C18" s="247"/>
      <c r="D18" s="247"/>
      <c r="E18" s="247"/>
      <c r="F18" s="247"/>
      <c r="G18" s="247"/>
      <c r="H18" s="247"/>
      <c r="I18" s="247"/>
      <c r="J18" s="250"/>
      <c r="K18" s="251"/>
      <c r="L18" s="247"/>
      <c r="M18" s="247"/>
      <c r="N18" s="247"/>
      <c r="O18" s="247"/>
      <c r="P18" s="247"/>
      <c r="Q18" s="247"/>
      <c r="R18" s="249"/>
      <c r="S18" s="250"/>
      <c r="T18" s="248"/>
      <c r="U18" s="247"/>
      <c r="V18" s="247"/>
      <c r="W18" s="247"/>
      <c r="X18" s="247"/>
      <c r="Y18" s="247"/>
      <c r="Z18" s="250"/>
      <c r="AA18" s="248"/>
      <c r="AB18" s="247"/>
      <c r="AC18" s="247"/>
      <c r="AD18" s="247"/>
      <c r="AE18" s="247"/>
      <c r="AF18" s="247"/>
      <c r="AG18" s="247"/>
      <c r="AH18" s="247"/>
      <c r="AI18" s="261"/>
      <c r="AJ18" s="251">
        <f t="shared" si="0"/>
        <v>0</v>
      </c>
      <c r="AK18" s="29"/>
      <c r="AL18" s="252">
        <f t="shared" si="17"/>
        <v>0</v>
      </c>
      <c r="AM18" s="252">
        <f t="shared" si="14"/>
        <v>0</v>
      </c>
      <c r="AN18" s="252">
        <f t="shared" si="18"/>
        <v>0</v>
      </c>
      <c r="AO18" s="254">
        <v>0</v>
      </c>
      <c r="AP18" s="254">
        <v>0</v>
      </c>
      <c r="AQ18" s="254">
        <v>0</v>
      </c>
      <c r="AR18" s="252">
        <f t="shared" si="1"/>
        <v>0</v>
      </c>
      <c r="AS18" s="29"/>
      <c r="AT18" s="252">
        <f t="shared" si="16"/>
        <v>0</v>
      </c>
      <c r="AU18" s="252">
        <v>0</v>
      </c>
      <c r="AV18" s="252">
        <f t="shared" si="2"/>
        <v>0</v>
      </c>
      <c r="AW18" s="252">
        <f t="shared" si="3"/>
        <v>0</v>
      </c>
      <c r="AX18" s="252"/>
      <c r="AY18" s="252"/>
      <c r="AZ18" s="29"/>
      <c r="BA18" s="252">
        <f t="shared" si="4"/>
        <v>0</v>
      </c>
      <c r="BB18" s="252">
        <f t="shared" si="5"/>
        <v>0</v>
      </c>
      <c r="BC18" s="252">
        <f t="shared" si="6"/>
        <v>0</v>
      </c>
      <c r="BD18" s="252">
        <f t="shared" si="7"/>
        <v>0</v>
      </c>
      <c r="BE18" s="252"/>
      <c r="BF18" s="252"/>
      <c r="BG18" s="252">
        <f t="shared" si="8"/>
        <v>0</v>
      </c>
      <c r="BH18" s="252">
        <f t="shared" si="9"/>
        <v>0</v>
      </c>
      <c r="BI18" s="252">
        <f t="shared" si="10"/>
        <v>0</v>
      </c>
      <c r="BJ18" s="252">
        <f t="shared" si="11"/>
        <v>0</v>
      </c>
      <c r="BK18" s="29"/>
      <c r="BL18" s="253"/>
    </row>
    <row r="19" spans="1:64" s="87" customFormat="1" ht="25.5" customHeight="1">
      <c r="A19" s="245">
        <f t="shared" si="12"/>
        <v>46249</v>
      </c>
      <c r="B19" s="246">
        <v>0</v>
      </c>
      <c r="C19" s="247">
        <v>2158</v>
      </c>
      <c r="D19" s="247">
        <v>104</v>
      </c>
      <c r="E19" s="247">
        <v>13</v>
      </c>
      <c r="F19" s="247">
        <v>44</v>
      </c>
      <c r="G19" s="247">
        <v>1</v>
      </c>
      <c r="H19" s="247">
        <v>0</v>
      </c>
      <c r="I19" s="247">
        <v>0</v>
      </c>
      <c r="J19" s="250">
        <v>0</v>
      </c>
      <c r="K19" s="251">
        <v>20</v>
      </c>
      <c r="L19" s="247">
        <v>51</v>
      </c>
      <c r="M19" s="247">
        <v>141</v>
      </c>
      <c r="N19" s="247">
        <v>45</v>
      </c>
      <c r="O19" s="247">
        <v>11</v>
      </c>
      <c r="P19" s="247">
        <v>4</v>
      </c>
      <c r="Q19" s="247">
        <v>1</v>
      </c>
      <c r="R19" s="249">
        <v>1</v>
      </c>
      <c r="S19" s="250"/>
      <c r="T19" s="248">
        <v>47</v>
      </c>
      <c r="U19" s="247">
        <v>15</v>
      </c>
      <c r="V19" s="247"/>
      <c r="W19" s="247">
        <v>1</v>
      </c>
      <c r="X19" s="247">
        <v>0</v>
      </c>
      <c r="Y19" s="247">
        <v>0</v>
      </c>
      <c r="Z19" s="250">
        <v>21</v>
      </c>
      <c r="AA19" s="248">
        <v>0</v>
      </c>
      <c r="AB19" s="247"/>
      <c r="AC19" s="247">
        <v>0</v>
      </c>
      <c r="AD19" s="247">
        <v>0</v>
      </c>
      <c r="AE19" s="247">
        <v>0</v>
      </c>
      <c r="AF19" s="247"/>
      <c r="AG19" s="247">
        <v>0</v>
      </c>
      <c r="AH19" s="247">
        <v>0</v>
      </c>
      <c r="AI19" s="261">
        <v>0</v>
      </c>
      <c r="AJ19" s="251">
        <f t="shared" si="0"/>
        <v>2678</v>
      </c>
      <c r="AK19" s="29"/>
      <c r="AL19" s="252">
        <f t="shared" si="17"/>
        <v>700</v>
      </c>
      <c r="AM19" s="252">
        <f t="shared" si="14"/>
        <v>109</v>
      </c>
      <c r="AN19" s="252">
        <f t="shared" si="18"/>
        <v>7433</v>
      </c>
      <c r="AO19" s="254">
        <v>0</v>
      </c>
      <c r="AP19" s="254">
        <v>54</v>
      </c>
      <c r="AQ19" s="254">
        <v>0</v>
      </c>
      <c r="AR19" s="252">
        <f t="shared" si="1"/>
        <v>0</v>
      </c>
      <c r="AS19" s="29"/>
      <c r="AT19" s="252">
        <f t="shared" si="16"/>
        <v>459</v>
      </c>
      <c r="AU19" s="252">
        <v>2198</v>
      </c>
      <c r="AV19" s="252">
        <f t="shared" si="2"/>
        <v>0</v>
      </c>
      <c r="AW19" s="252">
        <f t="shared" si="3"/>
        <v>21</v>
      </c>
      <c r="AX19" s="252"/>
      <c r="AY19" s="252"/>
      <c r="AZ19" s="29"/>
      <c r="BA19" s="252">
        <f t="shared" si="4"/>
        <v>2333</v>
      </c>
      <c r="BB19" s="252">
        <f t="shared" si="5"/>
        <v>243</v>
      </c>
      <c r="BC19" s="252">
        <f t="shared" si="6"/>
        <v>16</v>
      </c>
      <c r="BD19" s="252">
        <f t="shared" si="7"/>
        <v>2</v>
      </c>
      <c r="BE19" s="252"/>
      <c r="BF19" s="252"/>
      <c r="BG19" s="252">
        <f t="shared" si="8"/>
        <v>62</v>
      </c>
      <c r="BH19" s="252">
        <f t="shared" si="9"/>
        <v>1</v>
      </c>
      <c r="BI19" s="252">
        <f t="shared" si="10"/>
        <v>21</v>
      </c>
      <c r="BJ19" s="252">
        <f t="shared" si="11"/>
        <v>0</v>
      </c>
      <c r="BK19" s="29"/>
      <c r="BL19" s="15"/>
    </row>
    <row r="20" spans="1:64" s="87" customFormat="1" ht="25.5" customHeight="1">
      <c r="A20" s="245">
        <f t="shared" si="12"/>
        <v>46250</v>
      </c>
      <c r="B20" s="246">
        <v>0</v>
      </c>
      <c r="C20" s="247">
        <v>61</v>
      </c>
      <c r="D20" s="247">
        <v>36</v>
      </c>
      <c r="E20" s="247">
        <v>20</v>
      </c>
      <c r="F20" s="247">
        <v>7</v>
      </c>
      <c r="G20" s="247">
        <v>0</v>
      </c>
      <c r="H20" s="247">
        <v>0</v>
      </c>
      <c r="I20" s="247">
        <v>0</v>
      </c>
      <c r="J20" s="250">
        <v>0</v>
      </c>
      <c r="K20" s="251">
        <v>0</v>
      </c>
      <c r="L20" s="247">
        <v>1</v>
      </c>
      <c r="M20" s="247">
        <v>18</v>
      </c>
      <c r="N20" s="247">
        <v>26</v>
      </c>
      <c r="O20" s="247">
        <v>8</v>
      </c>
      <c r="P20" s="247">
        <v>4</v>
      </c>
      <c r="Q20" s="247">
        <v>0</v>
      </c>
      <c r="R20" s="249">
        <v>0</v>
      </c>
      <c r="S20" s="250"/>
      <c r="T20" s="248">
        <v>21</v>
      </c>
      <c r="U20" s="247">
        <v>4</v>
      </c>
      <c r="V20" s="247"/>
      <c r="W20" s="247">
        <v>1</v>
      </c>
      <c r="X20" s="247">
        <v>0</v>
      </c>
      <c r="Y20" s="247">
        <v>0</v>
      </c>
      <c r="Z20" s="250">
        <v>1</v>
      </c>
      <c r="AA20" s="247">
        <v>0</v>
      </c>
      <c r="AB20" s="247"/>
      <c r="AC20" s="247">
        <v>0</v>
      </c>
      <c r="AD20" s="247">
        <v>0</v>
      </c>
      <c r="AE20" s="247">
        <v>0</v>
      </c>
      <c r="AF20" s="247"/>
      <c r="AG20" s="247">
        <v>0</v>
      </c>
      <c r="AH20" s="247">
        <v>0</v>
      </c>
      <c r="AI20" s="261">
        <v>0</v>
      </c>
      <c r="AJ20" s="251">
        <f t="shared" si="0"/>
        <v>208</v>
      </c>
      <c r="AK20" s="29"/>
      <c r="AL20" s="252">
        <f t="shared" si="17"/>
        <v>134</v>
      </c>
      <c r="AM20" s="252">
        <f t="shared" si="14"/>
        <v>63</v>
      </c>
      <c r="AN20" s="252">
        <f t="shared" si="18"/>
        <v>447</v>
      </c>
      <c r="AO20" s="254">
        <v>0</v>
      </c>
      <c r="AP20" s="254">
        <v>10</v>
      </c>
      <c r="AQ20" s="254">
        <v>0</v>
      </c>
      <c r="AR20" s="252">
        <f t="shared" si="1"/>
        <v>0</v>
      </c>
      <c r="AS20" s="29"/>
      <c r="AT20" s="252">
        <f t="shared" si="16"/>
        <v>164</v>
      </c>
      <c r="AU20" s="252">
        <v>43</v>
      </c>
      <c r="AV20" s="252">
        <f t="shared" si="2"/>
        <v>0</v>
      </c>
      <c r="AW20" s="252">
        <f t="shared" si="3"/>
        <v>1</v>
      </c>
      <c r="AX20" s="252"/>
      <c r="AY20" s="252"/>
      <c r="AZ20" s="29"/>
      <c r="BA20" s="252">
        <f t="shared" si="4"/>
        <v>98</v>
      </c>
      <c r="BB20" s="252">
        <f t="shared" si="5"/>
        <v>71</v>
      </c>
      <c r="BC20" s="252">
        <f t="shared" si="6"/>
        <v>12</v>
      </c>
      <c r="BD20" s="252">
        <f t="shared" si="7"/>
        <v>0</v>
      </c>
      <c r="BE20" s="252"/>
      <c r="BF20" s="252"/>
      <c r="BG20" s="252">
        <f t="shared" si="8"/>
        <v>25</v>
      </c>
      <c r="BH20" s="252">
        <f t="shared" si="9"/>
        <v>1</v>
      </c>
      <c r="BI20" s="252">
        <f t="shared" si="10"/>
        <v>1</v>
      </c>
      <c r="BJ20" s="252">
        <f t="shared" si="11"/>
        <v>0</v>
      </c>
      <c r="BK20" s="29"/>
      <c r="BL20" s="253"/>
    </row>
    <row r="21" spans="1:64" s="87" customFormat="1" ht="25.5" customHeight="1">
      <c r="A21" s="245">
        <f t="shared" si="12"/>
        <v>46251</v>
      </c>
      <c r="B21" s="246">
        <v>0</v>
      </c>
      <c r="C21" s="247">
        <v>395</v>
      </c>
      <c r="D21" s="247">
        <v>113</v>
      </c>
      <c r="E21" s="247">
        <v>12</v>
      </c>
      <c r="F21" s="247">
        <v>23</v>
      </c>
      <c r="G21" s="247">
        <v>3</v>
      </c>
      <c r="H21" s="247">
        <v>2</v>
      </c>
      <c r="I21" s="247">
        <v>0</v>
      </c>
      <c r="J21" s="250">
        <v>0</v>
      </c>
      <c r="K21" s="251">
        <v>6</v>
      </c>
      <c r="L21" s="247">
        <v>26</v>
      </c>
      <c r="M21" s="247">
        <v>68</v>
      </c>
      <c r="N21" s="247">
        <v>35</v>
      </c>
      <c r="O21" s="247">
        <v>13</v>
      </c>
      <c r="P21" s="247">
        <v>3</v>
      </c>
      <c r="Q21" s="247">
        <v>1</v>
      </c>
      <c r="R21" s="249">
        <v>1</v>
      </c>
      <c r="S21" s="250"/>
      <c r="T21" s="248">
        <v>253</v>
      </c>
      <c r="U21" s="247">
        <v>32</v>
      </c>
      <c r="V21" s="247"/>
      <c r="W21" s="247">
        <v>2</v>
      </c>
      <c r="X21" s="247">
        <v>0</v>
      </c>
      <c r="Y21" s="247">
        <v>0</v>
      </c>
      <c r="Z21" s="250">
        <v>23</v>
      </c>
      <c r="AA21" s="248">
        <v>0</v>
      </c>
      <c r="AB21" s="247"/>
      <c r="AC21" s="247">
        <v>0</v>
      </c>
      <c r="AD21" s="247">
        <v>0</v>
      </c>
      <c r="AE21" s="247">
        <v>0</v>
      </c>
      <c r="AF21" s="247"/>
      <c r="AG21" s="247">
        <v>0</v>
      </c>
      <c r="AH21" s="247">
        <v>0</v>
      </c>
      <c r="AI21" s="261">
        <v>0</v>
      </c>
      <c r="AJ21" s="251">
        <f t="shared" si="0"/>
        <v>1011</v>
      </c>
      <c r="AK21" s="29"/>
      <c r="AL21" s="252">
        <f t="shared" si="17"/>
        <v>373</v>
      </c>
      <c r="AM21" s="252">
        <f t="shared" si="14"/>
        <v>94</v>
      </c>
      <c r="AN21" s="252">
        <f t="shared" si="18"/>
        <v>1892</v>
      </c>
      <c r="AO21" s="254">
        <v>0</v>
      </c>
      <c r="AP21" s="254">
        <v>40</v>
      </c>
      <c r="AQ21" s="254">
        <v>0</v>
      </c>
      <c r="AR21" s="252">
        <f t="shared" si="1"/>
        <v>0</v>
      </c>
      <c r="AS21" s="29"/>
      <c r="AT21" s="252">
        <f t="shared" si="16"/>
        <v>366</v>
      </c>
      <c r="AU21" s="252">
        <v>622</v>
      </c>
      <c r="AV21" s="252">
        <f t="shared" si="2"/>
        <v>0</v>
      </c>
      <c r="AW21" s="252">
        <f t="shared" si="3"/>
        <v>23</v>
      </c>
      <c r="AX21" s="252"/>
      <c r="AY21" s="252"/>
      <c r="AZ21" s="29"/>
      <c r="BA21" s="252">
        <f t="shared" si="4"/>
        <v>540</v>
      </c>
      <c r="BB21" s="252">
        <f t="shared" si="5"/>
        <v>138</v>
      </c>
      <c r="BC21" s="252">
        <f t="shared" si="6"/>
        <v>21</v>
      </c>
      <c r="BD21" s="252">
        <f t="shared" si="7"/>
        <v>2</v>
      </c>
      <c r="BE21" s="252"/>
      <c r="BF21" s="252"/>
      <c r="BG21" s="252">
        <f t="shared" si="8"/>
        <v>285</v>
      </c>
      <c r="BH21" s="252">
        <f t="shared" si="9"/>
        <v>2</v>
      </c>
      <c r="BI21" s="252">
        <f t="shared" si="10"/>
        <v>23</v>
      </c>
      <c r="BJ21" s="252">
        <f t="shared" si="11"/>
        <v>0</v>
      </c>
      <c r="BK21" s="29"/>
      <c r="BL21" s="253"/>
    </row>
    <row r="22" spans="1:64" s="87" customFormat="1" ht="25.5" customHeight="1">
      <c r="A22" s="245">
        <f t="shared" si="12"/>
        <v>46252</v>
      </c>
      <c r="B22" s="246">
        <v>0</v>
      </c>
      <c r="C22" s="247">
        <v>77</v>
      </c>
      <c r="D22" s="247">
        <v>66</v>
      </c>
      <c r="E22" s="247">
        <v>5</v>
      </c>
      <c r="F22" s="247">
        <v>11</v>
      </c>
      <c r="G22" s="247">
        <v>2</v>
      </c>
      <c r="H22" s="247">
        <v>0</v>
      </c>
      <c r="I22" s="247">
        <v>1</v>
      </c>
      <c r="J22" s="250">
        <v>0</v>
      </c>
      <c r="K22" s="251">
        <v>1</v>
      </c>
      <c r="L22" s="247">
        <v>12</v>
      </c>
      <c r="M22" s="247">
        <v>30</v>
      </c>
      <c r="N22" s="247">
        <v>17</v>
      </c>
      <c r="O22" s="247">
        <v>10</v>
      </c>
      <c r="P22" s="247">
        <v>5</v>
      </c>
      <c r="Q22" s="247">
        <v>0</v>
      </c>
      <c r="R22" s="249">
        <v>0</v>
      </c>
      <c r="S22" s="250"/>
      <c r="T22" s="248">
        <v>91</v>
      </c>
      <c r="U22" s="247">
        <v>16</v>
      </c>
      <c r="V22" s="247"/>
      <c r="W22" s="247">
        <v>2</v>
      </c>
      <c r="X22" s="247">
        <v>0</v>
      </c>
      <c r="Y22" s="247">
        <v>0</v>
      </c>
      <c r="Z22" s="250">
        <v>8</v>
      </c>
      <c r="AA22" s="248">
        <v>0</v>
      </c>
      <c r="AB22" s="247"/>
      <c r="AC22" s="247">
        <v>0</v>
      </c>
      <c r="AD22" s="247">
        <v>0</v>
      </c>
      <c r="AE22" s="247">
        <v>0</v>
      </c>
      <c r="AF22" s="247"/>
      <c r="AG22" s="247">
        <v>0</v>
      </c>
      <c r="AH22" s="247">
        <v>0</v>
      </c>
      <c r="AI22" s="261">
        <v>0</v>
      </c>
      <c r="AJ22" s="251">
        <f t="shared" si="0"/>
        <v>354</v>
      </c>
      <c r="AK22" s="29"/>
      <c r="AL22" s="252">
        <f t="shared" si="17"/>
        <v>167</v>
      </c>
      <c r="AM22" s="252">
        <f t="shared" si="14"/>
        <v>64</v>
      </c>
      <c r="AN22" s="252">
        <f t="shared" si="18"/>
        <v>603</v>
      </c>
      <c r="AO22" s="254">
        <v>0</v>
      </c>
      <c r="AP22" s="254">
        <v>29</v>
      </c>
      <c r="AQ22" s="254">
        <v>0</v>
      </c>
      <c r="AR22" s="252">
        <f t="shared" si="1"/>
        <v>0</v>
      </c>
      <c r="AS22" s="29"/>
      <c r="AT22" s="252">
        <f t="shared" si="16"/>
        <v>220</v>
      </c>
      <c r="AU22" s="252">
        <v>126</v>
      </c>
      <c r="AV22" s="252">
        <f t="shared" si="2"/>
        <v>0</v>
      </c>
      <c r="AW22" s="252">
        <f t="shared" si="3"/>
        <v>8</v>
      </c>
      <c r="AX22" s="252"/>
      <c r="AY22" s="252"/>
      <c r="AZ22" s="29"/>
      <c r="BA22" s="252">
        <f t="shared" si="4"/>
        <v>156</v>
      </c>
      <c r="BB22" s="252">
        <f t="shared" si="5"/>
        <v>63</v>
      </c>
      <c r="BC22" s="252">
        <f t="shared" si="6"/>
        <v>17</v>
      </c>
      <c r="BD22" s="252">
        <f t="shared" si="7"/>
        <v>1</v>
      </c>
      <c r="BE22" s="252"/>
      <c r="BF22" s="252"/>
      <c r="BG22" s="252">
        <f t="shared" si="8"/>
        <v>107</v>
      </c>
      <c r="BH22" s="252">
        <f t="shared" si="9"/>
        <v>2</v>
      </c>
      <c r="BI22" s="252">
        <f t="shared" si="10"/>
        <v>8</v>
      </c>
      <c r="BJ22" s="252">
        <f t="shared" si="11"/>
        <v>0</v>
      </c>
      <c r="BK22" s="29"/>
      <c r="BL22" s="253"/>
    </row>
    <row r="23" spans="1:64" s="87" customFormat="1" ht="25.5" customHeight="1">
      <c r="A23" s="245">
        <f t="shared" si="12"/>
        <v>46253</v>
      </c>
      <c r="B23" s="246">
        <v>0</v>
      </c>
      <c r="C23" s="247">
        <v>287</v>
      </c>
      <c r="D23" s="247">
        <v>97</v>
      </c>
      <c r="E23" s="247">
        <v>10</v>
      </c>
      <c r="F23" s="247">
        <v>15</v>
      </c>
      <c r="G23" s="247">
        <v>0</v>
      </c>
      <c r="H23" s="247">
        <v>1</v>
      </c>
      <c r="I23" s="247">
        <v>0</v>
      </c>
      <c r="J23" s="250">
        <v>0</v>
      </c>
      <c r="K23" s="251">
        <v>0</v>
      </c>
      <c r="L23" s="247">
        <v>11</v>
      </c>
      <c r="M23" s="247">
        <v>50</v>
      </c>
      <c r="N23" s="247">
        <v>55</v>
      </c>
      <c r="O23" s="247">
        <v>10</v>
      </c>
      <c r="P23" s="247">
        <v>5</v>
      </c>
      <c r="Q23" s="247">
        <v>2</v>
      </c>
      <c r="R23" s="249">
        <v>0</v>
      </c>
      <c r="S23" s="250"/>
      <c r="T23" s="248">
        <v>42</v>
      </c>
      <c r="U23" s="247">
        <v>8</v>
      </c>
      <c r="V23" s="247"/>
      <c r="W23" s="247">
        <v>1</v>
      </c>
      <c r="X23" s="247">
        <v>0</v>
      </c>
      <c r="Y23" s="247">
        <v>0</v>
      </c>
      <c r="Z23" s="250">
        <v>16</v>
      </c>
      <c r="AA23" s="248">
        <v>0</v>
      </c>
      <c r="AB23" s="247"/>
      <c r="AC23" s="247">
        <v>0</v>
      </c>
      <c r="AD23" s="247">
        <v>0</v>
      </c>
      <c r="AE23" s="247">
        <v>0</v>
      </c>
      <c r="AF23" s="247"/>
      <c r="AG23" s="247">
        <v>0</v>
      </c>
      <c r="AH23" s="247">
        <v>0</v>
      </c>
      <c r="AI23" s="261">
        <v>0</v>
      </c>
      <c r="AJ23" s="251">
        <f t="shared" si="0"/>
        <v>610</v>
      </c>
      <c r="AK23" s="29"/>
      <c r="AL23" s="252">
        <f t="shared" si="17"/>
        <v>337</v>
      </c>
      <c r="AM23" s="252">
        <f t="shared" si="14"/>
        <v>77</v>
      </c>
      <c r="AN23" s="252">
        <f t="shared" si="18"/>
        <v>1453</v>
      </c>
      <c r="AO23" s="254">
        <v>0</v>
      </c>
      <c r="AP23" s="254">
        <v>42</v>
      </c>
      <c r="AQ23" s="254">
        <v>0</v>
      </c>
      <c r="AR23" s="252">
        <f t="shared" si="1"/>
        <v>0</v>
      </c>
      <c r="AS23" s="29"/>
      <c r="AT23" s="252">
        <f t="shared" si="16"/>
        <v>293</v>
      </c>
      <c r="AU23" s="252">
        <v>301</v>
      </c>
      <c r="AV23" s="252">
        <f t="shared" si="2"/>
        <v>0</v>
      </c>
      <c r="AW23" s="252">
        <f t="shared" si="3"/>
        <v>16</v>
      </c>
      <c r="AX23" s="252"/>
      <c r="AY23" s="252"/>
      <c r="AZ23" s="29"/>
      <c r="BA23" s="252">
        <f t="shared" si="4"/>
        <v>395</v>
      </c>
      <c r="BB23" s="252">
        <f t="shared" si="5"/>
        <v>130</v>
      </c>
      <c r="BC23" s="252">
        <f t="shared" si="6"/>
        <v>16</v>
      </c>
      <c r="BD23" s="252">
        <f t="shared" si="7"/>
        <v>2</v>
      </c>
      <c r="BE23" s="252"/>
      <c r="BF23" s="252"/>
      <c r="BG23" s="252">
        <f t="shared" si="8"/>
        <v>50</v>
      </c>
      <c r="BH23" s="252">
        <f t="shared" si="9"/>
        <v>1</v>
      </c>
      <c r="BI23" s="252">
        <f t="shared" si="10"/>
        <v>16</v>
      </c>
      <c r="BJ23" s="252">
        <f t="shared" si="11"/>
        <v>0</v>
      </c>
      <c r="BK23" s="29"/>
      <c r="BL23" s="253"/>
    </row>
    <row r="24" spans="1:64" s="87" customFormat="1" ht="25.5" customHeight="1">
      <c r="A24" s="245">
        <f t="shared" si="12"/>
        <v>46254</v>
      </c>
      <c r="B24" s="246">
        <v>0</v>
      </c>
      <c r="C24" s="247">
        <v>897</v>
      </c>
      <c r="D24" s="247">
        <v>88</v>
      </c>
      <c r="E24" s="247">
        <v>27</v>
      </c>
      <c r="F24" s="247">
        <v>24</v>
      </c>
      <c r="G24" s="247">
        <v>8</v>
      </c>
      <c r="H24" s="247">
        <v>1</v>
      </c>
      <c r="I24" s="247">
        <v>1</v>
      </c>
      <c r="J24" s="250">
        <v>0</v>
      </c>
      <c r="K24" s="251">
        <v>1</v>
      </c>
      <c r="L24" s="247">
        <v>5</v>
      </c>
      <c r="M24" s="247">
        <v>157</v>
      </c>
      <c r="N24" s="247">
        <v>160</v>
      </c>
      <c r="O24" s="247">
        <v>15</v>
      </c>
      <c r="P24" s="247">
        <v>6</v>
      </c>
      <c r="Q24" s="247">
        <v>1</v>
      </c>
      <c r="R24" s="249">
        <v>1</v>
      </c>
      <c r="S24" s="250"/>
      <c r="T24" s="248">
        <v>29</v>
      </c>
      <c r="U24" s="247">
        <v>6</v>
      </c>
      <c r="V24" s="247"/>
      <c r="W24" s="247">
        <v>0</v>
      </c>
      <c r="X24" s="247">
        <v>0</v>
      </c>
      <c r="Y24" s="247">
        <v>0</v>
      </c>
      <c r="Z24" s="250">
        <v>6</v>
      </c>
      <c r="AA24" s="248">
        <v>0</v>
      </c>
      <c r="AB24" s="247"/>
      <c r="AC24" s="247">
        <v>0</v>
      </c>
      <c r="AD24" s="247">
        <v>0</v>
      </c>
      <c r="AE24" s="247">
        <v>0</v>
      </c>
      <c r="AF24" s="247"/>
      <c r="AG24" s="247">
        <v>0</v>
      </c>
      <c r="AH24" s="247">
        <v>0</v>
      </c>
      <c r="AI24" s="261">
        <v>0</v>
      </c>
      <c r="AJ24" s="251">
        <f t="shared" si="0"/>
        <v>1433</v>
      </c>
      <c r="AK24" s="29"/>
      <c r="AL24" s="252">
        <f t="shared" si="17"/>
        <v>963</v>
      </c>
      <c r="AM24" s="252">
        <f t="shared" si="14"/>
        <v>130</v>
      </c>
      <c r="AN24" s="252">
        <f t="shared" si="18"/>
        <v>3747</v>
      </c>
      <c r="AO24" s="254">
        <v>0</v>
      </c>
      <c r="AP24" s="254">
        <v>14</v>
      </c>
      <c r="AQ24" s="254">
        <v>0</v>
      </c>
      <c r="AR24" s="252">
        <f t="shared" si="1"/>
        <v>0</v>
      </c>
      <c r="AS24" s="29"/>
      <c r="AT24" s="252">
        <f t="shared" si="16"/>
        <v>288</v>
      </c>
      <c r="AU24" s="252">
        <v>1139</v>
      </c>
      <c r="AV24" s="252">
        <f t="shared" si="2"/>
        <v>0</v>
      </c>
      <c r="AW24" s="252">
        <f t="shared" si="3"/>
        <v>6</v>
      </c>
      <c r="AX24" s="252"/>
      <c r="AY24" s="252"/>
      <c r="AZ24" s="29"/>
      <c r="BA24" s="252">
        <f t="shared" si="4"/>
        <v>991</v>
      </c>
      <c r="BB24" s="252">
        <f t="shared" si="5"/>
        <v>368</v>
      </c>
      <c r="BC24" s="252">
        <f t="shared" si="6"/>
        <v>30</v>
      </c>
      <c r="BD24" s="252">
        <f t="shared" si="7"/>
        <v>3</v>
      </c>
      <c r="BE24" s="252"/>
      <c r="BF24" s="252"/>
      <c r="BG24" s="252">
        <f t="shared" si="8"/>
        <v>35</v>
      </c>
      <c r="BH24" s="252">
        <f t="shared" si="9"/>
        <v>0</v>
      </c>
      <c r="BI24" s="252">
        <f t="shared" si="10"/>
        <v>6</v>
      </c>
      <c r="BJ24" s="252">
        <f t="shared" si="11"/>
        <v>0</v>
      </c>
      <c r="BK24" s="29"/>
      <c r="BL24" s="253"/>
    </row>
    <row r="25" spans="1:64" s="87" customFormat="1" ht="25.5" customHeight="1">
      <c r="A25" s="245">
        <f t="shared" si="12"/>
        <v>46255</v>
      </c>
      <c r="B25" s="246">
        <v>0</v>
      </c>
      <c r="C25" s="247">
        <v>67</v>
      </c>
      <c r="D25" s="247">
        <v>22</v>
      </c>
      <c r="E25" s="247">
        <v>12</v>
      </c>
      <c r="F25" s="247">
        <v>8</v>
      </c>
      <c r="G25" s="247">
        <v>17</v>
      </c>
      <c r="H25" s="247">
        <v>0</v>
      </c>
      <c r="I25" s="247">
        <v>0</v>
      </c>
      <c r="J25" s="250">
        <v>0</v>
      </c>
      <c r="K25" s="251">
        <v>1</v>
      </c>
      <c r="L25" s="247">
        <v>5</v>
      </c>
      <c r="M25" s="247">
        <v>54</v>
      </c>
      <c r="N25" s="247">
        <v>41</v>
      </c>
      <c r="O25" s="247">
        <v>4</v>
      </c>
      <c r="P25" s="247">
        <v>8</v>
      </c>
      <c r="Q25" s="247">
        <v>3</v>
      </c>
      <c r="R25" s="249">
        <v>0</v>
      </c>
      <c r="S25" s="250"/>
      <c r="T25" s="248">
        <v>28</v>
      </c>
      <c r="U25" s="247">
        <v>6</v>
      </c>
      <c r="V25" s="247"/>
      <c r="W25" s="247">
        <v>2</v>
      </c>
      <c r="X25" s="247">
        <v>0</v>
      </c>
      <c r="Y25" s="247">
        <v>0</v>
      </c>
      <c r="Z25" s="250">
        <v>9</v>
      </c>
      <c r="AA25" s="248">
        <v>0</v>
      </c>
      <c r="AB25" s="247"/>
      <c r="AC25" s="247">
        <v>0</v>
      </c>
      <c r="AD25" s="247">
        <v>0</v>
      </c>
      <c r="AE25" s="247">
        <v>0</v>
      </c>
      <c r="AF25" s="247"/>
      <c r="AG25" s="247">
        <v>0</v>
      </c>
      <c r="AH25" s="247">
        <v>0</v>
      </c>
      <c r="AI25" s="261">
        <v>0</v>
      </c>
      <c r="AJ25" s="251">
        <f>SUM(B25:AI25)</f>
        <v>287</v>
      </c>
      <c r="AK25" s="29"/>
      <c r="AL25" s="252">
        <f t="shared" si="17"/>
        <v>297</v>
      </c>
      <c r="AM25" s="252">
        <f t="shared" si="14"/>
        <v>82</v>
      </c>
      <c r="AN25" s="252">
        <f t="shared" si="18"/>
        <v>558</v>
      </c>
      <c r="AO25" s="254">
        <v>0</v>
      </c>
      <c r="AP25" s="254">
        <v>30</v>
      </c>
      <c r="AQ25" s="254">
        <v>0</v>
      </c>
      <c r="AR25" s="252">
        <f>SUM(AA25:AB25)+AH25</f>
        <v>0</v>
      </c>
      <c r="AS25" s="29"/>
      <c r="AT25" s="252">
        <f t="shared" si="16"/>
        <v>240</v>
      </c>
      <c r="AU25" s="252">
        <v>38</v>
      </c>
      <c r="AV25" s="252">
        <f t="shared" si="2"/>
        <v>0</v>
      </c>
      <c r="AW25" s="252">
        <f t="shared" si="3"/>
        <v>9</v>
      </c>
      <c r="AX25" s="252"/>
      <c r="AY25" s="252"/>
      <c r="AZ25" s="29"/>
      <c r="BA25" s="252">
        <f t="shared" si="4"/>
        <v>95</v>
      </c>
      <c r="BB25" s="252">
        <f t="shared" si="5"/>
        <v>115</v>
      </c>
      <c r="BC25" s="252">
        <f t="shared" si="6"/>
        <v>29</v>
      </c>
      <c r="BD25" s="252">
        <f t="shared" si="7"/>
        <v>3</v>
      </c>
      <c r="BE25" s="252"/>
      <c r="BF25" s="252"/>
      <c r="BG25" s="252">
        <f t="shared" si="8"/>
        <v>34</v>
      </c>
      <c r="BH25" s="252">
        <f t="shared" si="9"/>
        <v>2</v>
      </c>
      <c r="BI25" s="252">
        <f t="shared" si="10"/>
        <v>9</v>
      </c>
      <c r="BJ25" s="252">
        <f t="shared" si="11"/>
        <v>0</v>
      </c>
      <c r="BK25" s="29"/>
      <c r="BL25" s="253"/>
    </row>
    <row r="26" spans="1:64" s="87" customFormat="1" ht="25.5" customHeight="1">
      <c r="A26" s="245">
        <f t="shared" si="12"/>
        <v>46256</v>
      </c>
      <c r="B26" s="246">
        <v>0</v>
      </c>
      <c r="C26" s="247">
        <v>18</v>
      </c>
      <c r="D26" s="247">
        <v>21</v>
      </c>
      <c r="E26" s="247">
        <v>2</v>
      </c>
      <c r="F26" s="247">
        <v>10</v>
      </c>
      <c r="G26" s="247">
        <v>0</v>
      </c>
      <c r="H26" s="247">
        <v>0</v>
      </c>
      <c r="I26" s="247">
        <v>0</v>
      </c>
      <c r="J26" s="250">
        <v>0</v>
      </c>
      <c r="K26" s="251">
        <v>1</v>
      </c>
      <c r="L26" s="247">
        <v>5</v>
      </c>
      <c r="M26" s="247">
        <v>38</v>
      </c>
      <c r="N26" s="247">
        <v>8</v>
      </c>
      <c r="O26" s="247">
        <v>4</v>
      </c>
      <c r="P26" s="247">
        <v>2</v>
      </c>
      <c r="Q26" s="247">
        <v>0</v>
      </c>
      <c r="R26" s="249">
        <v>0</v>
      </c>
      <c r="S26" s="250"/>
      <c r="T26" s="248">
        <v>23</v>
      </c>
      <c r="U26" s="247">
        <v>1</v>
      </c>
      <c r="V26" s="247"/>
      <c r="W26" s="247">
        <v>0</v>
      </c>
      <c r="X26" s="247">
        <v>0</v>
      </c>
      <c r="Y26" s="247">
        <v>0</v>
      </c>
      <c r="Z26" s="250">
        <v>6</v>
      </c>
      <c r="AA26" s="247">
        <v>0</v>
      </c>
      <c r="AB26" s="247"/>
      <c r="AC26" s="247">
        <v>0</v>
      </c>
      <c r="AD26" s="247">
        <v>0</v>
      </c>
      <c r="AE26" s="247">
        <v>0</v>
      </c>
      <c r="AF26" s="247"/>
      <c r="AG26" s="247">
        <v>0</v>
      </c>
      <c r="AH26" s="247">
        <v>0</v>
      </c>
      <c r="AI26" s="261">
        <v>0</v>
      </c>
      <c r="AJ26" s="251">
        <f t="shared" si="0"/>
        <v>139</v>
      </c>
      <c r="AK26" s="29"/>
      <c r="AL26" s="252">
        <f t="shared" si="17"/>
        <v>150</v>
      </c>
      <c r="AM26" s="252">
        <f t="shared" si="14"/>
        <v>30</v>
      </c>
      <c r="AN26" s="252">
        <f t="shared" si="18"/>
        <v>251</v>
      </c>
      <c r="AO26" s="254">
        <v>0</v>
      </c>
      <c r="AP26" s="254">
        <v>27</v>
      </c>
      <c r="AQ26" s="254">
        <v>0</v>
      </c>
      <c r="AR26" s="252">
        <f t="shared" si="1"/>
        <v>0</v>
      </c>
      <c r="AS26" s="29"/>
      <c r="AT26" s="252">
        <f t="shared" si="16"/>
        <v>111</v>
      </c>
      <c r="AU26" s="252">
        <v>22</v>
      </c>
      <c r="AV26" s="252">
        <f t="shared" si="2"/>
        <v>0</v>
      </c>
      <c r="AW26" s="252">
        <f t="shared" si="3"/>
        <v>6</v>
      </c>
      <c r="AX26" s="252"/>
      <c r="AY26" s="252"/>
      <c r="AZ26" s="29"/>
      <c r="BA26" s="252">
        <f t="shared" si="4"/>
        <v>45</v>
      </c>
      <c r="BB26" s="252">
        <f t="shared" si="5"/>
        <v>58</v>
      </c>
      <c r="BC26" s="252">
        <f t="shared" si="6"/>
        <v>6</v>
      </c>
      <c r="BD26" s="252">
        <f t="shared" si="7"/>
        <v>0</v>
      </c>
      <c r="BE26" s="252"/>
      <c r="BF26" s="252"/>
      <c r="BG26" s="252">
        <f t="shared" si="8"/>
        <v>24</v>
      </c>
      <c r="BH26" s="252">
        <f t="shared" si="9"/>
        <v>0</v>
      </c>
      <c r="BI26" s="252">
        <f t="shared" si="10"/>
        <v>6</v>
      </c>
      <c r="BJ26" s="252">
        <f t="shared" si="11"/>
        <v>0</v>
      </c>
      <c r="BK26" s="29"/>
      <c r="BL26" s="253"/>
    </row>
    <row r="27" spans="1:64" s="87" customFormat="1" ht="25.5" customHeight="1">
      <c r="A27" s="245">
        <f t="shared" si="12"/>
        <v>46257</v>
      </c>
      <c r="B27" s="246">
        <v>0</v>
      </c>
      <c r="C27" s="247">
        <v>45</v>
      </c>
      <c r="D27" s="247">
        <v>36</v>
      </c>
      <c r="E27" s="247">
        <v>14</v>
      </c>
      <c r="F27" s="247">
        <v>6</v>
      </c>
      <c r="G27" s="247">
        <v>2</v>
      </c>
      <c r="H27" s="247">
        <v>0</v>
      </c>
      <c r="I27" s="247">
        <v>0</v>
      </c>
      <c r="J27" s="250">
        <v>0</v>
      </c>
      <c r="K27" s="251">
        <v>0</v>
      </c>
      <c r="L27" s="247">
        <v>5</v>
      </c>
      <c r="M27" s="247">
        <v>18</v>
      </c>
      <c r="N27" s="247">
        <v>28</v>
      </c>
      <c r="O27" s="247">
        <v>3</v>
      </c>
      <c r="P27" s="247">
        <v>4</v>
      </c>
      <c r="Q27" s="247">
        <v>1</v>
      </c>
      <c r="R27" s="249">
        <v>0</v>
      </c>
      <c r="S27" s="250"/>
      <c r="T27" s="248">
        <v>26</v>
      </c>
      <c r="U27" s="247">
        <v>7</v>
      </c>
      <c r="V27" s="247"/>
      <c r="W27" s="247">
        <v>3</v>
      </c>
      <c r="X27" s="247">
        <v>0</v>
      </c>
      <c r="Y27" s="247">
        <v>0</v>
      </c>
      <c r="Z27" s="250">
        <v>11</v>
      </c>
      <c r="AA27" s="248">
        <v>0</v>
      </c>
      <c r="AB27" s="247"/>
      <c r="AC27" s="247">
        <v>0</v>
      </c>
      <c r="AD27" s="247">
        <v>0</v>
      </c>
      <c r="AE27" s="247">
        <v>0</v>
      </c>
      <c r="AF27" s="247"/>
      <c r="AG27" s="247">
        <v>0</v>
      </c>
      <c r="AH27" s="247">
        <v>0</v>
      </c>
      <c r="AI27" s="261">
        <v>0</v>
      </c>
      <c r="AJ27" s="251">
        <f t="shared" si="0"/>
        <v>209</v>
      </c>
      <c r="AK27" s="29"/>
      <c r="AL27" s="252">
        <f t="shared" si="17"/>
        <v>148</v>
      </c>
      <c r="AM27" s="252">
        <f t="shared" si="14"/>
        <v>46</v>
      </c>
      <c r="AN27" s="252">
        <f t="shared" si="18"/>
        <v>397</v>
      </c>
      <c r="AO27" s="254">
        <v>0</v>
      </c>
      <c r="AP27" s="254">
        <v>13</v>
      </c>
      <c r="AQ27" s="254">
        <v>0</v>
      </c>
      <c r="AR27" s="252">
        <f t="shared" si="1"/>
        <v>0</v>
      </c>
      <c r="AS27" s="29"/>
      <c r="AT27" s="252">
        <f t="shared" si="16"/>
        <v>198</v>
      </c>
      <c r="AU27" s="252">
        <v>0</v>
      </c>
      <c r="AV27" s="252">
        <f t="shared" si="2"/>
        <v>0</v>
      </c>
      <c r="AW27" s="252">
        <f t="shared" si="3"/>
        <v>11</v>
      </c>
      <c r="AX27" s="252"/>
      <c r="AY27" s="252"/>
      <c r="AZ27" s="29"/>
      <c r="BA27" s="252">
        <f t="shared" si="4"/>
        <v>86</v>
      </c>
      <c r="BB27" s="252">
        <f t="shared" si="5"/>
        <v>66</v>
      </c>
      <c r="BC27" s="252">
        <f t="shared" si="6"/>
        <v>9</v>
      </c>
      <c r="BD27" s="252">
        <f t="shared" si="7"/>
        <v>1</v>
      </c>
      <c r="BE27" s="252"/>
      <c r="BF27" s="252"/>
      <c r="BG27" s="252">
        <f t="shared" si="8"/>
        <v>33</v>
      </c>
      <c r="BH27" s="252">
        <f t="shared" si="9"/>
        <v>3</v>
      </c>
      <c r="BI27" s="252">
        <f t="shared" si="10"/>
        <v>11</v>
      </c>
      <c r="BJ27" s="252">
        <f t="shared" si="11"/>
        <v>0</v>
      </c>
      <c r="BK27" s="29"/>
      <c r="BL27" s="253"/>
    </row>
    <row r="28" spans="1:64" s="87" customFormat="1" ht="25.5" customHeight="1">
      <c r="A28" s="245">
        <f t="shared" si="12"/>
        <v>46258</v>
      </c>
      <c r="B28" s="246">
        <v>0</v>
      </c>
      <c r="C28" s="247">
        <v>170</v>
      </c>
      <c r="D28" s="247">
        <v>100</v>
      </c>
      <c r="E28" s="247">
        <v>16</v>
      </c>
      <c r="F28" s="247">
        <v>12</v>
      </c>
      <c r="G28" s="247">
        <v>0</v>
      </c>
      <c r="H28" s="247">
        <v>0</v>
      </c>
      <c r="I28" s="247">
        <v>0</v>
      </c>
      <c r="J28" s="250">
        <v>0</v>
      </c>
      <c r="K28" s="251">
        <v>2</v>
      </c>
      <c r="L28" s="247">
        <v>27</v>
      </c>
      <c r="M28" s="247">
        <v>7</v>
      </c>
      <c r="N28" s="247">
        <v>35</v>
      </c>
      <c r="O28" s="247">
        <v>12</v>
      </c>
      <c r="P28" s="247">
        <v>12</v>
      </c>
      <c r="Q28" s="247">
        <v>0</v>
      </c>
      <c r="R28" s="249">
        <v>0</v>
      </c>
      <c r="S28" s="250"/>
      <c r="T28" s="248">
        <v>37</v>
      </c>
      <c r="U28" s="247">
        <v>11</v>
      </c>
      <c r="V28" s="247"/>
      <c r="W28" s="247">
        <v>1</v>
      </c>
      <c r="X28" s="247">
        <v>0</v>
      </c>
      <c r="Y28" s="247">
        <v>0</v>
      </c>
      <c r="Z28" s="250">
        <v>14</v>
      </c>
      <c r="AA28" s="248">
        <v>0</v>
      </c>
      <c r="AB28" s="247"/>
      <c r="AC28" s="247">
        <v>0</v>
      </c>
      <c r="AD28" s="247">
        <v>0</v>
      </c>
      <c r="AE28" s="247">
        <v>0</v>
      </c>
      <c r="AF28" s="247"/>
      <c r="AG28" s="247">
        <v>0</v>
      </c>
      <c r="AH28" s="247">
        <v>0</v>
      </c>
      <c r="AI28" s="261">
        <v>0</v>
      </c>
      <c r="AJ28" s="251">
        <f t="shared" si="0"/>
        <v>456</v>
      </c>
      <c r="AK28" s="29"/>
      <c r="AL28" s="252">
        <f t="shared" si="17"/>
        <v>184</v>
      </c>
      <c r="AM28" s="252">
        <f t="shared" si="14"/>
        <v>100</v>
      </c>
      <c r="AN28" s="252">
        <f t="shared" si="18"/>
        <v>1032</v>
      </c>
      <c r="AO28" s="254">
        <v>0</v>
      </c>
      <c r="AP28" s="254">
        <v>35</v>
      </c>
      <c r="AQ28" s="254">
        <v>0</v>
      </c>
      <c r="AR28" s="252">
        <f t="shared" si="1"/>
        <v>0</v>
      </c>
      <c r="AS28" s="29"/>
      <c r="AT28" s="252">
        <f t="shared" si="16"/>
        <v>287</v>
      </c>
      <c r="AU28" s="252">
        <v>155</v>
      </c>
      <c r="AV28" s="252">
        <f t="shared" si="2"/>
        <v>0</v>
      </c>
      <c r="AW28" s="252">
        <f t="shared" si="3"/>
        <v>14</v>
      </c>
      <c r="AX28" s="252"/>
      <c r="AY28" s="252"/>
      <c r="AZ28" s="29"/>
      <c r="BA28" s="252">
        <f t="shared" si="4"/>
        <v>299</v>
      </c>
      <c r="BB28" s="252">
        <f t="shared" si="5"/>
        <v>70</v>
      </c>
      <c r="BC28" s="252">
        <f t="shared" si="6"/>
        <v>24</v>
      </c>
      <c r="BD28" s="252">
        <f t="shared" si="7"/>
        <v>0</v>
      </c>
      <c r="BE28" s="252"/>
      <c r="BF28" s="252"/>
      <c r="BG28" s="252">
        <f t="shared" si="8"/>
        <v>48</v>
      </c>
      <c r="BH28" s="252">
        <f t="shared" si="9"/>
        <v>1</v>
      </c>
      <c r="BI28" s="252">
        <f t="shared" si="10"/>
        <v>14</v>
      </c>
      <c r="BJ28" s="252">
        <f t="shared" si="11"/>
        <v>0</v>
      </c>
      <c r="BK28" s="29"/>
      <c r="BL28" s="253"/>
    </row>
    <row r="29" spans="1:64" s="87" customFormat="1" ht="25.5" customHeight="1">
      <c r="A29" s="245">
        <f t="shared" si="12"/>
        <v>46259</v>
      </c>
      <c r="B29" s="246">
        <v>0</v>
      </c>
      <c r="C29" s="247">
        <v>593</v>
      </c>
      <c r="D29" s="247">
        <v>130</v>
      </c>
      <c r="E29" s="247">
        <v>42</v>
      </c>
      <c r="F29" s="247">
        <v>20</v>
      </c>
      <c r="G29" s="247">
        <v>1</v>
      </c>
      <c r="H29" s="247">
        <v>4</v>
      </c>
      <c r="I29" s="247">
        <v>0</v>
      </c>
      <c r="J29" s="250">
        <v>0</v>
      </c>
      <c r="K29" s="251">
        <v>31</v>
      </c>
      <c r="L29" s="247">
        <v>21</v>
      </c>
      <c r="M29" s="247">
        <v>61</v>
      </c>
      <c r="N29" s="247">
        <v>47</v>
      </c>
      <c r="O29" s="247">
        <v>16</v>
      </c>
      <c r="P29" s="247">
        <v>3</v>
      </c>
      <c r="Q29" s="247">
        <v>2</v>
      </c>
      <c r="R29" s="249">
        <v>0</v>
      </c>
      <c r="S29" s="250"/>
      <c r="T29" s="248">
        <v>30</v>
      </c>
      <c r="U29" s="247">
        <v>8</v>
      </c>
      <c r="V29" s="247"/>
      <c r="W29" s="247">
        <v>2</v>
      </c>
      <c r="X29" s="247">
        <v>0</v>
      </c>
      <c r="Y29" s="247">
        <v>0</v>
      </c>
      <c r="Z29" s="250">
        <v>17</v>
      </c>
      <c r="AA29" s="247">
        <v>0</v>
      </c>
      <c r="AB29" s="247"/>
      <c r="AC29" s="247">
        <v>0</v>
      </c>
      <c r="AD29" s="247">
        <v>0</v>
      </c>
      <c r="AE29" s="247">
        <v>1</v>
      </c>
      <c r="AF29" s="247"/>
      <c r="AG29" s="247">
        <v>0</v>
      </c>
      <c r="AH29" s="247">
        <v>0</v>
      </c>
      <c r="AI29" s="261">
        <v>0</v>
      </c>
      <c r="AJ29" s="251">
        <f t="shared" si="0"/>
        <v>1029</v>
      </c>
      <c r="AK29" s="29"/>
      <c r="AL29" s="252">
        <f t="shared" si="17"/>
        <v>428</v>
      </c>
      <c r="AM29" s="252">
        <f t="shared" si="14"/>
        <v>130</v>
      </c>
      <c r="AN29" s="252">
        <f t="shared" si="18"/>
        <v>2644</v>
      </c>
      <c r="AO29" s="254">
        <v>0</v>
      </c>
      <c r="AP29" s="254">
        <v>42</v>
      </c>
      <c r="AQ29" s="254">
        <v>0</v>
      </c>
      <c r="AR29" s="252">
        <f t="shared" si="1"/>
        <v>0</v>
      </c>
      <c r="AS29" s="29"/>
      <c r="AT29" s="252">
        <f t="shared" si="16"/>
        <v>375</v>
      </c>
      <c r="AU29" s="252">
        <v>637</v>
      </c>
      <c r="AV29" s="252">
        <f t="shared" si="2"/>
        <v>0</v>
      </c>
      <c r="AW29" s="252">
        <f t="shared" si="3"/>
        <v>17</v>
      </c>
      <c r="AX29" s="252"/>
      <c r="AY29" s="252"/>
      <c r="AZ29" s="29"/>
      <c r="BA29" s="252">
        <f t="shared" si="4"/>
        <v>775</v>
      </c>
      <c r="BB29" s="252">
        <f t="shared" si="5"/>
        <v>170</v>
      </c>
      <c r="BC29" s="252">
        <f t="shared" si="6"/>
        <v>24</v>
      </c>
      <c r="BD29" s="252">
        <f t="shared" si="7"/>
        <v>2</v>
      </c>
      <c r="BE29" s="252"/>
      <c r="BF29" s="252"/>
      <c r="BG29" s="252">
        <f t="shared" si="8"/>
        <v>39</v>
      </c>
      <c r="BH29" s="252">
        <f t="shared" si="9"/>
        <v>2</v>
      </c>
      <c r="BI29" s="252">
        <f t="shared" si="10"/>
        <v>17</v>
      </c>
      <c r="BJ29" s="252">
        <f t="shared" si="11"/>
        <v>0</v>
      </c>
      <c r="BK29" s="29"/>
      <c r="BL29" s="253"/>
    </row>
    <row r="30" spans="1:64" s="87" customFormat="1" ht="25.5" customHeight="1">
      <c r="A30" s="245">
        <f t="shared" si="12"/>
        <v>46260</v>
      </c>
      <c r="B30" s="246">
        <v>0</v>
      </c>
      <c r="C30" s="247">
        <v>54</v>
      </c>
      <c r="D30" s="247">
        <v>90</v>
      </c>
      <c r="E30" s="247">
        <v>11</v>
      </c>
      <c r="F30" s="247">
        <v>14</v>
      </c>
      <c r="G30" s="247">
        <v>5</v>
      </c>
      <c r="H30" s="247">
        <v>1</v>
      </c>
      <c r="I30" s="247">
        <v>0</v>
      </c>
      <c r="J30" s="250">
        <v>0</v>
      </c>
      <c r="K30" s="251">
        <v>2</v>
      </c>
      <c r="L30" s="247">
        <v>24</v>
      </c>
      <c r="M30" s="247">
        <v>14</v>
      </c>
      <c r="N30" s="247">
        <v>27</v>
      </c>
      <c r="O30" s="247">
        <v>7</v>
      </c>
      <c r="P30" s="247">
        <v>5</v>
      </c>
      <c r="Q30" s="247">
        <v>0</v>
      </c>
      <c r="R30" s="249">
        <v>0</v>
      </c>
      <c r="S30" s="250"/>
      <c r="T30" s="248">
        <v>27</v>
      </c>
      <c r="U30" s="247">
        <v>3</v>
      </c>
      <c r="V30" s="247"/>
      <c r="W30" s="247">
        <v>0</v>
      </c>
      <c r="X30" s="247">
        <v>0</v>
      </c>
      <c r="Y30" s="247">
        <v>0</v>
      </c>
      <c r="Z30" s="250">
        <v>7</v>
      </c>
      <c r="AA30" s="248">
        <v>0</v>
      </c>
      <c r="AB30" s="247"/>
      <c r="AC30" s="247">
        <v>0</v>
      </c>
      <c r="AD30" s="247">
        <v>0</v>
      </c>
      <c r="AE30" s="247">
        <v>7</v>
      </c>
      <c r="AF30" s="247"/>
      <c r="AG30" s="247">
        <v>0</v>
      </c>
      <c r="AH30" s="247">
        <v>0</v>
      </c>
      <c r="AI30" s="261">
        <v>0</v>
      </c>
      <c r="AJ30" s="251">
        <f t="shared" si="0"/>
        <v>298</v>
      </c>
      <c r="AK30" s="29"/>
      <c r="AL30" s="252">
        <f t="shared" si="17"/>
        <v>175</v>
      </c>
      <c r="AM30" s="252">
        <f t="shared" si="14"/>
        <v>67</v>
      </c>
      <c r="AN30" s="252">
        <f t="shared" si="18"/>
        <v>640</v>
      </c>
      <c r="AO30" s="254">
        <v>0</v>
      </c>
      <c r="AP30" s="254">
        <v>27</v>
      </c>
      <c r="AQ30" s="254">
        <v>0</v>
      </c>
      <c r="AR30" s="252">
        <f t="shared" si="1"/>
        <v>0</v>
      </c>
      <c r="AS30" s="29"/>
      <c r="AT30" s="252">
        <f t="shared" si="16"/>
        <v>231</v>
      </c>
      <c r="AU30" s="252">
        <v>60</v>
      </c>
      <c r="AV30" s="252">
        <f>AH30</f>
        <v>0</v>
      </c>
      <c r="AW30" s="252">
        <f>Z30</f>
        <v>7</v>
      </c>
      <c r="AX30" s="252"/>
      <c r="AY30" s="252"/>
      <c r="AZ30" s="29"/>
      <c r="BA30" s="252">
        <f t="shared" si="4"/>
        <v>170</v>
      </c>
      <c r="BB30" s="252">
        <f t="shared" si="5"/>
        <v>66</v>
      </c>
      <c r="BC30" s="252">
        <f t="shared" si="6"/>
        <v>18</v>
      </c>
      <c r="BD30" s="252">
        <f t="shared" si="7"/>
        <v>0</v>
      </c>
      <c r="BE30" s="252"/>
      <c r="BF30" s="252"/>
      <c r="BG30" s="252">
        <f t="shared" si="8"/>
        <v>37</v>
      </c>
      <c r="BH30" s="252">
        <f t="shared" si="9"/>
        <v>0</v>
      </c>
      <c r="BI30" s="252">
        <f t="shared" si="10"/>
        <v>7</v>
      </c>
      <c r="BJ30" s="252">
        <f t="shared" si="11"/>
        <v>0</v>
      </c>
      <c r="BK30" s="29"/>
      <c r="BL30" s="15"/>
    </row>
    <row r="31" spans="1:64" s="87" customFormat="1" ht="25.5" customHeight="1">
      <c r="A31" s="245">
        <f t="shared" si="12"/>
        <v>46261</v>
      </c>
      <c r="B31" s="246">
        <v>0</v>
      </c>
      <c r="C31" s="247">
        <v>40</v>
      </c>
      <c r="D31" s="247">
        <v>52</v>
      </c>
      <c r="E31" s="247">
        <v>29</v>
      </c>
      <c r="F31" s="247">
        <v>13</v>
      </c>
      <c r="G31" s="247">
        <v>4</v>
      </c>
      <c r="H31" s="247">
        <v>0</v>
      </c>
      <c r="I31" s="247">
        <v>0</v>
      </c>
      <c r="J31" s="250">
        <v>0</v>
      </c>
      <c r="K31" s="251">
        <v>6</v>
      </c>
      <c r="L31" s="247">
        <v>13</v>
      </c>
      <c r="M31" s="247">
        <v>74</v>
      </c>
      <c r="N31" s="247">
        <v>37</v>
      </c>
      <c r="O31" s="247">
        <v>5</v>
      </c>
      <c r="P31" s="247">
        <v>5</v>
      </c>
      <c r="Q31" s="247">
        <v>1</v>
      </c>
      <c r="R31" s="249">
        <v>1</v>
      </c>
      <c r="S31" s="250"/>
      <c r="T31" s="248">
        <v>68</v>
      </c>
      <c r="U31" s="247">
        <v>11</v>
      </c>
      <c r="V31" s="247"/>
      <c r="W31" s="247">
        <v>0</v>
      </c>
      <c r="X31" s="247">
        <v>0</v>
      </c>
      <c r="Y31" s="247">
        <v>0</v>
      </c>
      <c r="Z31" s="250">
        <v>14</v>
      </c>
      <c r="AA31" s="248">
        <v>0</v>
      </c>
      <c r="AB31" s="247"/>
      <c r="AC31" s="247">
        <v>0</v>
      </c>
      <c r="AD31" s="247">
        <v>0</v>
      </c>
      <c r="AE31" s="247">
        <v>0</v>
      </c>
      <c r="AF31" s="247"/>
      <c r="AG31" s="247">
        <v>0</v>
      </c>
      <c r="AH31" s="247">
        <v>0</v>
      </c>
      <c r="AI31" s="261">
        <v>0</v>
      </c>
      <c r="AJ31" s="251">
        <f t="shared" si="0"/>
        <v>373</v>
      </c>
      <c r="AK31" s="29"/>
      <c r="AL31" s="252">
        <f t="shared" si="17"/>
        <v>371</v>
      </c>
      <c r="AM31" s="252">
        <f t="shared" si="14"/>
        <v>82</v>
      </c>
      <c r="AN31" s="252">
        <f t="shared" si="18"/>
        <v>640</v>
      </c>
      <c r="AO31" s="254">
        <v>0</v>
      </c>
      <c r="AP31" s="254">
        <v>27</v>
      </c>
      <c r="AQ31" s="254">
        <v>0</v>
      </c>
      <c r="AR31" s="252">
        <f t="shared" si="1"/>
        <v>0</v>
      </c>
      <c r="AS31" s="29"/>
      <c r="AT31" s="252">
        <f t="shared" si="16"/>
        <v>220</v>
      </c>
      <c r="AU31" s="252">
        <v>139</v>
      </c>
      <c r="AV31" s="252">
        <f>AH31</f>
        <v>0</v>
      </c>
      <c r="AW31" s="252">
        <f t="shared" si="3"/>
        <v>14</v>
      </c>
      <c r="AX31" s="252"/>
      <c r="AY31" s="252"/>
      <c r="AZ31" s="29"/>
      <c r="BA31" s="252">
        <f t="shared" si="4"/>
        <v>111</v>
      </c>
      <c r="BB31" s="252">
        <f t="shared" si="5"/>
        <v>153</v>
      </c>
      <c r="BC31" s="252">
        <f t="shared" si="6"/>
        <v>14</v>
      </c>
      <c r="BD31" s="252">
        <f t="shared" si="7"/>
        <v>2</v>
      </c>
      <c r="BE31" s="252"/>
      <c r="BF31" s="252"/>
      <c r="BG31" s="252">
        <f t="shared" si="8"/>
        <v>79</v>
      </c>
      <c r="BH31" s="252">
        <f t="shared" si="9"/>
        <v>0</v>
      </c>
      <c r="BI31" s="252">
        <f t="shared" si="10"/>
        <v>14</v>
      </c>
      <c r="BJ31" s="252">
        <f t="shared" si="11"/>
        <v>0</v>
      </c>
      <c r="BK31" s="29"/>
      <c r="BL31" s="253"/>
    </row>
    <row r="32" spans="1:64" s="87" customFormat="1" ht="25.5" customHeight="1">
      <c r="A32" s="245">
        <f t="shared" si="12"/>
        <v>46262</v>
      </c>
      <c r="B32" s="246">
        <v>0</v>
      </c>
      <c r="C32" s="247">
        <v>781</v>
      </c>
      <c r="D32" s="247">
        <v>96</v>
      </c>
      <c r="E32" s="247">
        <v>2</v>
      </c>
      <c r="F32" s="247">
        <v>45</v>
      </c>
      <c r="G32" s="247">
        <v>6</v>
      </c>
      <c r="H32" s="247">
        <v>1</v>
      </c>
      <c r="I32" s="247">
        <v>0</v>
      </c>
      <c r="J32" s="250">
        <v>0</v>
      </c>
      <c r="K32" s="251">
        <v>2</v>
      </c>
      <c r="L32" s="247">
        <v>25</v>
      </c>
      <c r="M32" s="247">
        <v>11</v>
      </c>
      <c r="N32" s="247">
        <v>40</v>
      </c>
      <c r="O32" s="247">
        <v>15</v>
      </c>
      <c r="P32" s="247">
        <v>6</v>
      </c>
      <c r="Q32" s="247">
        <v>0</v>
      </c>
      <c r="R32" s="249">
        <v>0</v>
      </c>
      <c r="S32" s="250"/>
      <c r="T32" s="248">
        <v>34</v>
      </c>
      <c r="U32" s="247">
        <v>8</v>
      </c>
      <c r="V32" s="247"/>
      <c r="W32" s="247">
        <v>1</v>
      </c>
      <c r="X32" s="247">
        <v>0</v>
      </c>
      <c r="Y32" s="247">
        <v>0</v>
      </c>
      <c r="Z32" s="250">
        <v>9</v>
      </c>
      <c r="AA32" s="248">
        <v>0</v>
      </c>
      <c r="AB32" s="247"/>
      <c r="AC32" s="247">
        <v>0</v>
      </c>
      <c r="AD32" s="247">
        <v>0</v>
      </c>
      <c r="AE32" s="247">
        <v>0</v>
      </c>
      <c r="AF32" s="247"/>
      <c r="AG32" s="247">
        <v>0</v>
      </c>
      <c r="AH32" s="247">
        <v>0</v>
      </c>
      <c r="AI32" s="261">
        <v>0</v>
      </c>
      <c r="AJ32" s="251">
        <f>SUM(B32:AI32)</f>
        <v>1082</v>
      </c>
      <c r="AK32" s="29"/>
      <c r="AL32" s="252">
        <f t="shared" si="17"/>
        <v>207</v>
      </c>
      <c r="AM32" s="252">
        <f t="shared" si="14"/>
        <v>117</v>
      </c>
      <c r="AN32" s="252">
        <f t="shared" si="18"/>
        <v>2916</v>
      </c>
      <c r="AO32" s="254">
        <v>0</v>
      </c>
      <c r="AP32" s="254">
        <v>15</v>
      </c>
      <c r="AQ32" s="254">
        <v>0</v>
      </c>
      <c r="AR32" s="252">
        <f t="shared" si="1"/>
        <v>0</v>
      </c>
      <c r="AS32" s="29"/>
      <c r="AT32" s="252">
        <f>AJ32-AU32-AW32-AV32</f>
        <v>263</v>
      </c>
      <c r="AU32" s="252">
        <v>810</v>
      </c>
      <c r="AV32" s="252">
        <f>AH32</f>
        <v>0</v>
      </c>
      <c r="AW32" s="252">
        <f t="shared" si="3"/>
        <v>9</v>
      </c>
      <c r="AX32" s="252"/>
      <c r="AY32" s="252"/>
      <c r="AZ32" s="29"/>
      <c r="BA32" s="252">
        <f t="shared" si="4"/>
        <v>904</v>
      </c>
      <c r="BB32" s="252">
        <f>SUM(E32:F32)+SUM(M32:N32)+AB32+AH32+S32</f>
        <v>98</v>
      </c>
      <c r="BC32" s="252">
        <f>SUM(G32:H32)+O32+P32</f>
        <v>28</v>
      </c>
      <c r="BD32" s="252">
        <f>SUM(I32:J32)+Q32+R32+AC32+AD32</f>
        <v>0</v>
      </c>
      <c r="BE32" s="252"/>
      <c r="BF32" s="252"/>
      <c r="BG32" s="252">
        <f>SUM(T32:V32)+AE32+AG32</f>
        <v>42</v>
      </c>
      <c r="BH32" s="252">
        <f>W32+AF32</f>
        <v>1</v>
      </c>
      <c r="BI32" s="252">
        <f>X32+Z32+AI32</f>
        <v>9</v>
      </c>
      <c r="BJ32" s="252">
        <f>Y32</f>
        <v>0</v>
      </c>
      <c r="BK32" s="29"/>
      <c r="BL32" s="253"/>
    </row>
    <row r="33" spans="1:64" s="87" customFormat="1" ht="25.5" customHeight="1">
      <c r="A33" s="245">
        <f t="shared" si="12"/>
        <v>46263</v>
      </c>
      <c r="B33" s="246">
        <v>0</v>
      </c>
      <c r="C33" s="247">
        <v>28</v>
      </c>
      <c r="D33" s="247">
        <v>40</v>
      </c>
      <c r="E33" s="247">
        <v>10</v>
      </c>
      <c r="F33" s="247">
        <v>5</v>
      </c>
      <c r="G33" s="247">
        <v>3</v>
      </c>
      <c r="H33" s="247">
        <v>0</v>
      </c>
      <c r="I33" s="247">
        <v>0</v>
      </c>
      <c r="J33" s="250">
        <v>0</v>
      </c>
      <c r="K33" s="251">
        <v>2</v>
      </c>
      <c r="L33" s="247">
        <v>9</v>
      </c>
      <c r="M33" s="247">
        <v>19</v>
      </c>
      <c r="N33" s="247">
        <v>19</v>
      </c>
      <c r="O33" s="247">
        <v>3</v>
      </c>
      <c r="P33" s="247">
        <v>2</v>
      </c>
      <c r="Q33" s="247">
        <v>0</v>
      </c>
      <c r="R33" s="249">
        <v>0</v>
      </c>
      <c r="S33" s="250"/>
      <c r="T33" s="248">
        <v>15</v>
      </c>
      <c r="U33" s="247">
        <v>6</v>
      </c>
      <c r="V33" s="247"/>
      <c r="W33" s="247">
        <v>1</v>
      </c>
      <c r="X33" s="247">
        <v>0</v>
      </c>
      <c r="Y33" s="247">
        <v>0</v>
      </c>
      <c r="Z33" s="250">
        <v>6</v>
      </c>
      <c r="AA33" s="248">
        <v>0</v>
      </c>
      <c r="AB33" s="247"/>
      <c r="AC33" s="247">
        <v>0</v>
      </c>
      <c r="AD33" s="247">
        <v>0</v>
      </c>
      <c r="AE33" s="247">
        <v>1</v>
      </c>
      <c r="AF33" s="247"/>
      <c r="AG33" s="247">
        <v>0</v>
      </c>
      <c r="AH33" s="247">
        <v>0</v>
      </c>
      <c r="AI33" s="261">
        <v>0</v>
      </c>
      <c r="AJ33" s="251">
        <f t="shared" ref="AJ33:AJ35" si="19">SUM(B33:AI33)</f>
        <v>169</v>
      </c>
      <c r="AK33" s="29"/>
      <c r="AL33" s="252">
        <f t="shared" si="17"/>
        <v>136</v>
      </c>
      <c r="AM33" s="252">
        <f t="shared" si="14"/>
        <v>33</v>
      </c>
      <c r="AN33" s="252">
        <f t="shared" si="18"/>
        <v>343</v>
      </c>
      <c r="AO33" s="254">
        <v>0</v>
      </c>
      <c r="AP33" s="254">
        <v>12</v>
      </c>
      <c r="AQ33" s="254">
        <v>0</v>
      </c>
      <c r="AR33" s="252">
        <f t="shared" si="1"/>
        <v>0</v>
      </c>
      <c r="AS33" s="29"/>
      <c r="AT33" s="252">
        <f t="shared" ref="AT33:AT35" si="20">AJ33-AU33-AW33-AV33</f>
        <v>163</v>
      </c>
      <c r="AU33" s="252">
        <v>0</v>
      </c>
      <c r="AV33" s="252">
        <f t="shared" ref="AV33:AV35" si="21">AH33</f>
        <v>0</v>
      </c>
      <c r="AW33" s="252">
        <f t="shared" si="3"/>
        <v>6</v>
      </c>
      <c r="AX33" s="252"/>
      <c r="AY33" s="252"/>
      <c r="AZ33" s="29"/>
      <c r="BA33" s="252">
        <f t="shared" si="4"/>
        <v>79</v>
      </c>
      <c r="BB33" s="252">
        <f t="shared" ref="BB33:BB35" si="22">SUM(E33:F33)+SUM(M33:N33)+AB33+AH33+S33</f>
        <v>53</v>
      </c>
      <c r="BC33" s="252">
        <f t="shared" ref="BC33:BC35" si="23">SUM(G33:H33)+O33+P33</f>
        <v>8</v>
      </c>
      <c r="BD33" s="252">
        <f t="shared" ref="BD33:BD35" si="24">SUM(I33:J33)+Q33+R33+AC33+AD33</f>
        <v>0</v>
      </c>
      <c r="BE33" s="252"/>
      <c r="BF33" s="252"/>
      <c r="BG33" s="252">
        <f t="shared" ref="BG33:BG35" si="25">SUM(T33:V33)+AE33+AG33</f>
        <v>22</v>
      </c>
      <c r="BH33" s="252">
        <f t="shared" ref="BH33:BH35" si="26">W33+AF33</f>
        <v>1</v>
      </c>
      <c r="BI33" s="252">
        <f t="shared" ref="BI33:BI35" si="27">X33+Z33+AI33</f>
        <v>6</v>
      </c>
      <c r="BJ33" s="252">
        <f t="shared" ref="BJ33:BJ35" si="28">Y33</f>
        <v>0</v>
      </c>
      <c r="BK33" s="29"/>
      <c r="BL33" s="253"/>
    </row>
    <row r="34" spans="1:64" s="87" customFormat="1" ht="25.5" customHeight="1">
      <c r="A34" s="245">
        <f t="shared" si="12"/>
        <v>46264</v>
      </c>
      <c r="B34" s="246">
        <v>0</v>
      </c>
      <c r="C34" s="247">
        <v>44</v>
      </c>
      <c r="D34" s="247">
        <v>71</v>
      </c>
      <c r="E34" s="247">
        <v>30</v>
      </c>
      <c r="F34" s="247">
        <v>14</v>
      </c>
      <c r="G34" s="247">
        <v>8</v>
      </c>
      <c r="H34" s="247">
        <v>1</v>
      </c>
      <c r="I34" s="247">
        <v>0</v>
      </c>
      <c r="J34" s="250">
        <v>0</v>
      </c>
      <c r="K34" s="251">
        <v>2</v>
      </c>
      <c r="L34" s="247">
        <v>2</v>
      </c>
      <c r="M34" s="247">
        <v>20</v>
      </c>
      <c r="N34" s="247">
        <v>35</v>
      </c>
      <c r="O34" s="247">
        <v>7</v>
      </c>
      <c r="P34" s="247">
        <v>6</v>
      </c>
      <c r="Q34" s="247">
        <v>3</v>
      </c>
      <c r="R34" s="249">
        <v>0</v>
      </c>
      <c r="S34" s="250"/>
      <c r="T34" s="248">
        <v>34</v>
      </c>
      <c r="U34" s="247">
        <v>11</v>
      </c>
      <c r="V34" s="247"/>
      <c r="W34" s="247">
        <v>0</v>
      </c>
      <c r="X34" s="247">
        <v>0</v>
      </c>
      <c r="Y34" s="247">
        <v>0</v>
      </c>
      <c r="Z34" s="250">
        <v>5</v>
      </c>
      <c r="AA34" s="248">
        <v>0</v>
      </c>
      <c r="AB34" s="247"/>
      <c r="AC34" s="247">
        <v>0</v>
      </c>
      <c r="AD34" s="247">
        <v>0</v>
      </c>
      <c r="AE34" s="247">
        <v>0</v>
      </c>
      <c r="AF34" s="247"/>
      <c r="AG34" s="247">
        <v>0</v>
      </c>
      <c r="AH34" s="247">
        <v>0</v>
      </c>
      <c r="AI34" s="261">
        <v>0</v>
      </c>
      <c r="AJ34" s="251">
        <f t="shared" si="19"/>
        <v>293</v>
      </c>
      <c r="AK34" s="29"/>
      <c r="AL34" s="252">
        <f t="shared" si="17"/>
        <v>173</v>
      </c>
      <c r="AM34" s="252">
        <f t="shared" si="14"/>
        <v>101</v>
      </c>
      <c r="AN34" s="252">
        <f t="shared" si="18"/>
        <v>585</v>
      </c>
      <c r="AO34" s="254">
        <v>0</v>
      </c>
      <c r="AP34" s="254">
        <v>26</v>
      </c>
      <c r="AQ34" s="254">
        <v>0</v>
      </c>
      <c r="AR34" s="252">
        <f t="shared" si="1"/>
        <v>0</v>
      </c>
      <c r="AS34" s="29"/>
      <c r="AT34" s="252">
        <f t="shared" si="20"/>
        <v>247</v>
      </c>
      <c r="AU34" s="252">
        <v>41</v>
      </c>
      <c r="AV34" s="252">
        <f t="shared" si="21"/>
        <v>0</v>
      </c>
      <c r="AW34" s="252">
        <f t="shared" si="3"/>
        <v>5</v>
      </c>
      <c r="AX34" s="252"/>
      <c r="AY34" s="252"/>
      <c r="AZ34" s="29"/>
      <c r="BA34" s="252">
        <f t="shared" si="4"/>
        <v>119</v>
      </c>
      <c r="BB34" s="252">
        <f t="shared" si="22"/>
        <v>99</v>
      </c>
      <c r="BC34" s="252">
        <f t="shared" si="23"/>
        <v>22</v>
      </c>
      <c r="BD34" s="252">
        <f t="shared" si="24"/>
        <v>3</v>
      </c>
      <c r="BE34" s="252"/>
      <c r="BF34" s="252"/>
      <c r="BG34" s="252">
        <f t="shared" si="25"/>
        <v>45</v>
      </c>
      <c r="BH34" s="252">
        <f t="shared" si="26"/>
        <v>0</v>
      </c>
      <c r="BI34" s="252">
        <f t="shared" si="27"/>
        <v>5</v>
      </c>
      <c r="BJ34" s="252">
        <f t="shared" si="28"/>
        <v>0</v>
      </c>
      <c r="BK34" s="29"/>
      <c r="BL34" s="253"/>
    </row>
    <row r="35" spans="1:64" s="87" customFormat="1" ht="25.5" customHeight="1">
      <c r="A35" s="245">
        <f t="shared" si="12"/>
        <v>46265</v>
      </c>
      <c r="B35" s="246">
        <v>0</v>
      </c>
      <c r="C35" s="247">
        <v>84</v>
      </c>
      <c r="D35" s="247">
        <v>107</v>
      </c>
      <c r="E35" s="247">
        <v>86</v>
      </c>
      <c r="F35" s="247">
        <v>18</v>
      </c>
      <c r="G35" s="247">
        <v>4</v>
      </c>
      <c r="H35" s="247">
        <v>2</v>
      </c>
      <c r="I35" s="247">
        <v>0</v>
      </c>
      <c r="J35" s="250">
        <v>0</v>
      </c>
      <c r="K35" s="251">
        <v>9</v>
      </c>
      <c r="L35" s="247">
        <v>26</v>
      </c>
      <c r="M35" s="247">
        <v>41</v>
      </c>
      <c r="N35" s="247">
        <v>38</v>
      </c>
      <c r="O35" s="247">
        <v>11</v>
      </c>
      <c r="P35" s="247">
        <v>13</v>
      </c>
      <c r="Q35" s="247">
        <v>0</v>
      </c>
      <c r="R35" s="249">
        <v>0</v>
      </c>
      <c r="S35" s="250"/>
      <c r="T35" s="248">
        <v>52</v>
      </c>
      <c r="U35" s="247">
        <v>7</v>
      </c>
      <c r="V35" s="247"/>
      <c r="W35" s="247">
        <v>2</v>
      </c>
      <c r="X35" s="247">
        <v>0</v>
      </c>
      <c r="Y35" s="247">
        <v>0</v>
      </c>
      <c r="Z35" s="250">
        <v>19</v>
      </c>
      <c r="AA35" s="248">
        <v>0</v>
      </c>
      <c r="AB35" s="247"/>
      <c r="AC35" s="247">
        <v>0</v>
      </c>
      <c r="AD35" s="247">
        <v>0</v>
      </c>
      <c r="AE35" s="247">
        <v>2</v>
      </c>
      <c r="AF35" s="247"/>
      <c r="AG35" s="247">
        <v>0</v>
      </c>
      <c r="AH35" s="247">
        <v>0</v>
      </c>
      <c r="AI35" s="261">
        <v>0</v>
      </c>
      <c r="AJ35" s="251">
        <f t="shared" si="19"/>
        <v>521</v>
      </c>
      <c r="AK35" s="29"/>
      <c r="AL35" s="252">
        <f t="shared" si="17"/>
        <v>307</v>
      </c>
      <c r="AM35" s="252">
        <f t="shared" si="14"/>
        <v>182</v>
      </c>
      <c r="AN35" s="252">
        <f t="shared" si="18"/>
        <v>1045</v>
      </c>
      <c r="AO35" s="254">
        <v>0</v>
      </c>
      <c r="AP35" s="254">
        <v>67</v>
      </c>
      <c r="AQ35" s="254">
        <v>0</v>
      </c>
      <c r="AR35" s="252">
        <f t="shared" si="1"/>
        <v>0</v>
      </c>
      <c r="AS35" s="29"/>
      <c r="AT35" s="252">
        <f t="shared" si="20"/>
        <v>351</v>
      </c>
      <c r="AU35" s="252">
        <v>151</v>
      </c>
      <c r="AV35" s="252">
        <f t="shared" si="21"/>
        <v>0</v>
      </c>
      <c r="AW35" s="252">
        <f t="shared" si="3"/>
        <v>19</v>
      </c>
      <c r="AX35" s="252"/>
      <c r="AY35" s="252"/>
      <c r="AZ35" s="29"/>
      <c r="BA35" s="252">
        <f t="shared" si="4"/>
        <v>226</v>
      </c>
      <c r="BB35" s="252">
        <f t="shared" si="22"/>
        <v>183</v>
      </c>
      <c r="BC35" s="252">
        <f t="shared" si="23"/>
        <v>30</v>
      </c>
      <c r="BD35" s="252">
        <f t="shared" si="24"/>
        <v>0</v>
      </c>
      <c r="BE35" s="252"/>
      <c r="BF35" s="252"/>
      <c r="BG35" s="252">
        <f t="shared" si="25"/>
        <v>61</v>
      </c>
      <c r="BH35" s="252">
        <f t="shared" si="26"/>
        <v>2</v>
      </c>
      <c r="BI35" s="252">
        <f t="shared" si="27"/>
        <v>19</v>
      </c>
      <c r="BJ35" s="252">
        <f t="shared" si="28"/>
        <v>0</v>
      </c>
      <c r="BK35" s="29"/>
      <c r="BL35" s="253"/>
    </row>
    <row r="36" spans="1:64" ht="25.5" customHeight="1" thickBot="1">
      <c r="A36" s="131" t="s">
        <v>177</v>
      </c>
      <c r="B36" s="234">
        <f t="shared" ref="B36:R36" si="29">SUM(B5:B35)</f>
        <v>0</v>
      </c>
      <c r="C36" s="120">
        <f t="shared" si="29"/>
        <v>11087</v>
      </c>
      <c r="D36" s="120">
        <f t="shared" si="29"/>
        <v>1538</v>
      </c>
      <c r="E36" s="120">
        <f t="shared" si="29"/>
        <v>550</v>
      </c>
      <c r="F36" s="120">
        <f t="shared" si="29"/>
        <v>499</v>
      </c>
      <c r="G36" s="120">
        <f t="shared" si="29"/>
        <v>136</v>
      </c>
      <c r="H36" s="120">
        <f t="shared" si="29"/>
        <v>31</v>
      </c>
      <c r="I36" s="120">
        <f t="shared" si="29"/>
        <v>5</v>
      </c>
      <c r="J36" s="121">
        <f t="shared" si="29"/>
        <v>0</v>
      </c>
      <c r="K36" s="154">
        <f t="shared" si="29"/>
        <v>511</v>
      </c>
      <c r="L36" s="120">
        <f t="shared" si="29"/>
        <v>446</v>
      </c>
      <c r="M36" s="120">
        <f t="shared" si="29"/>
        <v>1467</v>
      </c>
      <c r="N36" s="120">
        <f t="shared" si="29"/>
        <v>1386</v>
      </c>
      <c r="O36" s="120">
        <f t="shared" si="29"/>
        <v>338</v>
      </c>
      <c r="P36" s="120">
        <f t="shared" si="29"/>
        <v>209</v>
      </c>
      <c r="Q36" s="120">
        <f t="shared" si="29"/>
        <v>37</v>
      </c>
      <c r="R36" s="243">
        <f t="shared" si="29"/>
        <v>13</v>
      </c>
      <c r="S36" s="243"/>
      <c r="T36" s="119">
        <f t="shared" ref="T36:AJ36" si="30">SUM(T5:T35)</f>
        <v>2189</v>
      </c>
      <c r="U36" s="120">
        <f t="shared" si="30"/>
        <v>375</v>
      </c>
      <c r="V36" s="120">
        <f t="shared" si="30"/>
        <v>0</v>
      </c>
      <c r="W36" s="120">
        <f t="shared" si="30"/>
        <v>48</v>
      </c>
      <c r="X36" s="120">
        <f t="shared" si="30"/>
        <v>0</v>
      </c>
      <c r="Y36" s="120">
        <f t="shared" si="30"/>
        <v>0</v>
      </c>
      <c r="Z36" s="121">
        <f t="shared" si="30"/>
        <v>358</v>
      </c>
      <c r="AA36" s="119">
        <f t="shared" si="30"/>
        <v>0</v>
      </c>
      <c r="AB36" s="120">
        <f t="shared" si="30"/>
        <v>0</v>
      </c>
      <c r="AC36" s="120">
        <f t="shared" si="30"/>
        <v>0</v>
      </c>
      <c r="AD36" s="120">
        <f t="shared" si="30"/>
        <v>0</v>
      </c>
      <c r="AE36" s="120">
        <f t="shared" si="30"/>
        <v>11</v>
      </c>
      <c r="AF36" s="120">
        <f t="shared" si="30"/>
        <v>0</v>
      </c>
      <c r="AG36" s="120">
        <f t="shared" si="30"/>
        <v>0</v>
      </c>
      <c r="AH36" s="120">
        <f t="shared" si="30"/>
        <v>0</v>
      </c>
      <c r="AI36" s="121">
        <f t="shared" si="30"/>
        <v>0</v>
      </c>
      <c r="AJ36" s="113">
        <f t="shared" si="30"/>
        <v>21234</v>
      </c>
      <c r="AK36" s="54"/>
      <c r="AL36" s="258">
        <f t="shared" ref="AL36:AR36" si="31">SUM(AL5:AL35)</f>
        <v>10946</v>
      </c>
      <c r="AM36" s="15">
        <f t="shared" si="31"/>
        <v>3012</v>
      </c>
      <c r="AN36" s="15">
        <f t="shared" si="31"/>
        <v>44051</v>
      </c>
      <c r="AO36" s="15">
        <f t="shared" si="31"/>
        <v>0</v>
      </c>
      <c r="AP36" s="15">
        <f t="shared" si="31"/>
        <v>865</v>
      </c>
      <c r="AQ36" s="15">
        <f t="shared" si="31"/>
        <v>0</v>
      </c>
      <c r="AR36" s="15">
        <f t="shared" si="31"/>
        <v>0</v>
      </c>
      <c r="AT36" s="15">
        <f t="shared" ref="AT36:AY36" si="32">SUM(AT5:AT35)</f>
        <v>8294</v>
      </c>
      <c r="AU36" s="15">
        <f t="shared" si="32"/>
        <v>12582</v>
      </c>
      <c r="AV36" s="15">
        <f t="shared" si="32"/>
        <v>0</v>
      </c>
      <c r="AW36" s="15">
        <f t="shared" si="32"/>
        <v>358</v>
      </c>
      <c r="AX36" s="15">
        <f t="shared" si="32"/>
        <v>0</v>
      </c>
      <c r="AY36" s="15">
        <f t="shared" si="32"/>
        <v>0</v>
      </c>
      <c r="BA36" s="15">
        <f t="shared" ref="BA36:BJ36" si="33">SUM(BA5:BA35)</f>
        <v>13582</v>
      </c>
      <c r="BB36" s="15">
        <f t="shared" si="33"/>
        <v>3902</v>
      </c>
      <c r="BC36" s="15">
        <f t="shared" si="33"/>
        <v>714</v>
      </c>
      <c r="BD36" s="15">
        <f t="shared" si="33"/>
        <v>55</v>
      </c>
      <c r="BE36" s="15">
        <f t="shared" si="33"/>
        <v>0</v>
      </c>
      <c r="BF36" s="15">
        <f t="shared" si="33"/>
        <v>0</v>
      </c>
      <c r="BG36" s="15">
        <f t="shared" si="33"/>
        <v>2575</v>
      </c>
      <c r="BH36" s="15">
        <f t="shared" si="33"/>
        <v>48</v>
      </c>
      <c r="BI36" s="15">
        <f t="shared" si="33"/>
        <v>358</v>
      </c>
      <c r="BJ36" s="15">
        <f t="shared" si="33"/>
        <v>0</v>
      </c>
      <c r="BL36" s="15"/>
    </row>
    <row r="37" spans="1:64" ht="25.5" customHeight="1">
      <c r="A37" s="29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L37" s="33"/>
      <c r="AM37" s="33"/>
      <c r="AN37" s="33"/>
      <c r="AO37" s="33"/>
      <c r="AP37" s="33"/>
    </row>
    <row r="38" spans="1:64" ht="25.5" customHeight="1">
      <c r="A38" s="31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L38" s="33"/>
      <c r="AM38" s="33"/>
      <c r="AN38" s="33"/>
      <c r="AO38" s="33"/>
      <c r="AP38" s="33"/>
    </row>
    <row r="39" spans="1:64" ht="25.5" customHeight="1">
      <c r="A39" s="31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L39" s="33"/>
      <c r="AM39" s="33"/>
      <c r="AN39" s="33"/>
      <c r="AO39" s="33"/>
      <c r="AP39" s="33"/>
    </row>
    <row r="40" spans="1:64" ht="25.5" customHeight="1">
      <c r="A40" s="31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L40" s="33"/>
      <c r="AM40" s="33"/>
      <c r="AN40" s="33"/>
      <c r="AO40" s="33"/>
      <c r="AP40" s="33"/>
    </row>
    <row r="41" spans="1:64" ht="25.5" customHeight="1">
      <c r="A41" s="31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L41" s="33"/>
      <c r="AM41" s="33"/>
      <c r="AN41" s="33"/>
      <c r="AO41" s="33"/>
      <c r="AP41" s="33"/>
    </row>
    <row r="42" spans="1:64" ht="25.5" customHeight="1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L42" s="33"/>
      <c r="AM42" s="33"/>
      <c r="AN42" s="33"/>
      <c r="AO42" s="33"/>
      <c r="AP42" s="33"/>
    </row>
    <row r="43" spans="1:64" ht="25.5" customHeight="1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L43" s="33"/>
      <c r="AM43" s="33"/>
      <c r="AN43" s="33"/>
      <c r="AO43" s="33"/>
      <c r="AP43" s="33"/>
    </row>
    <row r="44" spans="1:64" ht="25.5" customHeight="1">
      <c r="A44" s="34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L44" s="33"/>
      <c r="AM44" s="33"/>
      <c r="AN44" s="33"/>
      <c r="AO44" s="33"/>
      <c r="AP44" s="33"/>
    </row>
    <row r="45" spans="1:64" ht="25.5" customHeight="1">
      <c r="A45" s="34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L45" s="33"/>
      <c r="AM45" s="33"/>
      <c r="AN45" s="33"/>
      <c r="AO45" s="33"/>
      <c r="AP45" s="33"/>
    </row>
    <row r="46" spans="1:64" ht="25.5" customHeight="1">
      <c r="A46" s="34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L46" s="33"/>
      <c r="AM46" s="33"/>
      <c r="AN46" s="33"/>
      <c r="AO46" s="33"/>
      <c r="AP46" s="33"/>
    </row>
    <row r="47" spans="1:64" ht="25.5" customHeight="1">
      <c r="A47" s="34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L47" s="33"/>
      <c r="AM47" s="33"/>
      <c r="AN47" s="33"/>
      <c r="AO47" s="33"/>
      <c r="AP47" s="33"/>
    </row>
    <row r="48" spans="1:64" ht="25.5" customHeight="1">
      <c r="A48" s="34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L48" s="33"/>
      <c r="AM48" s="33"/>
      <c r="AN48" s="33"/>
      <c r="AO48" s="33"/>
      <c r="AP48" s="33"/>
    </row>
    <row r="49" spans="1:42" ht="25.5" customHeight="1">
      <c r="A49" s="34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L49" s="33"/>
      <c r="AM49" s="33"/>
      <c r="AN49" s="33"/>
      <c r="AO49" s="33"/>
      <c r="AP49" s="33"/>
    </row>
    <row r="50" spans="1:42" ht="25.5" customHeight="1">
      <c r="A50" s="34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L50" s="33"/>
      <c r="AM50" s="33"/>
      <c r="AN50" s="33"/>
      <c r="AO50" s="33"/>
      <c r="AP50" s="33"/>
    </row>
    <row r="51" spans="1:42" ht="25.5" customHeight="1">
      <c r="A51" s="34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L51" s="33"/>
      <c r="AM51" s="33"/>
      <c r="AN51" s="33"/>
      <c r="AO51" s="33"/>
      <c r="AP51" s="33"/>
    </row>
    <row r="52" spans="1:42" ht="25.5" customHeight="1">
      <c r="A52" s="34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L52" s="33"/>
      <c r="AM52" s="33"/>
      <c r="AN52" s="33"/>
      <c r="AO52" s="33"/>
      <c r="AP52" s="33"/>
    </row>
    <row r="53" spans="1:42" ht="25.5" customHeight="1">
      <c r="A53" s="34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L53" s="33"/>
      <c r="AM53" s="33"/>
      <c r="AN53" s="33"/>
      <c r="AO53" s="33"/>
      <c r="AP53" s="33"/>
    </row>
    <row r="54" spans="1:42" ht="25.5" customHeight="1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L54" s="33"/>
      <c r="AM54" s="33"/>
      <c r="AN54" s="33"/>
      <c r="AO54" s="33"/>
      <c r="AP54" s="33"/>
    </row>
    <row r="55" spans="1:42" ht="25.5" customHeight="1"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L55" s="33"/>
      <c r="AM55" s="33"/>
      <c r="AN55" s="33"/>
      <c r="AO55" s="33"/>
      <c r="AP55" s="33"/>
    </row>
    <row r="56" spans="1:42" ht="25.5" customHeight="1"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L56" s="33"/>
      <c r="AM56" s="33"/>
      <c r="AN56" s="33"/>
      <c r="AO56" s="33"/>
      <c r="AP56" s="33"/>
    </row>
    <row r="57" spans="1:42" ht="25.5" customHeight="1"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L57" s="33"/>
      <c r="AM57" s="33"/>
      <c r="AN57" s="33"/>
      <c r="AO57" s="33"/>
      <c r="AP57" s="33"/>
    </row>
    <row r="58" spans="1:42" ht="25.5" customHeight="1"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L58" s="33"/>
      <c r="AM58" s="33"/>
      <c r="AN58" s="33"/>
      <c r="AO58" s="33"/>
      <c r="AP58" s="33"/>
    </row>
    <row r="59" spans="1:42" ht="25.5" customHeight="1"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L59" s="33"/>
      <c r="AM59" s="33"/>
      <c r="AN59" s="33"/>
      <c r="AO59" s="33"/>
      <c r="AP59" s="33"/>
    </row>
    <row r="60" spans="1:42" ht="25.5" customHeight="1"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L60" s="33"/>
      <c r="AM60" s="33"/>
      <c r="AN60" s="33"/>
      <c r="AO60" s="33"/>
      <c r="AP60" s="33"/>
    </row>
    <row r="61" spans="1:42" ht="25.5" customHeight="1"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L61" s="33"/>
      <c r="AM61" s="33"/>
      <c r="AN61" s="33"/>
      <c r="AO61" s="33"/>
      <c r="AP61" s="33"/>
    </row>
    <row r="62" spans="1:42" ht="25.5" customHeight="1"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L62" s="33"/>
      <c r="AM62" s="33"/>
      <c r="AN62" s="33"/>
      <c r="AO62" s="33"/>
      <c r="AP62" s="33"/>
    </row>
    <row r="63" spans="1:42" ht="25.5" customHeight="1"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L63" s="33"/>
      <c r="AM63" s="33"/>
      <c r="AN63" s="33"/>
      <c r="AO63" s="33"/>
      <c r="AP63" s="33"/>
    </row>
    <row r="64" spans="1:42" ht="25.5" customHeight="1"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L64" s="33"/>
      <c r="AM64" s="33"/>
      <c r="AN64" s="33"/>
      <c r="AO64" s="33"/>
      <c r="AP64" s="33"/>
    </row>
    <row r="65" spans="2:42" ht="25.5" customHeight="1"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L65" s="33"/>
      <c r="AM65" s="33"/>
      <c r="AN65" s="33"/>
      <c r="AO65" s="33"/>
      <c r="AP65" s="33"/>
    </row>
    <row r="66" spans="2:42" ht="25.5" customHeight="1"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L66" s="33"/>
      <c r="AM66" s="33"/>
      <c r="AN66" s="33"/>
      <c r="AO66" s="33"/>
      <c r="AP66" s="33"/>
    </row>
    <row r="67" spans="2:42" ht="25.5" customHeight="1"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L67" s="33"/>
      <c r="AM67" s="33"/>
      <c r="AN67" s="33"/>
      <c r="AO67" s="33"/>
      <c r="AP67" s="33"/>
    </row>
    <row r="68" spans="2:42" ht="25.5" customHeight="1"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L68" s="33"/>
      <c r="AM68" s="33"/>
      <c r="AN68" s="33"/>
      <c r="AO68" s="33"/>
      <c r="AP68" s="33"/>
    </row>
    <row r="69" spans="2:42" ht="25.5" customHeight="1"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L69" s="33"/>
      <c r="AM69" s="33"/>
      <c r="AN69" s="33"/>
      <c r="AO69" s="33"/>
      <c r="AP69" s="33"/>
    </row>
    <row r="70" spans="2:42" ht="25.5" customHeight="1"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L70" s="33"/>
      <c r="AM70" s="33"/>
      <c r="AN70" s="33"/>
      <c r="AO70" s="33"/>
      <c r="AP70" s="33"/>
    </row>
    <row r="71" spans="2:42" ht="25.5" customHeight="1"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L71" s="33"/>
      <c r="AM71" s="33"/>
      <c r="AN71" s="33"/>
      <c r="AO71" s="33"/>
      <c r="AP71" s="33"/>
    </row>
    <row r="72" spans="2:42" ht="25.5" customHeight="1"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L72" s="33"/>
      <c r="AM72" s="33"/>
      <c r="AN72" s="33"/>
      <c r="AO72" s="33"/>
      <c r="AP72" s="33"/>
    </row>
    <row r="73" spans="2:42" ht="25.5" customHeight="1"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L73" s="33"/>
      <c r="AM73" s="33"/>
      <c r="AN73" s="33"/>
      <c r="AO73" s="33"/>
      <c r="AP73" s="33"/>
    </row>
    <row r="74" spans="2:42" ht="25.5" customHeight="1"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L74" s="33"/>
      <c r="AM74" s="33"/>
      <c r="AN74" s="33"/>
      <c r="AO74" s="33"/>
      <c r="AP74" s="33"/>
    </row>
    <row r="75" spans="2:42" ht="25.5" customHeight="1"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L75" s="33"/>
      <c r="AM75" s="33"/>
      <c r="AN75" s="33"/>
      <c r="AO75" s="33"/>
      <c r="AP75" s="33"/>
    </row>
    <row r="76" spans="2:42" ht="25.5" customHeight="1"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L76" s="33"/>
      <c r="AM76" s="33"/>
      <c r="AN76" s="33"/>
      <c r="AO76" s="33"/>
      <c r="AP76" s="33"/>
    </row>
    <row r="77" spans="2:42" ht="25.5" customHeight="1"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L77" s="33"/>
      <c r="AM77" s="33"/>
      <c r="AN77" s="33"/>
      <c r="AO77" s="33"/>
      <c r="AP77" s="33"/>
    </row>
    <row r="78" spans="2:42" ht="25.5" customHeight="1"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L78" s="33"/>
      <c r="AM78" s="33"/>
      <c r="AN78" s="33"/>
      <c r="AO78" s="33"/>
      <c r="AP78" s="33"/>
    </row>
    <row r="79" spans="2:42" ht="25.5" customHeight="1"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L79" s="33"/>
      <c r="AM79" s="33"/>
      <c r="AN79" s="33"/>
      <c r="AO79" s="33"/>
      <c r="AP79" s="33"/>
    </row>
    <row r="80" spans="2:42" ht="25.5" customHeight="1"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L80" s="33"/>
      <c r="AM80" s="33"/>
      <c r="AN80" s="33"/>
      <c r="AO80" s="33"/>
      <c r="AP80" s="33"/>
    </row>
    <row r="81" spans="2:42" ht="25.5" customHeight="1"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L81" s="33"/>
      <c r="AM81" s="33"/>
      <c r="AN81" s="33"/>
      <c r="AO81" s="33"/>
      <c r="AP81" s="33"/>
    </row>
    <row r="82" spans="2:42" ht="25.5" customHeight="1"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L82" s="33"/>
      <c r="AM82" s="33"/>
      <c r="AN82" s="33"/>
      <c r="AO82" s="33"/>
      <c r="AP82" s="33"/>
    </row>
    <row r="83" spans="2:42" ht="25.5" customHeight="1"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L83" s="33"/>
      <c r="AM83" s="33"/>
      <c r="AN83" s="33"/>
      <c r="AO83" s="33"/>
      <c r="AP83" s="33"/>
    </row>
    <row r="84" spans="2:42" ht="25.5" customHeight="1"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L84" s="33"/>
      <c r="AM84" s="33"/>
      <c r="AN84" s="33"/>
      <c r="AO84" s="33"/>
      <c r="AP84" s="33"/>
    </row>
    <row r="85" spans="2:42" ht="25.5" customHeight="1"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L85" s="33"/>
      <c r="AM85" s="33"/>
      <c r="AN85" s="33"/>
      <c r="AO85" s="33"/>
      <c r="AP85" s="33"/>
    </row>
    <row r="86" spans="2:42" ht="25.5" customHeight="1"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L86" s="33"/>
      <c r="AM86" s="33"/>
      <c r="AN86" s="33"/>
      <c r="AO86" s="33"/>
      <c r="AP86" s="33"/>
    </row>
    <row r="87" spans="2:42" ht="25.5" customHeight="1"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L87" s="33"/>
      <c r="AM87" s="33"/>
      <c r="AN87" s="33"/>
      <c r="AO87" s="33"/>
      <c r="AP87" s="33"/>
    </row>
    <row r="88" spans="2:42" ht="25.5" customHeight="1"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L88" s="33"/>
      <c r="AM88" s="33"/>
      <c r="AN88" s="33"/>
      <c r="AO88" s="33"/>
      <c r="AP88" s="33"/>
    </row>
    <row r="89" spans="2:42" ht="25.5" customHeight="1"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L89" s="33"/>
      <c r="AM89" s="33"/>
      <c r="AN89" s="33"/>
      <c r="AO89" s="33"/>
      <c r="AP89" s="33"/>
    </row>
    <row r="90" spans="2:42" ht="25.5" customHeight="1"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L90" s="33"/>
      <c r="AM90" s="33"/>
      <c r="AN90" s="33"/>
      <c r="AO90" s="33"/>
      <c r="AP90" s="33"/>
    </row>
    <row r="91" spans="2:42" ht="25.5" customHeight="1"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L91" s="33"/>
      <c r="AM91" s="33"/>
      <c r="AN91" s="33"/>
      <c r="AO91" s="33"/>
      <c r="AP91" s="33"/>
    </row>
    <row r="92" spans="2:42" ht="25.5" customHeight="1"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L92" s="33"/>
      <c r="AM92" s="33"/>
      <c r="AN92" s="33"/>
      <c r="AO92" s="33"/>
      <c r="AP92" s="33"/>
    </row>
    <row r="93" spans="2:42" ht="25.5" customHeight="1"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L93" s="33"/>
      <c r="AM93" s="33"/>
      <c r="AN93" s="33"/>
      <c r="AO93" s="33"/>
      <c r="AP93" s="33"/>
    </row>
    <row r="94" spans="2:42" ht="25.5" customHeight="1"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L94" s="33"/>
      <c r="AM94" s="33"/>
      <c r="AN94" s="33"/>
      <c r="AO94" s="33"/>
      <c r="AP94" s="33"/>
    </row>
    <row r="95" spans="2:42" ht="25.5" customHeight="1"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L95" s="33"/>
      <c r="AM95" s="33"/>
      <c r="AN95" s="33"/>
      <c r="AO95" s="33"/>
      <c r="AP95" s="33"/>
    </row>
    <row r="96" spans="2:42" ht="25.5" customHeight="1"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L96" s="33"/>
      <c r="AM96" s="33"/>
      <c r="AN96" s="33"/>
      <c r="AO96" s="33"/>
      <c r="AP96" s="33"/>
    </row>
    <row r="97" spans="2:42" ht="25.5" customHeight="1"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L97" s="33"/>
      <c r="AM97" s="33"/>
      <c r="AN97" s="33"/>
      <c r="AO97" s="33"/>
      <c r="AP97" s="33"/>
    </row>
    <row r="98" spans="2:42" ht="25.5" customHeight="1"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L98" s="33"/>
      <c r="AM98" s="33"/>
      <c r="AN98" s="33"/>
      <c r="AO98" s="33"/>
      <c r="AP98" s="33"/>
    </row>
    <row r="99" spans="2:42" ht="25.5" customHeight="1"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L99" s="33"/>
      <c r="AM99" s="33"/>
      <c r="AN99" s="33"/>
      <c r="AO99" s="33"/>
      <c r="AP99" s="33"/>
    </row>
    <row r="100" spans="2:42" ht="25.5" customHeight="1"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L100" s="33"/>
      <c r="AM100" s="33"/>
      <c r="AN100" s="33"/>
      <c r="AO100" s="33"/>
      <c r="AP100" s="33"/>
    </row>
    <row r="101" spans="2:42" ht="25.5" customHeight="1"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L101" s="33"/>
      <c r="AM101" s="33"/>
      <c r="AN101" s="33"/>
      <c r="AO101" s="33"/>
      <c r="AP101" s="33"/>
    </row>
    <row r="102" spans="2:42" ht="25.5" customHeight="1"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L102" s="33"/>
      <c r="AM102" s="33"/>
      <c r="AN102" s="33"/>
      <c r="AO102" s="33"/>
      <c r="AP102" s="33"/>
    </row>
    <row r="103" spans="2:42" ht="25.5" customHeight="1"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L103" s="33"/>
      <c r="AM103" s="33"/>
      <c r="AN103" s="33"/>
      <c r="AO103" s="33"/>
      <c r="AP103" s="33"/>
    </row>
    <row r="104" spans="2:42" ht="25.5" customHeight="1"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L104" s="33"/>
      <c r="AM104" s="33"/>
      <c r="AN104" s="33"/>
      <c r="AO104" s="33"/>
      <c r="AP104" s="33"/>
    </row>
    <row r="105" spans="2:42" ht="25.5" customHeight="1"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L105" s="33"/>
      <c r="AM105" s="33"/>
      <c r="AN105" s="33"/>
      <c r="AO105" s="33"/>
      <c r="AP105" s="33"/>
    </row>
    <row r="106" spans="2:42" ht="25.5" customHeight="1"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L106" s="33"/>
      <c r="AM106" s="33"/>
      <c r="AN106" s="33"/>
      <c r="AO106" s="33"/>
      <c r="AP106" s="33"/>
    </row>
    <row r="107" spans="2:42" ht="25.5" customHeight="1"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L107" s="33"/>
      <c r="AM107" s="33"/>
      <c r="AN107" s="33"/>
      <c r="AO107" s="33"/>
      <c r="AP107" s="33"/>
    </row>
    <row r="108" spans="2:42" ht="25.5" customHeight="1"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L108" s="33"/>
      <c r="AM108" s="33"/>
      <c r="AN108" s="33"/>
      <c r="AO108" s="33"/>
      <c r="AP108" s="33"/>
    </row>
    <row r="109" spans="2:42" ht="25.5" customHeight="1"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L109" s="33"/>
      <c r="AM109" s="33"/>
      <c r="AN109" s="33"/>
      <c r="AO109" s="33"/>
      <c r="AP109" s="33"/>
    </row>
    <row r="110" spans="2:42" ht="25.5" customHeight="1"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L110" s="33"/>
      <c r="AM110" s="33"/>
      <c r="AN110" s="33"/>
      <c r="AO110" s="33"/>
      <c r="AP110" s="33"/>
    </row>
    <row r="111" spans="2:42" ht="25.5" customHeight="1"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L111" s="33"/>
      <c r="AM111" s="33"/>
      <c r="AN111" s="33"/>
      <c r="AO111" s="33"/>
      <c r="AP111" s="33"/>
    </row>
    <row r="112" spans="2:42" ht="25.5" customHeight="1"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L112" s="33"/>
      <c r="AM112" s="33"/>
      <c r="AN112" s="33"/>
      <c r="AO112" s="33"/>
      <c r="AP112" s="33"/>
    </row>
    <row r="113" spans="2:42" ht="25.5" customHeight="1"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L113" s="33"/>
      <c r="AM113" s="33"/>
      <c r="AN113" s="33"/>
      <c r="AO113" s="33"/>
      <c r="AP113" s="33"/>
    </row>
    <row r="114" spans="2:42" ht="25.5" customHeight="1"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L114" s="33"/>
      <c r="AM114" s="33"/>
      <c r="AN114" s="33"/>
      <c r="AO114" s="33"/>
      <c r="AP114" s="33"/>
    </row>
    <row r="115" spans="2:42" ht="25.5" customHeight="1"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L115" s="33"/>
      <c r="AM115" s="33"/>
      <c r="AN115" s="33"/>
      <c r="AO115" s="33"/>
      <c r="AP115" s="33"/>
    </row>
    <row r="116" spans="2:42" ht="25.5" customHeight="1"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L116" s="33"/>
      <c r="AM116" s="33"/>
      <c r="AN116" s="33"/>
      <c r="AO116" s="33"/>
      <c r="AP116" s="33"/>
    </row>
    <row r="117" spans="2:42" ht="25.5" customHeight="1"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L117" s="33"/>
      <c r="AM117" s="33"/>
      <c r="AN117" s="33"/>
      <c r="AO117" s="33"/>
      <c r="AP117" s="33"/>
    </row>
    <row r="118" spans="2:42" ht="25.5" customHeight="1"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L118" s="33"/>
      <c r="AM118" s="33"/>
      <c r="AN118" s="33"/>
      <c r="AO118" s="33"/>
      <c r="AP118" s="33"/>
    </row>
    <row r="119" spans="2:42" ht="25.5" customHeight="1"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L119" s="33"/>
      <c r="AM119" s="33"/>
      <c r="AN119" s="33"/>
      <c r="AO119" s="33"/>
      <c r="AP119" s="33"/>
    </row>
    <row r="120" spans="2:42" ht="25.5" customHeight="1"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L120" s="33"/>
      <c r="AM120" s="33"/>
      <c r="AN120" s="33"/>
      <c r="AO120" s="33"/>
      <c r="AP120" s="33"/>
    </row>
    <row r="121" spans="2:42" ht="25.5" customHeight="1"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L121" s="33"/>
      <c r="AM121" s="33"/>
      <c r="AN121" s="33"/>
      <c r="AO121" s="33"/>
      <c r="AP121" s="33"/>
    </row>
    <row r="122" spans="2:42" ht="25.5" customHeight="1"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L122" s="33"/>
      <c r="AM122" s="33"/>
      <c r="AN122" s="33"/>
      <c r="AO122" s="33"/>
      <c r="AP122" s="33"/>
    </row>
    <row r="123" spans="2:42" ht="25.5" customHeight="1"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L123" s="33"/>
      <c r="AM123" s="33"/>
      <c r="AN123" s="33"/>
      <c r="AO123" s="33"/>
      <c r="AP123" s="33"/>
    </row>
    <row r="124" spans="2:42" ht="25.5" customHeight="1"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L124" s="33"/>
      <c r="AM124" s="33"/>
      <c r="AN124" s="33"/>
      <c r="AO124" s="33"/>
      <c r="AP124" s="33"/>
    </row>
    <row r="125" spans="2:42" ht="25.5" customHeight="1"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L125" s="33"/>
      <c r="AM125" s="33"/>
      <c r="AN125" s="33"/>
      <c r="AO125" s="33"/>
      <c r="AP125" s="33"/>
    </row>
    <row r="126" spans="2:42" ht="25.5" customHeight="1"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L126" s="33"/>
      <c r="AM126" s="33"/>
      <c r="AN126" s="33"/>
      <c r="AO126" s="33"/>
      <c r="AP126" s="33"/>
    </row>
    <row r="127" spans="2:42" ht="25.5" customHeight="1"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L127" s="33"/>
      <c r="AM127" s="33"/>
      <c r="AN127" s="33"/>
      <c r="AO127" s="33"/>
      <c r="AP127" s="33"/>
    </row>
    <row r="128" spans="2:42" ht="25.5" customHeight="1"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L128" s="33"/>
      <c r="AM128" s="33"/>
      <c r="AN128" s="33"/>
      <c r="AO128" s="33"/>
      <c r="AP128" s="33"/>
    </row>
    <row r="129" spans="2:42" ht="25.5" customHeight="1"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L129" s="33"/>
      <c r="AM129" s="33"/>
      <c r="AN129" s="33"/>
      <c r="AO129" s="33"/>
      <c r="AP129" s="33"/>
    </row>
    <row r="130" spans="2:42" ht="25.5" customHeight="1"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L130" s="33"/>
      <c r="AM130" s="33"/>
      <c r="AN130" s="33"/>
      <c r="AO130" s="33"/>
      <c r="AP130" s="33"/>
    </row>
    <row r="131" spans="2:42" ht="25.5" customHeight="1"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L131" s="33"/>
      <c r="AM131" s="33"/>
      <c r="AN131" s="33"/>
      <c r="AO131" s="33"/>
      <c r="AP131" s="33"/>
    </row>
    <row r="132" spans="2:42" ht="25.5" customHeight="1"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L132" s="33"/>
      <c r="AM132" s="33"/>
      <c r="AN132" s="33"/>
      <c r="AO132" s="33"/>
      <c r="AP132" s="33"/>
    </row>
    <row r="133" spans="2:42" ht="25.5" customHeight="1"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L133" s="33"/>
      <c r="AM133" s="33"/>
      <c r="AN133" s="33"/>
      <c r="AO133" s="33"/>
      <c r="AP133" s="33"/>
    </row>
    <row r="134" spans="2:42" ht="25.5" customHeight="1"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L134" s="33"/>
      <c r="AM134" s="33"/>
      <c r="AN134" s="33"/>
      <c r="AO134" s="33"/>
      <c r="AP134" s="33"/>
    </row>
    <row r="135" spans="2:42" ht="25.5" customHeight="1"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L135" s="33"/>
      <c r="AM135" s="33"/>
      <c r="AN135" s="33"/>
      <c r="AO135" s="33"/>
      <c r="AP135" s="33"/>
    </row>
    <row r="136" spans="2:42" ht="25.5" customHeight="1"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L136" s="33"/>
      <c r="AM136" s="33"/>
      <c r="AN136" s="33"/>
      <c r="AO136" s="33"/>
      <c r="AP136" s="33"/>
    </row>
    <row r="137" spans="2:42" ht="25.5" customHeight="1"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L137" s="33"/>
      <c r="AM137" s="33"/>
      <c r="AN137" s="33"/>
      <c r="AO137" s="33"/>
      <c r="AP137" s="33"/>
    </row>
    <row r="138" spans="2:42" ht="25.5" customHeight="1"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L138" s="33"/>
      <c r="AM138" s="33"/>
      <c r="AN138" s="33"/>
      <c r="AO138" s="33"/>
      <c r="AP138" s="33"/>
    </row>
    <row r="139" spans="2:42" ht="25.5" customHeight="1"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L139" s="33"/>
      <c r="AM139" s="33"/>
      <c r="AN139" s="33"/>
      <c r="AO139" s="33"/>
      <c r="AP139" s="33"/>
    </row>
    <row r="140" spans="2:42" ht="25.5" customHeight="1"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L140" s="33"/>
      <c r="AM140" s="33"/>
      <c r="AN140" s="33"/>
      <c r="AO140" s="33"/>
      <c r="AP140" s="33"/>
    </row>
    <row r="141" spans="2:42" ht="25.5" customHeight="1"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L141" s="33"/>
      <c r="AM141" s="33"/>
      <c r="AN141" s="33"/>
      <c r="AO141" s="33"/>
      <c r="AP141" s="33"/>
    </row>
    <row r="142" spans="2:42" ht="25.5" customHeight="1"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L142" s="33"/>
      <c r="AM142" s="33"/>
      <c r="AN142" s="33"/>
      <c r="AO142" s="33"/>
      <c r="AP142" s="33"/>
    </row>
    <row r="143" spans="2:42" ht="25.5" customHeight="1"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L143" s="33"/>
      <c r="AM143" s="33"/>
      <c r="AN143" s="33"/>
      <c r="AO143" s="33"/>
      <c r="AP143" s="33"/>
    </row>
    <row r="144" spans="2:42" ht="25.5" customHeight="1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L144" s="33"/>
      <c r="AM144" s="33"/>
      <c r="AN144" s="33"/>
      <c r="AO144" s="33"/>
      <c r="AP144" s="33"/>
    </row>
    <row r="145" spans="2:42" ht="25.5" customHeight="1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L145" s="33"/>
      <c r="AM145" s="33"/>
      <c r="AN145" s="33"/>
      <c r="AO145" s="33"/>
      <c r="AP145" s="33"/>
    </row>
    <row r="146" spans="2:42" ht="25.5" customHeight="1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L146" s="33"/>
      <c r="AM146" s="33"/>
      <c r="AN146" s="33"/>
      <c r="AO146" s="33"/>
      <c r="AP146" s="33"/>
    </row>
    <row r="147" spans="2:42" ht="25.5" customHeight="1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L147" s="33"/>
      <c r="AM147" s="33"/>
      <c r="AN147" s="33"/>
      <c r="AO147" s="33"/>
      <c r="AP147" s="33"/>
    </row>
    <row r="148" spans="2:42" ht="25.5" customHeight="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L148" s="33"/>
      <c r="AM148" s="33"/>
      <c r="AN148" s="33"/>
      <c r="AO148" s="33"/>
      <c r="AP148" s="33"/>
    </row>
    <row r="149" spans="2:42" ht="25.5" customHeight="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L149" s="33"/>
      <c r="AM149" s="33"/>
      <c r="AN149" s="33"/>
      <c r="AO149" s="33"/>
      <c r="AP149" s="33"/>
    </row>
    <row r="150" spans="2:42" ht="25.5" customHeight="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L150" s="33"/>
      <c r="AM150" s="33"/>
      <c r="AN150" s="33"/>
      <c r="AO150" s="33"/>
      <c r="AP150" s="33"/>
    </row>
    <row r="151" spans="2:42" ht="25.5" customHeight="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L151" s="33"/>
      <c r="AM151" s="33"/>
      <c r="AN151" s="33"/>
      <c r="AO151" s="33"/>
      <c r="AP151" s="33"/>
    </row>
    <row r="152" spans="2:42" ht="25.5" customHeight="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L152" s="33"/>
      <c r="AM152" s="33"/>
      <c r="AN152" s="33"/>
      <c r="AO152" s="33"/>
      <c r="AP152" s="33"/>
    </row>
    <row r="153" spans="2:42" ht="25.5" customHeight="1"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L153" s="33"/>
      <c r="AM153" s="33"/>
      <c r="AN153" s="33"/>
      <c r="AO153" s="33"/>
      <c r="AP153" s="33"/>
    </row>
    <row r="154" spans="2:42" ht="25.5" customHeight="1"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L154" s="33"/>
      <c r="AM154" s="33"/>
      <c r="AN154" s="33"/>
      <c r="AO154" s="33"/>
      <c r="AP154" s="33"/>
    </row>
    <row r="155" spans="2:42" ht="25.5" customHeight="1"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L155" s="33"/>
      <c r="AM155" s="33"/>
      <c r="AN155" s="33"/>
      <c r="AO155" s="33"/>
      <c r="AP155" s="33"/>
    </row>
    <row r="156" spans="2:42" ht="25.5" customHeight="1"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L156" s="33"/>
      <c r="AM156" s="33"/>
      <c r="AN156" s="33"/>
      <c r="AO156" s="33"/>
      <c r="AP156" s="33"/>
    </row>
    <row r="157" spans="2:42" ht="25.5" customHeight="1"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L157" s="33"/>
      <c r="AM157" s="33"/>
      <c r="AN157" s="33"/>
      <c r="AO157" s="33"/>
      <c r="AP157" s="33"/>
    </row>
    <row r="158" spans="2:42" ht="25.5" customHeight="1"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L158" s="33"/>
      <c r="AM158" s="33"/>
      <c r="AN158" s="33"/>
      <c r="AO158" s="33"/>
      <c r="AP158" s="33"/>
    </row>
    <row r="159" spans="2:42" ht="25.5" customHeight="1"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L159" s="33"/>
      <c r="AM159" s="33"/>
      <c r="AN159" s="33"/>
      <c r="AO159" s="33"/>
      <c r="AP159" s="33"/>
    </row>
    <row r="160" spans="2:42" ht="25.5" customHeight="1"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L160" s="33"/>
      <c r="AM160" s="33"/>
      <c r="AN160" s="33"/>
      <c r="AO160" s="33"/>
      <c r="AP160" s="33"/>
    </row>
    <row r="161" spans="2:42" ht="25.5" customHeight="1"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L161" s="33"/>
      <c r="AM161" s="33"/>
      <c r="AN161" s="33"/>
      <c r="AO161" s="33"/>
      <c r="AP161" s="33"/>
    </row>
    <row r="162" spans="2:42" ht="25.5" customHeight="1"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L162" s="33"/>
      <c r="AM162" s="33"/>
      <c r="AN162" s="33"/>
      <c r="AO162" s="33"/>
      <c r="AP162" s="33"/>
    </row>
    <row r="163" spans="2:42" ht="25.5" customHeight="1"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L163" s="33"/>
      <c r="AM163" s="33"/>
      <c r="AN163" s="33"/>
      <c r="AO163" s="33"/>
      <c r="AP163" s="33"/>
    </row>
    <row r="164" spans="2:42" ht="25.5" customHeight="1"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L164" s="33"/>
      <c r="AM164" s="33"/>
      <c r="AN164" s="33"/>
      <c r="AO164" s="33"/>
      <c r="AP164" s="33"/>
    </row>
    <row r="165" spans="2:42" ht="25.5" customHeight="1"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L165" s="33"/>
      <c r="AM165" s="33"/>
      <c r="AN165" s="33"/>
      <c r="AO165" s="33"/>
      <c r="AP165" s="33"/>
    </row>
    <row r="166" spans="2:42" ht="25.5" customHeight="1"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L166" s="33"/>
      <c r="AM166" s="33"/>
      <c r="AN166" s="33"/>
      <c r="AO166" s="33"/>
      <c r="AP166" s="33"/>
    </row>
    <row r="167" spans="2:42" ht="25.5" customHeight="1"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L167" s="33"/>
      <c r="AM167" s="33"/>
      <c r="AN167" s="33"/>
      <c r="AO167" s="33"/>
      <c r="AP167" s="33"/>
    </row>
    <row r="168" spans="2:42" ht="25.5" customHeight="1"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L168" s="33"/>
      <c r="AM168" s="33"/>
      <c r="AN168" s="33"/>
      <c r="AO168" s="33"/>
      <c r="AP168" s="33"/>
    </row>
    <row r="169" spans="2:42" ht="25.5" customHeight="1"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L169" s="33"/>
      <c r="AM169" s="33"/>
      <c r="AN169" s="33"/>
      <c r="AO169" s="33"/>
      <c r="AP169" s="33"/>
    </row>
    <row r="170" spans="2:42" ht="25.5" customHeight="1"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L170" s="33"/>
      <c r="AM170" s="33"/>
      <c r="AN170" s="33"/>
      <c r="AO170" s="33"/>
      <c r="AP170" s="33"/>
    </row>
    <row r="171" spans="2:42" ht="25.5" customHeight="1"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L171" s="33"/>
      <c r="AM171" s="33"/>
      <c r="AN171" s="33"/>
      <c r="AO171" s="33"/>
      <c r="AP171" s="33"/>
    </row>
    <row r="172" spans="2:42" ht="25.5" customHeight="1"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L172" s="33"/>
      <c r="AM172" s="33"/>
      <c r="AN172" s="33"/>
      <c r="AO172" s="33"/>
      <c r="AP172" s="33"/>
    </row>
    <row r="173" spans="2:42" ht="25.5" customHeight="1"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L173" s="33"/>
      <c r="AM173" s="33"/>
      <c r="AN173" s="33"/>
      <c r="AO173" s="33"/>
      <c r="AP173" s="33"/>
    </row>
    <row r="174" spans="2:42" ht="25.5" customHeight="1"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L174" s="33"/>
      <c r="AM174" s="33"/>
      <c r="AN174" s="33"/>
      <c r="AO174" s="33"/>
      <c r="AP174" s="33"/>
    </row>
    <row r="175" spans="2:42" ht="25.5" customHeight="1"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L175" s="33"/>
      <c r="AM175" s="33"/>
      <c r="AN175" s="33"/>
      <c r="AO175" s="33"/>
      <c r="AP175" s="33"/>
    </row>
    <row r="176" spans="2:42" ht="25.5" customHeight="1"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L176" s="33"/>
      <c r="AM176" s="33"/>
      <c r="AN176" s="33"/>
      <c r="AO176" s="33"/>
      <c r="AP176" s="33"/>
    </row>
    <row r="177" spans="2:42" ht="25.5" customHeight="1"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L177" s="33"/>
      <c r="AM177" s="33"/>
      <c r="AN177" s="33"/>
      <c r="AO177" s="33"/>
      <c r="AP177" s="33"/>
    </row>
    <row r="178" spans="2:42" ht="25.5" customHeight="1"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L178" s="33"/>
      <c r="AM178" s="33"/>
      <c r="AN178" s="33"/>
      <c r="AO178" s="33"/>
      <c r="AP178" s="33"/>
    </row>
    <row r="179" spans="2:42" ht="25.5" customHeight="1"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L179" s="33"/>
      <c r="AM179" s="33"/>
      <c r="AN179" s="33"/>
      <c r="AO179" s="33"/>
      <c r="AP179" s="33"/>
    </row>
    <row r="180" spans="2:42" ht="25.5" customHeight="1"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L180" s="33"/>
      <c r="AM180" s="33"/>
      <c r="AN180" s="33"/>
      <c r="AO180" s="33"/>
      <c r="AP180" s="33"/>
    </row>
    <row r="181" spans="2:42" ht="25.5" customHeight="1"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L181" s="33"/>
      <c r="AM181" s="33"/>
      <c r="AN181" s="33"/>
      <c r="AO181" s="33"/>
      <c r="AP181" s="33"/>
    </row>
    <row r="182" spans="2:42" ht="25.5" customHeight="1"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L182" s="33"/>
      <c r="AM182" s="33"/>
      <c r="AN182" s="33"/>
      <c r="AO182" s="33"/>
      <c r="AP182" s="33"/>
    </row>
    <row r="183" spans="2:42" ht="25.5" customHeight="1"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L183" s="33"/>
      <c r="AM183" s="33"/>
      <c r="AN183" s="33"/>
      <c r="AO183" s="33"/>
      <c r="AP183" s="33"/>
    </row>
    <row r="184" spans="2:42" ht="25.5" customHeight="1"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L184" s="33"/>
      <c r="AM184" s="33"/>
      <c r="AN184" s="33"/>
      <c r="AO184" s="33"/>
      <c r="AP184" s="33"/>
    </row>
    <row r="185" spans="2:42" ht="25.5" customHeight="1"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L185" s="33"/>
      <c r="AM185" s="33"/>
      <c r="AN185" s="33"/>
      <c r="AO185" s="33"/>
      <c r="AP185" s="33"/>
    </row>
    <row r="186" spans="2:42" ht="25.5" customHeight="1"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L186" s="33"/>
      <c r="AM186" s="33"/>
      <c r="AN186" s="33"/>
      <c r="AO186" s="33"/>
      <c r="AP186" s="33"/>
    </row>
    <row r="187" spans="2:42" ht="25.5" customHeight="1"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L187" s="33"/>
      <c r="AM187" s="33"/>
      <c r="AN187" s="33"/>
      <c r="AO187" s="33"/>
      <c r="AP187" s="33"/>
    </row>
    <row r="188" spans="2:42" ht="25.5" customHeight="1"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L188" s="33"/>
      <c r="AM188" s="33"/>
      <c r="AN188" s="33"/>
      <c r="AO188" s="33"/>
      <c r="AP188" s="33"/>
    </row>
    <row r="189" spans="2:42" ht="25.5" customHeight="1"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L189" s="33"/>
      <c r="AM189" s="33"/>
      <c r="AN189" s="33"/>
      <c r="AO189" s="33"/>
      <c r="AP189" s="33"/>
    </row>
    <row r="190" spans="2:42" ht="25.5" customHeight="1"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L190" s="33"/>
      <c r="AM190" s="33"/>
      <c r="AN190" s="33"/>
      <c r="AO190" s="33"/>
      <c r="AP190" s="33"/>
    </row>
    <row r="191" spans="2:42" ht="25.5" customHeight="1"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L191" s="33"/>
      <c r="AM191" s="33"/>
      <c r="AN191" s="33"/>
      <c r="AO191" s="33"/>
      <c r="AP191" s="33"/>
    </row>
    <row r="192" spans="2:42" ht="25.5" customHeight="1"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L192" s="33"/>
      <c r="AM192" s="33"/>
      <c r="AN192" s="33"/>
      <c r="AO192" s="33"/>
      <c r="AP192" s="33"/>
    </row>
    <row r="193" spans="2:42" ht="25.5" customHeight="1"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L193" s="33"/>
      <c r="AM193" s="33"/>
      <c r="AN193" s="33"/>
      <c r="AO193" s="33"/>
      <c r="AP193" s="33"/>
    </row>
    <row r="194" spans="2:42" ht="25.5" customHeight="1"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L194" s="33"/>
      <c r="AM194" s="33"/>
      <c r="AN194" s="33"/>
      <c r="AO194" s="33"/>
      <c r="AP194" s="33"/>
    </row>
    <row r="195" spans="2:42" ht="25.5" customHeight="1"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L195" s="33"/>
      <c r="AM195" s="33"/>
      <c r="AN195" s="33"/>
      <c r="AO195" s="33"/>
      <c r="AP195" s="33"/>
    </row>
    <row r="196" spans="2:42" ht="25.5" customHeight="1"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L196" s="33"/>
      <c r="AM196" s="33"/>
      <c r="AN196" s="33"/>
      <c r="AO196" s="33"/>
      <c r="AP196" s="33"/>
    </row>
    <row r="197" spans="2:42" ht="25.5" customHeight="1"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L197" s="33"/>
      <c r="AM197" s="33"/>
      <c r="AN197" s="33"/>
      <c r="AO197" s="33"/>
      <c r="AP197" s="33"/>
    </row>
    <row r="198" spans="2:42" ht="25.5" customHeight="1"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L198" s="33"/>
      <c r="AM198" s="33"/>
      <c r="AN198" s="33"/>
      <c r="AO198" s="33"/>
      <c r="AP198" s="33"/>
    </row>
    <row r="199" spans="2:42" ht="25.5" customHeight="1"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L199" s="33"/>
      <c r="AM199" s="33"/>
      <c r="AN199" s="33"/>
      <c r="AO199" s="33"/>
      <c r="AP199" s="33"/>
    </row>
    <row r="200" spans="2:42" ht="25.5" customHeight="1"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L200" s="33"/>
      <c r="AM200" s="33"/>
      <c r="AN200" s="33"/>
      <c r="AO200" s="33"/>
      <c r="AP200" s="33"/>
    </row>
    <row r="201" spans="2:42" ht="25.5" customHeight="1"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L201" s="33"/>
      <c r="AM201" s="33"/>
      <c r="AN201" s="33"/>
      <c r="AO201" s="33"/>
      <c r="AP201" s="33"/>
    </row>
    <row r="202" spans="2:42" ht="25.5" customHeight="1"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L202" s="33"/>
      <c r="AM202" s="33"/>
      <c r="AN202" s="33"/>
      <c r="AO202" s="33"/>
      <c r="AP202" s="33"/>
    </row>
    <row r="203" spans="2:42" ht="25.5" customHeight="1"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L203" s="33"/>
      <c r="AM203" s="33"/>
      <c r="AN203" s="33"/>
      <c r="AO203" s="33"/>
      <c r="AP203" s="33"/>
    </row>
    <row r="204" spans="2:42" ht="25.5" customHeight="1"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L204" s="33"/>
      <c r="AM204" s="33"/>
      <c r="AN204" s="33"/>
      <c r="AO204" s="33"/>
      <c r="AP204" s="33"/>
    </row>
    <row r="205" spans="2:42" ht="25.5" customHeight="1"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L205" s="33"/>
      <c r="AM205" s="33"/>
      <c r="AN205" s="33"/>
      <c r="AO205" s="33"/>
      <c r="AP205" s="33"/>
    </row>
    <row r="206" spans="2:42" ht="25.5" customHeight="1"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L206" s="33"/>
      <c r="AM206" s="33"/>
      <c r="AN206" s="33"/>
      <c r="AO206" s="33"/>
      <c r="AP206" s="33"/>
    </row>
    <row r="207" spans="2:42" ht="25.5" customHeight="1"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L207" s="33"/>
      <c r="AM207" s="33"/>
      <c r="AN207" s="33"/>
      <c r="AO207" s="33"/>
      <c r="AP207" s="33"/>
    </row>
    <row r="208" spans="2:42" ht="25.5" customHeight="1"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L208" s="33"/>
      <c r="AM208" s="33"/>
      <c r="AN208" s="33"/>
      <c r="AO208" s="33"/>
      <c r="AP208" s="33"/>
    </row>
    <row r="209" spans="2:42" ht="25.5" customHeight="1"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L209" s="33"/>
      <c r="AM209" s="33"/>
      <c r="AN209" s="33"/>
      <c r="AO209" s="33"/>
      <c r="AP209" s="33"/>
    </row>
    <row r="210" spans="2:42" ht="25.5" customHeight="1"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L210" s="33"/>
      <c r="AM210" s="33"/>
      <c r="AN210" s="33"/>
      <c r="AO210" s="33"/>
      <c r="AP210" s="33"/>
    </row>
    <row r="211" spans="2:42" ht="25.5" customHeight="1"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L211" s="33"/>
      <c r="AM211" s="33"/>
      <c r="AN211" s="33"/>
      <c r="AO211" s="33"/>
      <c r="AP211" s="33"/>
    </row>
    <row r="212" spans="2:42" ht="25.5" customHeight="1"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L212" s="33"/>
      <c r="AM212" s="33"/>
      <c r="AN212" s="33"/>
      <c r="AO212" s="33"/>
      <c r="AP212" s="33"/>
    </row>
    <row r="213" spans="2:42" ht="25.5" customHeight="1"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L213" s="33"/>
      <c r="AM213" s="33"/>
      <c r="AN213" s="33"/>
      <c r="AO213" s="33"/>
      <c r="AP213" s="33"/>
    </row>
    <row r="214" spans="2:42" ht="25.5" customHeight="1"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L214" s="33"/>
      <c r="AM214" s="33"/>
      <c r="AN214" s="33"/>
      <c r="AO214" s="33"/>
      <c r="AP214" s="33"/>
    </row>
    <row r="215" spans="2:42" ht="25.5" customHeight="1"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L215" s="33"/>
      <c r="AM215" s="33"/>
      <c r="AN215" s="33"/>
      <c r="AO215" s="33"/>
      <c r="AP215" s="33"/>
    </row>
    <row r="216" spans="2:42" ht="25.5" customHeight="1"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L216" s="33"/>
      <c r="AM216" s="33"/>
      <c r="AN216" s="33"/>
      <c r="AO216" s="33"/>
      <c r="AP216" s="33"/>
    </row>
    <row r="217" spans="2:42" ht="25.5" customHeight="1"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L217" s="33"/>
      <c r="AM217" s="33"/>
      <c r="AN217" s="33"/>
      <c r="AO217" s="33"/>
      <c r="AP217" s="33"/>
    </row>
    <row r="218" spans="2:42" ht="25.5" customHeight="1"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L218" s="33"/>
      <c r="AM218" s="33"/>
      <c r="AN218" s="33"/>
      <c r="AO218" s="33"/>
      <c r="AP218" s="33"/>
    </row>
    <row r="219" spans="2:42" ht="25.5" customHeight="1"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L219" s="33"/>
      <c r="AM219" s="33"/>
      <c r="AN219" s="33"/>
      <c r="AO219" s="33"/>
      <c r="AP219" s="33"/>
    </row>
    <row r="220" spans="2:42" ht="25.5" customHeight="1"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L220" s="33"/>
      <c r="AM220" s="33"/>
      <c r="AN220" s="33"/>
      <c r="AO220" s="33"/>
      <c r="AP220" s="33"/>
    </row>
    <row r="221" spans="2:42" ht="25.5" customHeight="1"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L221" s="33"/>
      <c r="AM221" s="33"/>
      <c r="AN221" s="33"/>
      <c r="AO221" s="33"/>
      <c r="AP221" s="33"/>
    </row>
    <row r="222" spans="2:42" ht="25.5" customHeight="1"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L222" s="33"/>
      <c r="AM222" s="33"/>
      <c r="AN222" s="33"/>
      <c r="AO222" s="33"/>
      <c r="AP222" s="33"/>
    </row>
    <row r="223" spans="2:42" ht="25.5" customHeight="1"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L223" s="33"/>
      <c r="AM223" s="33"/>
      <c r="AN223" s="33"/>
      <c r="AO223" s="33"/>
      <c r="AP223" s="33"/>
    </row>
    <row r="224" spans="2:42" ht="25.5" customHeight="1"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L224" s="33"/>
      <c r="AM224" s="33"/>
      <c r="AN224" s="33"/>
      <c r="AO224" s="33"/>
      <c r="AP224" s="33"/>
    </row>
    <row r="225" spans="2:42" ht="25.5" customHeight="1"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L225" s="33"/>
      <c r="AM225" s="33"/>
      <c r="AN225" s="33"/>
      <c r="AO225" s="33"/>
      <c r="AP225" s="33"/>
    </row>
    <row r="226" spans="2:42" ht="25.5" customHeight="1"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L226" s="33"/>
      <c r="AM226" s="33"/>
      <c r="AN226" s="33"/>
      <c r="AO226" s="33"/>
      <c r="AP226" s="33"/>
    </row>
    <row r="227" spans="2:42" ht="25.5" customHeight="1"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L227" s="33"/>
      <c r="AM227" s="33"/>
      <c r="AN227" s="33"/>
      <c r="AO227" s="33"/>
      <c r="AP227" s="33"/>
    </row>
    <row r="228" spans="2:42" ht="25.5" customHeight="1"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L228" s="33"/>
      <c r="AM228" s="33"/>
      <c r="AN228" s="33"/>
      <c r="AO228" s="33"/>
      <c r="AP228" s="33"/>
    </row>
    <row r="229" spans="2:42" ht="25.5" customHeight="1"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L229" s="33"/>
      <c r="AM229" s="33"/>
      <c r="AN229" s="33"/>
      <c r="AO229" s="33"/>
      <c r="AP229" s="33"/>
    </row>
    <row r="230" spans="2:42" ht="25.5" customHeight="1"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L230" s="33"/>
      <c r="AM230" s="33"/>
      <c r="AN230" s="33"/>
      <c r="AO230" s="33"/>
      <c r="AP230" s="33"/>
    </row>
    <row r="231" spans="2:42" ht="25.5" customHeight="1"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L231" s="33"/>
      <c r="AM231" s="33"/>
      <c r="AN231" s="33"/>
      <c r="AO231" s="33"/>
      <c r="AP231" s="33"/>
    </row>
    <row r="232" spans="2:42" ht="25.5" customHeight="1"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L232" s="33"/>
      <c r="AM232" s="33"/>
      <c r="AN232" s="33"/>
      <c r="AO232" s="33"/>
      <c r="AP232" s="33"/>
    </row>
    <row r="233" spans="2:42" ht="25.5" customHeight="1"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L233" s="33"/>
      <c r="AM233" s="33"/>
      <c r="AN233" s="33"/>
      <c r="AO233" s="33"/>
      <c r="AP233" s="33"/>
    </row>
    <row r="234" spans="2:42" ht="25.5" customHeight="1"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L234" s="33"/>
      <c r="AM234" s="33"/>
      <c r="AN234" s="33"/>
      <c r="AO234" s="33"/>
      <c r="AP234" s="33"/>
    </row>
    <row r="235" spans="2:42" ht="25.5" customHeight="1"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L235" s="33"/>
      <c r="AM235" s="33"/>
      <c r="AN235" s="33"/>
      <c r="AO235" s="33"/>
      <c r="AP235" s="33"/>
    </row>
    <row r="236" spans="2:42" ht="25.5" customHeight="1"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L236" s="33"/>
      <c r="AM236" s="33"/>
      <c r="AN236" s="33"/>
      <c r="AO236" s="33"/>
      <c r="AP236" s="33"/>
    </row>
    <row r="237" spans="2:42" ht="25.5" customHeight="1"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L237" s="33"/>
      <c r="AM237" s="33"/>
      <c r="AN237" s="33"/>
      <c r="AO237" s="33"/>
      <c r="AP237" s="33"/>
    </row>
    <row r="238" spans="2:42" ht="25.5" customHeight="1"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L238" s="33"/>
      <c r="AM238" s="33"/>
      <c r="AN238" s="33"/>
      <c r="AO238" s="33"/>
      <c r="AP238" s="33"/>
    </row>
    <row r="239" spans="2:42" ht="25.5" customHeight="1"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L239" s="33"/>
      <c r="AM239" s="33"/>
      <c r="AN239" s="33"/>
      <c r="AO239" s="33"/>
      <c r="AP239" s="33"/>
    </row>
    <row r="240" spans="2:42" ht="25.5" customHeight="1"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L240" s="33"/>
      <c r="AM240" s="33"/>
      <c r="AN240" s="33"/>
      <c r="AO240" s="33"/>
      <c r="AP240" s="33"/>
    </row>
    <row r="241" spans="2:42" ht="25.5" customHeight="1"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L241" s="33"/>
      <c r="AM241" s="33"/>
      <c r="AN241" s="33"/>
      <c r="AO241" s="33"/>
      <c r="AP241" s="33"/>
    </row>
    <row r="242" spans="2:42" ht="25.5" customHeight="1"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L242" s="33"/>
      <c r="AM242" s="33"/>
      <c r="AN242" s="33"/>
      <c r="AO242" s="33"/>
      <c r="AP242" s="33"/>
    </row>
    <row r="243" spans="2:42" ht="25.5" customHeight="1"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L243" s="33"/>
      <c r="AM243" s="33"/>
      <c r="AN243" s="33"/>
      <c r="AO243" s="33"/>
      <c r="AP243" s="33"/>
    </row>
    <row r="244" spans="2:42" ht="25.5" customHeight="1"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L244" s="33"/>
      <c r="AM244" s="33"/>
      <c r="AN244" s="33"/>
      <c r="AO244" s="33"/>
      <c r="AP244" s="33"/>
    </row>
    <row r="245" spans="2:42" ht="25.5" customHeight="1"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L245" s="33"/>
      <c r="AM245" s="33"/>
      <c r="AN245" s="33"/>
      <c r="AO245" s="33"/>
      <c r="AP245" s="33"/>
    </row>
    <row r="246" spans="2:42" ht="25.5" customHeight="1"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L246" s="33"/>
      <c r="AM246" s="33"/>
      <c r="AN246" s="33"/>
      <c r="AO246" s="33"/>
      <c r="AP246" s="33"/>
    </row>
    <row r="247" spans="2:42" ht="25.5" customHeight="1"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L247" s="33"/>
      <c r="AM247" s="33"/>
      <c r="AN247" s="33"/>
      <c r="AO247" s="33"/>
      <c r="AP247" s="33"/>
    </row>
    <row r="248" spans="2:42" ht="25.5" customHeight="1"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L248" s="33"/>
      <c r="AM248" s="33"/>
      <c r="AN248" s="33"/>
      <c r="AO248" s="33"/>
      <c r="AP248" s="33"/>
    </row>
    <row r="249" spans="2:42" ht="25.5" customHeight="1"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L249" s="33"/>
      <c r="AM249" s="33"/>
      <c r="AN249" s="33"/>
      <c r="AO249" s="33"/>
      <c r="AP249" s="33"/>
    </row>
    <row r="250" spans="2:42" ht="25.5" customHeight="1"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L250" s="33"/>
      <c r="AM250" s="33"/>
      <c r="AN250" s="33"/>
      <c r="AO250" s="33"/>
      <c r="AP250" s="33"/>
    </row>
    <row r="251" spans="2:42" ht="25.5" customHeight="1"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L251" s="33"/>
      <c r="AM251" s="33"/>
      <c r="AN251" s="33"/>
      <c r="AO251" s="33"/>
      <c r="AP251" s="33"/>
    </row>
    <row r="252" spans="2:42" ht="25.5" customHeight="1"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L252" s="33"/>
      <c r="AM252" s="33"/>
      <c r="AN252" s="33"/>
      <c r="AO252" s="33"/>
      <c r="AP252" s="33"/>
    </row>
    <row r="253" spans="2:42" ht="25.5" customHeight="1"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L253" s="33"/>
      <c r="AM253" s="33"/>
      <c r="AN253" s="33"/>
      <c r="AO253" s="33"/>
      <c r="AP253" s="33"/>
    </row>
    <row r="254" spans="2:42" ht="25.5" customHeight="1"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L254" s="33"/>
      <c r="AM254" s="33"/>
      <c r="AN254" s="33"/>
      <c r="AO254" s="33"/>
      <c r="AP254" s="33"/>
    </row>
    <row r="255" spans="2:42" ht="25.5" customHeight="1"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L255" s="33"/>
      <c r="AM255" s="33"/>
      <c r="AN255" s="33"/>
      <c r="AO255" s="33"/>
      <c r="AP255" s="33"/>
    </row>
    <row r="256" spans="2:42" ht="25.5" customHeight="1"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L256" s="33"/>
      <c r="AM256" s="33"/>
      <c r="AN256" s="33"/>
      <c r="AO256" s="33"/>
      <c r="AP256" s="33"/>
    </row>
    <row r="257" spans="2:42" ht="25.5" customHeight="1"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L257" s="33"/>
      <c r="AM257" s="33"/>
      <c r="AN257" s="33"/>
      <c r="AO257" s="33"/>
      <c r="AP257" s="33"/>
    </row>
    <row r="258" spans="2:42" ht="25.5" customHeight="1"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L258" s="33"/>
      <c r="AM258" s="33"/>
      <c r="AN258" s="33"/>
      <c r="AO258" s="33"/>
      <c r="AP258" s="33"/>
    </row>
    <row r="259" spans="2:42" ht="25.5" customHeight="1"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L259" s="33"/>
      <c r="AM259" s="33"/>
      <c r="AN259" s="33"/>
      <c r="AO259" s="33"/>
      <c r="AP259" s="33"/>
    </row>
    <row r="260" spans="2:42" ht="25.5" customHeight="1"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L260" s="33"/>
      <c r="AM260" s="33"/>
      <c r="AN260" s="33"/>
      <c r="AO260" s="33"/>
      <c r="AP260" s="33"/>
    </row>
    <row r="261" spans="2:42" ht="25.5" customHeight="1"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L261" s="33"/>
      <c r="AM261" s="33"/>
      <c r="AN261" s="33"/>
      <c r="AO261" s="33"/>
      <c r="AP261" s="33"/>
    </row>
    <row r="262" spans="2:42" ht="25.5" customHeight="1"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L262" s="33"/>
      <c r="AM262" s="33"/>
      <c r="AN262" s="33"/>
      <c r="AO262" s="33"/>
      <c r="AP262" s="33"/>
    </row>
    <row r="263" spans="2:42" ht="25.5" customHeight="1"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L263" s="33"/>
      <c r="AM263" s="33"/>
      <c r="AN263" s="33"/>
      <c r="AO263" s="33"/>
      <c r="AP263" s="33"/>
    </row>
    <row r="264" spans="2:42" ht="25.5" customHeight="1"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L264" s="33"/>
      <c r="AM264" s="33"/>
      <c r="AN264" s="33"/>
      <c r="AO264" s="33"/>
      <c r="AP264" s="33"/>
    </row>
    <row r="265" spans="2:42" ht="25.5" customHeight="1"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L265" s="33"/>
      <c r="AM265" s="33"/>
      <c r="AN265" s="33"/>
      <c r="AO265" s="33"/>
      <c r="AP265" s="33"/>
    </row>
    <row r="266" spans="2:42" ht="25.5" customHeight="1"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L266" s="33"/>
      <c r="AM266" s="33"/>
      <c r="AN266" s="33"/>
      <c r="AO266" s="33"/>
      <c r="AP266" s="33"/>
    </row>
    <row r="267" spans="2:42" ht="25.5" customHeight="1"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L267" s="33"/>
      <c r="AM267" s="33"/>
      <c r="AN267" s="33"/>
      <c r="AO267" s="33"/>
      <c r="AP267" s="33"/>
    </row>
    <row r="268" spans="2:42" ht="25.5" customHeight="1"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L268" s="33"/>
      <c r="AM268" s="33"/>
      <c r="AN268" s="33"/>
      <c r="AO268" s="33"/>
      <c r="AP268" s="33"/>
    </row>
    <row r="269" spans="2:42" ht="25.5" customHeight="1"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L269" s="33"/>
      <c r="AM269" s="33"/>
      <c r="AN269" s="33"/>
      <c r="AO269" s="33"/>
      <c r="AP269" s="33"/>
    </row>
    <row r="270" spans="2:42" ht="25.5" customHeight="1"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L270" s="33"/>
      <c r="AM270" s="33"/>
      <c r="AN270" s="33"/>
      <c r="AO270" s="33"/>
      <c r="AP270" s="33"/>
    </row>
    <row r="271" spans="2:42" ht="25.5" customHeight="1"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L271" s="33"/>
      <c r="AM271" s="33"/>
      <c r="AN271" s="33"/>
      <c r="AO271" s="33"/>
      <c r="AP271" s="33"/>
    </row>
    <row r="272" spans="2:42" ht="25.5" customHeight="1"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L272" s="33"/>
      <c r="AM272" s="33"/>
      <c r="AN272" s="33"/>
      <c r="AO272" s="33"/>
      <c r="AP272" s="33"/>
    </row>
    <row r="273" spans="2:42" ht="25.5" customHeight="1"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L273" s="33"/>
      <c r="AM273" s="33"/>
      <c r="AN273" s="33"/>
      <c r="AO273" s="33"/>
      <c r="AP273" s="33"/>
    </row>
    <row r="274" spans="2:42" ht="25.5" customHeight="1"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L274" s="33"/>
      <c r="AM274" s="33"/>
      <c r="AN274" s="33"/>
      <c r="AO274" s="33"/>
      <c r="AP274" s="33"/>
    </row>
    <row r="275" spans="2:42" ht="25.5" customHeight="1"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L275" s="33"/>
      <c r="AM275" s="33"/>
      <c r="AN275" s="33"/>
      <c r="AO275" s="33"/>
      <c r="AP275" s="33"/>
    </row>
    <row r="276" spans="2:42" ht="25.5" customHeight="1"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L276" s="33"/>
      <c r="AM276" s="33"/>
      <c r="AN276" s="33"/>
      <c r="AO276" s="33"/>
      <c r="AP276" s="33"/>
    </row>
    <row r="277" spans="2:42" ht="25.5" customHeight="1"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L277" s="33"/>
      <c r="AM277" s="33"/>
      <c r="AN277" s="33"/>
      <c r="AO277" s="33"/>
      <c r="AP277" s="33"/>
    </row>
    <row r="278" spans="2:42" ht="25.5" customHeight="1"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L278" s="33"/>
      <c r="AM278" s="33"/>
      <c r="AN278" s="33"/>
      <c r="AO278" s="33"/>
      <c r="AP278" s="33"/>
    </row>
    <row r="279" spans="2:42" ht="25.5" customHeight="1"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L279" s="33"/>
      <c r="AM279" s="33"/>
      <c r="AN279" s="33"/>
      <c r="AO279" s="33"/>
      <c r="AP279" s="33"/>
    </row>
    <row r="280" spans="2:42" ht="25.5" customHeight="1"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L280" s="33"/>
      <c r="AM280" s="33"/>
      <c r="AN280" s="33"/>
      <c r="AO280" s="33"/>
      <c r="AP280" s="33"/>
    </row>
    <row r="281" spans="2:42" ht="25.5" customHeight="1"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L281" s="33"/>
      <c r="AM281" s="33"/>
      <c r="AN281" s="33"/>
      <c r="AO281" s="33"/>
      <c r="AP281" s="33"/>
    </row>
    <row r="282" spans="2:42" ht="25.5" customHeight="1"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L282" s="33"/>
      <c r="AM282" s="33"/>
      <c r="AN282" s="33"/>
      <c r="AO282" s="33"/>
      <c r="AP282" s="33"/>
    </row>
    <row r="283" spans="2:42" ht="25.5" customHeight="1"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L283" s="33"/>
      <c r="AM283" s="33"/>
      <c r="AN283" s="33"/>
      <c r="AO283" s="33"/>
      <c r="AP283" s="33"/>
    </row>
    <row r="284" spans="2:42" ht="25.5" customHeight="1"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L284" s="33"/>
      <c r="AM284" s="33"/>
      <c r="AN284" s="33"/>
      <c r="AO284" s="33"/>
      <c r="AP284" s="33"/>
    </row>
    <row r="285" spans="2:42" ht="25.5" customHeight="1"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L285" s="33"/>
      <c r="AM285" s="33"/>
      <c r="AN285" s="33"/>
      <c r="AO285" s="33"/>
      <c r="AP285" s="33"/>
    </row>
    <row r="286" spans="2:42" ht="25.5" customHeight="1"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L286" s="33"/>
      <c r="AM286" s="33"/>
      <c r="AN286" s="33"/>
      <c r="AO286" s="33"/>
      <c r="AP286" s="33"/>
    </row>
    <row r="287" spans="2:42" ht="25.5" customHeight="1"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L287" s="33"/>
      <c r="AM287" s="33"/>
      <c r="AN287" s="33"/>
      <c r="AO287" s="33"/>
      <c r="AP287" s="33"/>
    </row>
    <row r="288" spans="2:42" ht="25.5" customHeight="1"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L288" s="33"/>
      <c r="AM288" s="33"/>
      <c r="AN288" s="33"/>
      <c r="AO288" s="33"/>
      <c r="AP288" s="33"/>
    </row>
    <row r="289" spans="2:42" ht="25.5" customHeight="1"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L289" s="33"/>
      <c r="AM289" s="33"/>
      <c r="AN289" s="33"/>
      <c r="AO289" s="33"/>
      <c r="AP289" s="33"/>
    </row>
    <row r="290" spans="2:42" ht="25.5" customHeight="1"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L290" s="33"/>
      <c r="AM290" s="33"/>
      <c r="AN290" s="33"/>
      <c r="AO290" s="33"/>
      <c r="AP290" s="33"/>
    </row>
    <row r="291" spans="2:42" ht="25.5" customHeight="1"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L291" s="33"/>
      <c r="AM291" s="33"/>
      <c r="AN291" s="33"/>
      <c r="AO291" s="33"/>
      <c r="AP291" s="33"/>
    </row>
    <row r="292" spans="2:42" ht="25.5" customHeight="1"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L292" s="33"/>
      <c r="AM292" s="33"/>
      <c r="AN292" s="33"/>
      <c r="AO292" s="33"/>
      <c r="AP292" s="33"/>
    </row>
    <row r="293" spans="2:42" ht="25.5" customHeight="1"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L293" s="33"/>
      <c r="AM293" s="33"/>
      <c r="AN293" s="33"/>
      <c r="AO293" s="33"/>
      <c r="AP293" s="33"/>
    </row>
    <row r="294" spans="2:42" ht="25.5" customHeight="1"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L294" s="33"/>
      <c r="AM294" s="33"/>
      <c r="AN294" s="33"/>
      <c r="AO294" s="33"/>
      <c r="AP294" s="33"/>
    </row>
    <row r="295" spans="2:42" ht="25.5" customHeight="1"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L295" s="33"/>
      <c r="AM295" s="33"/>
      <c r="AN295" s="33"/>
      <c r="AO295" s="33"/>
      <c r="AP295" s="33"/>
    </row>
    <row r="296" spans="2:42" ht="25.5" customHeight="1"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L296" s="33"/>
      <c r="AM296" s="33"/>
      <c r="AN296" s="33"/>
      <c r="AO296" s="33"/>
      <c r="AP296" s="33"/>
    </row>
    <row r="297" spans="2:42" ht="25.5" customHeight="1"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L297" s="33"/>
      <c r="AM297" s="33"/>
      <c r="AN297" s="33"/>
      <c r="AO297" s="33"/>
      <c r="AP297" s="33"/>
    </row>
    <row r="298" spans="2:42" ht="25.5" customHeight="1"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L298" s="33"/>
      <c r="AM298" s="33"/>
      <c r="AN298" s="33"/>
      <c r="AO298" s="33"/>
      <c r="AP298" s="33"/>
    </row>
    <row r="299" spans="2:42" ht="25.5" customHeight="1"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L299" s="33"/>
      <c r="AM299" s="33"/>
      <c r="AN299" s="33"/>
      <c r="AO299" s="33"/>
      <c r="AP299" s="33"/>
    </row>
    <row r="300" spans="2:42" ht="25.5" customHeight="1"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L300" s="33"/>
      <c r="AM300" s="33"/>
      <c r="AN300" s="33"/>
      <c r="AO300" s="33"/>
      <c r="AP300" s="33"/>
    </row>
    <row r="301" spans="2:42" ht="25.5" customHeight="1"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L301" s="33"/>
      <c r="AM301" s="33"/>
      <c r="AN301" s="33"/>
      <c r="AO301" s="33"/>
      <c r="AP301" s="33"/>
    </row>
    <row r="302" spans="2:42" ht="25.5" customHeight="1"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L302" s="33"/>
      <c r="AM302" s="33"/>
      <c r="AN302" s="33"/>
      <c r="AO302" s="33"/>
      <c r="AP302" s="33"/>
    </row>
    <row r="303" spans="2:42" ht="25.5" customHeight="1"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L303" s="33"/>
      <c r="AM303" s="33"/>
      <c r="AN303" s="33"/>
      <c r="AO303" s="33"/>
      <c r="AP303" s="33"/>
    </row>
    <row r="304" spans="2:42" ht="25.5" customHeight="1"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L304" s="33"/>
      <c r="AM304" s="33"/>
      <c r="AN304" s="33"/>
      <c r="AO304" s="33"/>
      <c r="AP304" s="33"/>
    </row>
    <row r="305" spans="2:42" ht="25.5" customHeight="1"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L305" s="33"/>
      <c r="AM305" s="33"/>
      <c r="AN305" s="33"/>
      <c r="AO305" s="33"/>
      <c r="AP305" s="33"/>
    </row>
    <row r="306" spans="2:42" ht="25.5" customHeight="1"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L306" s="33"/>
      <c r="AM306" s="33"/>
      <c r="AN306" s="33"/>
      <c r="AO306" s="33"/>
      <c r="AP306" s="33"/>
    </row>
    <row r="307" spans="2:42" ht="25.5" customHeight="1"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L307" s="33"/>
      <c r="AM307" s="33"/>
      <c r="AN307" s="33"/>
      <c r="AO307" s="33"/>
      <c r="AP307" s="33"/>
    </row>
    <row r="308" spans="2:42" ht="25.5" customHeight="1"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L308" s="33"/>
      <c r="AM308" s="33"/>
      <c r="AN308" s="33"/>
      <c r="AO308" s="33"/>
      <c r="AP308" s="33"/>
    </row>
    <row r="309" spans="2:42" ht="25.5" customHeight="1"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L309" s="33"/>
      <c r="AM309" s="33"/>
      <c r="AN309" s="33"/>
      <c r="AO309" s="33"/>
      <c r="AP309" s="33"/>
    </row>
    <row r="310" spans="2:42" ht="25.5" customHeight="1"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L310" s="33"/>
      <c r="AM310" s="33"/>
      <c r="AN310" s="33"/>
      <c r="AO310" s="33"/>
      <c r="AP310" s="33"/>
    </row>
    <row r="311" spans="2:42" ht="25.5" customHeight="1"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L311" s="33"/>
      <c r="AM311" s="33"/>
      <c r="AN311" s="33"/>
      <c r="AO311" s="33"/>
      <c r="AP311" s="33"/>
    </row>
    <row r="312" spans="2:42" ht="25.5" customHeight="1"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L312" s="33"/>
      <c r="AM312" s="33"/>
      <c r="AN312" s="33"/>
      <c r="AO312" s="33"/>
      <c r="AP312" s="33"/>
    </row>
    <row r="313" spans="2:42" ht="25.5" customHeight="1"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L313" s="33"/>
      <c r="AM313" s="33"/>
      <c r="AN313" s="33"/>
      <c r="AO313" s="33"/>
      <c r="AP313" s="33"/>
    </row>
    <row r="314" spans="2:42" ht="25.5" customHeight="1"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L314" s="33"/>
      <c r="AM314" s="33"/>
      <c r="AN314" s="33"/>
      <c r="AO314" s="33"/>
      <c r="AP314" s="33"/>
    </row>
    <row r="315" spans="2:42" ht="25.5" customHeight="1"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L315" s="33"/>
      <c r="AM315" s="33"/>
      <c r="AN315" s="33"/>
      <c r="AO315" s="33"/>
      <c r="AP315" s="33"/>
    </row>
    <row r="316" spans="2:42" ht="25.5" customHeight="1"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L316" s="33"/>
      <c r="AM316" s="33"/>
      <c r="AN316" s="33"/>
      <c r="AO316" s="33"/>
      <c r="AP316" s="33"/>
    </row>
    <row r="317" spans="2:42" ht="25.5" customHeight="1"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L317" s="33"/>
      <c r="AM317" s="33"/>
      <c r="AN317" s="33"/>
      <c r="AO317" s="33"/>
      <c r="AP317" s="33"/>
    </row>
    <row r="318" spans="2:42" ht="25.5" customHeight="1"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L318" s="33"/>
      <c r="AM318" s="33"/>
      <c r="AN318" s="33"/>
      <c r="AO318" s="33"/>
      <c r="AP318" s="33"/>
    </row>
    <row r="319" spans="2:42" ht="25.5" customHeight="1"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L319" s="33"/>
      <c r="AM319" s="33"/>
      <c r="AN319" s="33"/>
      <c r="AO319" s="33"/>
      <c r="AP319" s="33"/>
    </row>
    <row r="320" spans="2:42" ht="25.5" customHeight="1"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L320" s="33"/>
      <c r="AM320" s="33"/>
      <c r="AN320" s="33"/>
      <c r="AO320" s="33"/>
      <c r="AP320" s="33"/>
    </row>
    <row r="321" spans="2:42" ht="25.5" customHeight="1"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L321" s="33"/>
      <c r="AM321" s="33"/>
      <c r="AN321" s="33"/>
      <c r="AO321" s="33"/>
      <c r="AP321" s="33"/>
    </row>
    <row r="322" spans="2:42" ht="25.5" customHeight="1"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L322" s="33"/>
      <c r="AM322" s="33"/>
      <c r="AN322" s="33"/>
      <c r="AO322" s="33"/>
      <c r="AP322" s="33"/>
    </row>
    <row r="323" spans="2:42" ht="25.5" customHeight="1"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L323" s="33"/>
      <c r="AM323" s="33"/>
      <c r="AN323" s="33"/>
      <c r="AO323" s="33"/>
      <c r="AP323" s="33"/>
    </row>
    <row r="324" spans="2:42" ht="25.5" customHeight="1"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L324" s="33"/>
      <c r="AM324" s="33"/>
      <c r="AN324" s="33"/>
      <c r="AO324" s="33"/>
      <c r="AP324" s="33"/>
    </row>
    <row r="325" spans="2:42" ht="25.5" customHeight="1"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L325" s="33"/>
      <c r="AM325" s="33"/>
      <c r="AN325" s="33"/>
      <c r="AO325" s="33"/>
      <c r="AP325" s="33"/>
    </row>
    <row r="326" spans="2:42" ht="25.5" customHeight="1"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L326" s="33"/>
      <c r="AM326" s="33"/>
      <c r="AN326" s="33"/>
      <c r="AO326" s="33"/>
      <c r="AP326" s="33"/>
    </row>
    <row r="327" spans="2:42" ht="25.5" customHeight="1"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L327" s="33"/>
      <c r="AM327" s="33"/>
      <c r="AN327" s="33"/>
      <c r="AO327" s="33"/>
      <c r="AP327" s="33"/>
    </row>
    <row r="328" spans="2:42" ht="25.5" customHeight="1"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L328" s="33"/>
      <c r="AM328" s="33"/>
      <c r="AN328" s="33"/>
      <c r="AO328" s="33"/>
      <c r="AP328" s="33"/>
    </row>
    <row r="329" spans="2:42" ht="25.5" customHeight="1"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L329" s="33"/>
      <c r="AM329" s="33"/>
      <c r="AN329" s="33"/>
      <c r="AO329" s="33"/>
      <c r="AP329" s="33"/>
    </row>
    <row r="330" spans="2:42" ht="25.5" customHeight="1"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L330" s="33"/>
      <c r="AM330" s="33"/>
      <c r="AN330" s="33"/>
      <c r="AO330" s="33"/>
      <c r="AP330" s="33"/>
    </row>
    <row r="331" spans="2:42" ht="25.5" customHeight="1"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L331" s="33"/>
      <c r="AM331" s="33"/>
      <c r="AN331" s="33"/>
      <c r="AO331" s="33"/>
      <c r="AP331" s="33"/>
    </row>
    <row r="332" spans="2:42" ht="25.5" customHeight="1"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L332" s="33"/>
      <c r="AM332" s="33"/>
      <c r="AN332" s="33"/>
      <c r="AO332" s="33"/>
      <c r="AP332" s="33"/>
    </row>
    <row r="333" spans="2:42" ht="25.5" customHeight="1"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L333" s="33"/>
      <c r="AM333" s="33"/>
      <c r="AN333" s="33"/>
      <c r="AO333" s="33"/>
      <c r="AP333" s="33"/>
    </row>
    <row r="334" spans="2:42" ht="25.5" customHeight="1"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L334" s="33"/>
      <c r="AM334" s="33"/>
      <c r="AN334" s="33"/>
      <c r="AO334" s="33"/>
      <c r="AP334" s="33"/>
    </row>
    <row r="335" spans="2:42" ht="25.5" customHeight="1"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L335" s="33"/>
      <c r="AM335" s="33"/>
      <c r="AN335" s="33"/>
      <c r="AO335" s="33"/>
      <c r="AP335" s="33"/>
    </row>
    <row r="336" spans="2:42" ht="25.5" customHeight="1"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L336" s="33"/>
      <c r="AM336" s="33"/>
      <c r="AN336" s="33"/>
      <c r="AO336" s="33"/>
      <c r="AP336" s="33"/>
    </row>
    <row r="337" spans="2:42" ht="25.5" customHeight="1"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L337" s="33"/>
      <c r="AM337" s="33"/>
      <c r="AN337" s="33"/>
      <c r="AO337" s="33"/>
      <c r="AP337" s="33"/>
    </row>
    <row r="338" spans="2:42" ht="25.5" customHeight="1"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L338" s="33"/>
      <c r="AM338" s="33"/>
      <c r="AN338" s="33"/>
      <c r="AO338" s="33"/>
      <c r="AP338" s="33"/>
    </row>
    <row r="339" spans="2:42" ht="25.5" customHeight="1"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L339" s="33"/>
      <c r="AM339" s="33"/>
      <c r="AN339" s="33"/>
      <c r="AO339" s="33"/>
      <c r="AP339" s="33"/>
    </row>
    <row r="340" spans="2:42" ht="25.5" customHeight="1"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L340" s="33"/>
      <c r="AM340" s="33"/>
      <c r="AN340" s="33"/>
      <c r="AO340" s="33"/>
      <c r="AP340" s="33"/>
    </row>
    <row r="341" spans="2:42" ht="25.5" customHeight="1"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L341" s="33"/>
      <c r="AM341" s="33"/>
      <c r="AN341" s="33"/>
      <c r="AO341" s="33"/>
      <c r="AP341" s="33"/>
    </row>
    <row r="342" spans="2:42" ht="25.5" customHeight="1"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L342" s="33"/>
      <c r="AM342" s="33"/>
      <c r="AN342" s="33"/>
      <c r="AO342" s="33"/>
      <c r="AP342" s="33"/>
    </row>
    <row r="343" spans="2:42" ht="25.5" customHeight="1"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L343" s="33"/>
      <c r="AM343" s="33"/>
      <c r="AN343" s="33"/>
      <c r="AO343" s="33"/>
      <c r="AP343" s="33"/>
    </row>
    <row r="344" spans="2:42" ht="25.5" customHeight="1"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L344" s="33"/>
      <c r="AM344" s="33"/>
      <c r="AN344" s="33"/>
      <c r="AO344" s="33"/>
      <c r="AP344" s="33"/>
    </row>
    <row r="345" spans="2:42" ht="25.5" customHeight="1"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L345" s="33"/>
      <c r="AM345" s="33"/>
      <c r="AN345" s="33"/>
      <c r="AO345" s="33"/>
      <c r="AP345" s="33"/>
    </row>
    <row r="346" spans="2:42" ht="25.5" customHeight="1"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L346" s="33"/>
      <c r="AM346" s="33"/>
      <c r="AN346" s="33"/>
      <c r="AO346" s="33"/>
      <c r="AP346" s="33"/>
    </row>
    <row r="347" spans="2:42" ht="25.5" customHeight="1"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L347" s="33"/>
      <c r="AM347" s="33"/>
      <c r="AN347" s="33"/>
      <c r="AO347" s="33"/>
      <c r="AP347" s="33"/>
    </row>
    <row r="348" spans="2:42" ht="25.5" customHeight="1"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L348" s="33"/>
      <c r="AM348" s="33"/>
      <c r="AN348" s="33"/>
      <c r="AO348" s="33"/>
      <c r="AP348" s="33"/>
    </row>
    <row r="349" spans="2:42" ht="25.5" customHeight="1"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L349" s="33"/>
      <c r="AM349" s="33"/>
      <c r="AN349" s="33"/>
      <c r="AO349" s="33"/>
      <c r="AP349" s="33"/>
    </row>
    <row r="350" spans="2:42" ht="25.5" customHeight="1"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L350" s="33"/>
      <c r="AM350" s="33"/>
      <c r="AN350" s="33"/>
      <c r="AO350" s="33"/>
      <c r="AP350" s="33"/>
    </row>
    <row r="351" spans="2:42" ht="25.5" customHeight="1"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L351" s="33"/>
      <c r="AM351" s="33"/>
      <c r="AN351" s="33"/>
      <c r="AO351" s="33"/>
      <c r="AP351" s="33"/>
    </row>
    <row r="352" spans="2:42" ht="25.5" customHeight="1"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L352" s="33"/>
      <c r="AM352" s="33"/>
      <c r="AN352" s="33"/>
      <c r="AO352" s="33"/>
      <c r="AP352" s="33"/>
    </row>
    <row r="353" spans="2:42" ht="25.5" customHeight="1"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L353" s="33"/>
      <c r="AM353" s="33"/>
      <c r="AN353" s="33"/>
      <c r="AO353" s="33"/>
      <c r="AP353" s="33"/>
    </row>
    <row r="354" spans="2:42" ht="25.5" customHeight="1"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L354" s="33"/>
      <c r="AM354" s="33"/>
      <c r="AN354" s="33"/>
      <c r="AO354" s="33"/>
      <c r="AP354" s="33"/>
    </row>
    <row r="355" spans="2:42" ht="25.5" customHeight="1"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L355" s="33"/>
      <c r="AM355" s="33"/>
      <c r="AN355" s="33"/>
      <c r="AO355" s="33"/>
      <c r="AP355" s="33"/>
    </row>
    <row r="356" spans="2:42" ht="25.5" customHeight="1"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L356" s="33"/>
      <c r="AM356" s="33"/>
      <c r="AN356" s="33"/>
      <c r="AO356" s="33"/>
      <c r="AP356" s="33"/>
    </row>
    <row r="357" spans="2:42" ht="25.5" customHeight="1"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L357" s="33"/>
      <c r="AM357" s="33"/>
      <c r="AN357" s="33"/>
      <c r="AO357" s="33"/>
      <c r="AP357" s="33"/>
    </row>
    <row r="358" spans="2:42" ht="25.5" customHeight="1"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L358" s="33"/>
      <c r="AM358" s="33"/>
      <c r="AN358" s="33"/>
      <c r="AO358" s="33"/>
      <c r="AP358" s="33"/>
    </row>
    <row r="359" spans="2:42" ht="25.5" customHeight="1"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L359" s="33"/>
      <c r="AM359" s="33"/>
      <c r="AN359" s="33"/>
      <c r="AO359" s="33"/>
      <c r="AP359" s="33"/>
    </row>
    <row r="360" spans="2:42" ht="25.5" customHeight="1"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L360" s="33"/>
      <c r="AM360" s="33"/>
      <c r="AN360" s="33"/>
      <c r="AO360" s="33"/>
      <c r="AP360" s="33"/>
    </row>
    <row r="361" spans="2:42" ht="25.5" customHeight="1"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L361" s="33"/>
      <c r="AM361" s="33"/>
      <c r="AN361" s="33"/>
      <c r="AO361" s="33"/>
      <c r="AP361" s="33"/>
    </row>
    <row r="362" spans="2:42" ht="25.5" customHeight="1"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L362" s="33"/>
      <c r="AM362" s="33"/>
      <c r="AN362" s="33"/>
      <c r="AO362" s="33"/>
      <c r="AP362" s="33"/>
    </row>
    <row r="363" spans="2:42" ht="25.5" customHeight="1"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L363" s="33"/>
      <c r="AM363" s="33"/>
      <c r="AN363" s="33"/>
      <c r="AO363" s="33"/>
      <c r="AP363" s="33"/>
    </row>
    <row r="364" spans="2:42" ht="25.5" customHeight="1"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L364" s="33"/>
      <c r="AM364" s="33"/>
      <c r="AN364" s="33"/>
      <c r="AO364" s="33"/>
      <c r="AP364" s="33"/>
    </row>
    <row r="365" spans="2:42" ht="25.5" customHeight="1"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L365" s="33"/>
      <c r="AM365" s="33"/>
      <c r="AN365" s="33"/>
      <c r="AO365" s="33"/>
      <c r="AP365" s="33"/>
    </row>
    <row r="366" spans="2:42" ht="25.5" customHeight="1"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L366" s="33"/>
      <c r="AM366" s="33"/>
      <c r="AN366" s="33"/>
      <c r="AO366" s="33"/>
      <c r="AP366" s="33"/>
    </row>
    <row r="367" spans="2:42" ht="25.5" customHeight="1"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L367" s="33"/>
      <c r="AM367" s="33"/>
      <c r="AN367" s="33"/>
      <c r="AO367" s="33"/>
      <c r="AP367" s="33"/>
    </row>
    <row r="368" spans="2:42" ht="25.5" customHeight="1"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L368" s="33"/>
      <c r="AM368" s="33"/>
      <c r="AN368" s="33"/>
      <c r="AO368" s="33"/>
      <c r="AP368" s="33"/>
    </row>
    <row r="369" spans="2:42" ht="25.5" customHeight="1"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L369" s="33"/>
      <c r="AM369" s="33"/>
      <c r="AN369" s="33"/>
      <c r="AO369" s="33"/>
      <c r="AP369" s="33"/>
    </row>
    <row r="370" spans="2:42" ht="25.5" customHeight="1"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L370" s="33"/>
      <c r="AM370" s="33"/>
      <c r="AN370" s="33"/>
      <c r="AO370" s="33"/>
      <c r="AP370" s="33"/>
    </row>
    <row r="371" spans="2:42" ht="25.5" customHeight="1"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L371" s="33"/>
      <c r="AM371" s="33"/>
      <c r="AN371" s="33"/>
      <c r="AO371" s="33"/>
      <c r="AP371" s="33"/>
    </row>
    <row r="372" spans="2:42" ht="25.5" customHeight="1"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L372" s="33"/>
      <c r="AM372" s="33"/>
      <c r="AN372" s="33"/>
      <c r="AO372" s="33"/>
      <c r="AP372" s="33"/>
    </row>
    <row r="373" spans="2:42" ht="25.5" customHeight="1"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L373" s="33"/>
      <c r="AM373" s="33"/>
      <c r="AN373" s="33"/>
      <c r="AO373" s="33"/>
      <c r="AP373" s="33"/>
    </row>
    <row r="374" spans="2:42" ht="25.5" customHeight="1"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L374" s="33"/>
      <c r="AM374" s="33"/>
      <c r="AN374" s="33"/>
      <c r="AO374" s="33"/>
      <c r="AP374" s="33"/>
    </row>
    <row r="375" spans="2:42" ht="25.5" customHeight="1"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L375" s="33"/>
      <c r="AM375" s="33"/>
      <c r="AN375" s="33"/>
      <c r="AO375" s="33"/>
      <c r="AP375" s="33"/>
    </row>
    <row r="376" spans="2:42" ht="25.5" customHeight="1"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L376" s="33"/>
      <c r="AM376" s="33"/>
      <c r="AN376" s="33"/>
      <c r="AO376" s="33"/>
      <c r="AP376" s="33"/>
    </row>
    <row r="377" spans="2:42" ht="25.5" customHeight="1"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L377" s="33"/>
      <c r="AM377" s="33"/>
      <c r="AN377" s="33"/>
      <c r="AO377" s="33"/>
      <c r="AP377" s="33"/>
    </row>
    <row r="378" spans="2:42" ht="25.5" customHeight="1"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L378" s="33"/>
      <c r="AM378" s="33"/>
      <c r="AN378" s="33"/>
      <c r="AO378" s="33"/>
      <c r="AP378" s="33"/>
    </row>
    <row r="379" spans="2:42" ht="25.5" customHeight="1"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L379" s="33"/>
      <c r="AM379" s="33"/>
      <c r="AN379" s="33"/>
      <c r="AO379" s="33"/>
      <c r="AP379" s="33"/>
    </row>
    <row r="380" spans="2:42" ht="25.5" customHeight="1"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L380" s="33"/>
      <c r="AM380" s="33"/>
      <c r="AN380" s="33"/>
      <c r="AO380" s="33"/>
      <c r="AP380" s="33"/>
    </row>
    <row r="381" spans="2:42" ht="25.5" customHeight="1"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L381" s="33"/>
      <c r="AM381" s="33"/>
      <c r="AN381" s="33"/>
      <c r="AO381" s="33"/>
      <c r="AP381" s="33"/>
    </row>
    <row r="382" spans="2:42" ht="25.5" customHeight="1"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L382" s="33"/>
      <c r="AM382" s="33"/>
      <c r="AN382" s="33"/>
      <c r="AO382" s="33"/>
      <c r="AP382" s="33"/>
    </row>
    <row r="383" spans="2:42" ht="25.5" customHeight="1"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L383" s="33"/>
      <c r="AM383" s="33"/>
      <c r="AN383" s="33"/>
      <c r="AO383" s="33"/>
      <c r="AP383" s="33"/>
    </row>
    <row r="384" spans="2:42" ht="25.5" customHeight="1"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L384" s="33"/>
      <c r="AM384" s="33"/>
      <c r="AN384" s="33"/>
      <c r="AO384" s="33"/>
      <c r="AP384" s="33"/>
    </row>
    <row r="385" spans="2:42" ht="25.5" customHeight="1"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L385" s="33"/>
      <c r="AM385" s="33"/>
      <c r="AN385" s="33"/>
      <c r="AO385" s="33"/>
      <c r="AP385" s="33"/>
    </row>
    <row r="386" spans="2:42" ht="25.5" customHeight="1"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L386" s="33"/>
      <c r="AM386" s="33"/>
      <c r="AN386" s="33"/>
      <c r="AO386" s="33"/>
      <c r="AP386" s="33"/>
    </row>
    <row r="387" spans="2:42" ht="25.5" customHeight="1"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L387" s="33"/>
      <c r="AM387" s="33"/>
      <c r="AN387" s="33"/>
      <c r="AO387" s="33"/>
      <c r="AP387" s="33"/>
    </row>
    <row r="388" spans="2:42" ht="25.5" customHeight="1"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L388" s="33"/>
      <c r="AM388" s="33"/>
      <c r="AN388" s="33"/>
      <c r="AO388" s="33"/>
      <c r="AP388" s="33"/>
    </row>
    <row r="389" spans="2:42" ht="25.5" customHeight="1"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L389" s="33"/>
      <c r="AM389" s="33"/>
      <c r="AN389" s="33"/>
      <c r="AO389" s="33"/>
      <c r="AP389" s="33"/>
    </row>
    <row r="390" spans="2:42" ht="25.5" customHeight="1"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L390" s="33"/>
      <c r="AM390" s="33"/>
      <c r="AN390" s="33"/>
      <c r="AO390" s="33"/>
      <c r="AP390" s="33"/>
    </row>
    <row r="391" spans="2:42" ht="25.5" customHeight="1"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L391" s="33"/>
      <c r="AM391" s="33"/>
      <c r="AN391" s="33"/>
      <c r="AO391" s="33"/>
      <c r="AP391" s="33"/>
    </row>
    <row r="392" spans="2:42" ht="25.5" customHeight="1"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L392" s="33"/>
      <c r="AM392" s="33"/>
      <c r="AN392" s="33"/>
      <c r="AO392" s="33"/>
      <c r="AP392" s="33"/>
    </row>
    <row r="393" spans="2:42" ht="25.5" customHeight="1"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L393" s="33"/>
      <c r="AM393" s="33"/>
      <c r="AN393" s="33"/>
      <c r="AO393" s="33"/>
      <c r="AP393" s="33"/>
    </row>
    <row r="394" spans="2:42" ht="25.5" customHeight="1"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L394" s="33"/>
      <c r="AM394" s="33"/>
      <c r="AN394" s="33"/>
      <c r="AO394" s="33"/>
      <c r="AP394" s="33"/>
    </row>
    <row r="395" spans="2:42" ht="25.5" customHeight="1"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L395" s="33"/>
      <c r="AM395" s="33"/>
      <c r="AN395" s="33"/>
      <c r="AO395" s="33"/>
      <c r="AP395" s="33"/>
    </row>
    <row r="396" spans="2:42" ht="25.5" customHeight="1"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L396" s="33"/>
      <c r="AM396" s="33"/>
      <c r="AN396" s="33"/>
      <c r="AO396" s="33"/>
      <c r="AP396" s="33"/>
    </row>
    <row r="397" spans="2:42" ht="25.5" customHeight="1"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L397" s="33"/>
      <c r="AM397" s="33"/>
      <c r="AN397" s="33"/>
      <c r="AO397" s="33"/>
      <c r="AP397" s="33"/>
    </row>
    <row r="398" spans="2:42" ht="25.5" customHeight="1"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L398" s="33"/>
      <c r="AM398" s="33"/>
      <c r="AN398" s="33"/>
      <c r="AO398" s="33"/>
      <c r="AP398" s="33"/>
    </row>
    <row r="399" spans="2:42" ht="25.5" customHeight="1"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L399" s="33"/>
      <c r="AM399" s="33"/>
      <c r="AN399" s="33"/>
      <c r="AO399" s="33"/>
      <c r="AP399" s="33"/>
    </row>
    <row r="400" spans="2:42" ht="25.5" customHeight="1"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L400" s="33"/>
      <c r="AM400" s="33"/>
      <c r="AN400" s="33"/>
      <c r="AO400" s="33"/>
      <c r="AP400" s="33"/>
    </row>
    <row r="401" spans="2:42" ht="25.5" customHeight="1"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L401" s="33"/>
      <c r="AM401" s="33"/>
      <c r="AN401" s="33"/>
      <c r="AO401" s="33"/>
      <c r="AP401" s="33"/>
    </row>
    <row r="402" spans="2:42" ht="25.5" customHeight="1"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L402" s="33"/>
      <c r="AM402" s="33"/>
      <c r="AN402" s="33"/>
      <c r="AO402" s="33"/>
      <c r="AP402" s="33"/>
    </row>
    <row r="403" spans="2:42" ht="25.5" customHeight="1"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L403" s="33"/>
      <c r="AM403" s="33"/>
      <c r="AN403" s="33"/>
      <c r="AO403" s="33"/>
      <c r="AP403" s="33"/>
    </row>
    <row r="404" spans="2:42" ht="25.5" customHeight="1"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L404" s="33"/>
      <c r="AM404" s="33"/>
      <c r="AN404" s="33"/>
      <c r="AO404" s="33"/>
      <c r="AP404" s="33"/>
    </row>
    <row r="405" spans="2:42" ht="25.5" customHeight="1"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L405" s="33"/>
      <c r="AM405" s="33"/>
      <c r="AN405" s="33"/>
      <c r="AO405" s="33"/>
      <c r="AP405" s="33"/>
    </row>
    <row r="406" spans="2:42" ht="25.5" customHeight="1"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L406" s="33"/>
      <c r="AM406" s="33"/>
      <c r="AN406" s="33"/>
      <c r="AO406" s="33"/>
      <c r="AP406" s="33"/>
    </row>
    <row r="407" spans="2:42" ht="25.5" customHeight="1"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L407" s="33"/>
      <c r="AM407" s="33"/>
      <c r="AN407" s="33"/>
      <c r="AO407" s="33"/>
      <c r="AP407" s="33"/>
    </row>
    <row r="408" spans="2:42" ht="25.5" customHeight="1"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L408" s="33"/>
      <c r="AM408" s="33"/>
      <c r="AN408" s="33"/>
      <c r="AO408" s="33"/>
      <c r="AP408" s="33"/>
    </row>
    <row r="409" spans="2:42" ht="25.5" customHeight="1"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L409" s="33"/>
      <c r="AM409" s="33"/>
      <c r="AN409" s="33"/>
      <c r="AO409" s="33"/>
      <c r="AP409" s="33"/>
    </row>
    <row r="410" spans="2:42" ht="25.5" customHeight="1"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L410" s="33"/>
      <c r="AM410" s="33"/>
      <c r="AN410" s="33"/>
      <c r="AO410" s="33"/>
      <c r="AP410" s="33"/>
    </row>
    <row r="411" spans="2:42" ht="25.5" customHeight="1"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L411" s="33"/>
      <c r="AM411" s="33"/>
      <c r="AN411" s="33"/>
      <c r="AO411" s="33"/>
      <c r="AP411" s="33"/>
    </row>
    <row r="412" spans="2:42" ht="25.5" customHeight="1"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L412" s="33"/>
      <c r="AM412" s="33"/>
      <c r="AN412" s="33"/>
      <c r="AO412" s="33"/>
      <c r="AP412" s="33"/>
    </row>
    <row r="413" spans="2:42" ht="25.5" customHeight="1"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L413" s="33"/>
      <c r="AM413" s="33"/>
      <c r="AN413" s="33"/>
      <c r="AO413" s="33"/>
      <c r="AP413" s="33"/>
    </row>
    <row r="414" spans="2:42" ht="25.5" customHeight="1"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L414" s="33"/>
      <c r="AM414" s="33"/>
      <c r="AN414" s="33"/>
      <c r="AO414" s="33"/>
      <c r="AP414" s="33"/>
    </row>
    <row r="415" spans="2:42" ht="25.5" customHeight="1"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L415" s="33"/>
      <c r="AM415" s="33"/>
      <c r="AN415" s="33"/>
      <c r="AO415" s="33"/>
      <c r="AP415" s="33"/>
    </row>
    <row r="416" spans="2:42" ht="25.5" customHeight="1"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L416" s="33"/>
      <c r="AM416" s="33"/>
      <c r="AN416" s="33"/>
      <c r="AO416" s="33"/>
      <c r="AP416" s="33"/>
    </row>
    <row r="417" spans="2:42" ht="25.5" customHeight="1"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L417" s="33"/>
      <c r="AM417" s="33"/>
      <c r="AN417" s="33"/>
      <c r="AO417" s="33"/>
      <c r="AP417" s="33"/>
    </row>
    <row r="418" spans="2:42" ht="25.5" customHeight="1"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L418" s="33"/>
      <c r="AM418" s="33"/>
      <c r="AN418" s="33"/>
      <c r="AO418" s="33"/>
      <c r="AP418" s="33"/>
    </row>
    <row r="419" spans="2:42" ht="25.5" customHeight="1"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L419" s="33"/>
      <c r="AM419" s="33"/>
      <c r="AN419" s="33"/>
      <c r="AO419" s="33"/>
      <c r="AP419" s="33"/>
    </row>
    <row r="420" spans="2:42" ht="25.5" customHeight="1"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L420" s="33"/>
      <c r="AM420" s="33"/>
      <c r="AN420" s="33"/>
      <c r="AO420" s="33"/>
      <c r="AP420" s="33"/>
    </row>
    <row r="421" spans="2:42" ht="25.5" customHeight="1"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L421" s="33"/>
      <c r="AM421" s="33"/>
      <c r="AN421" s="33"/>
      <c r="AO421" s="33"/>
      <c r="AP421" s="33"/>
    </row>
    <row r="422" spans="2:42" ht="25.5" customHeight="1"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L422" s="33"/>
      <c r="AM422" s="33"/>
      <c r="AN422" s="33"/>
      <c r="AO422" s="33"/>
      <c r="AP422" s="33"/>
    </row>
    <row r="423" spans="2:42" ht="25.5" customHeight="1"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L423" s="33"/>
      <c r="AM423" s="33"/>
      <c r="AN423" s="33"/>
      <c r="AO423" s="33"/>
      <c r="AP423" s="33"/>
    </row>
    <row r="424" spans="2:42" ht="25.5" customHeight="1"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L424" s="33"/>
      <c r="AM424" s="33"/>
      <c r="AN424" s="33"/>
      <c r="AO424" s="33"/>
      <c r="AP424" s="33"/>
    </row>
    <row r="425" spans="2:42" ht="25.5" customHeight="1"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L425" s="33"/>
      <c r="AM425" s="33"/>
      <c r="AN425" s="33"/>
      <c r="AO425" s="33"/>
      <c r="AP425" s="33"/>
    </row>
    <row r="426" spans="2:42" ht="25.5" customHeight="1"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L426" s="33"/>
      <c r="AM426" s="33"/>
      <c r="AN426" s="33"/>
      <c r="AO426" s="33"/>
      <c r="AP426" s="33"/>
    </row>
    <row r="427" spans="2:42" ht="25.5" customHeight="1"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L427" s="33"/>
      <c r="AM427" s="33"/>
      <c r="AN427" s="33"/>
      <c r="AO427" s="33"/>
      <c r="AP427" s="33"/>
    </row>
    <row r="428" spans="2:42" ht="25.5" customHeight="1"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L428" s="33"/>
      <c r="AM428" s="33"/>
      <c r="AN428" s="33"/>
      <c r="AO428" s="33"/>
      <c r="AP428" s="33"/>
    </row>
    <row r="429" spans="2:42" ht="25.5" customHeight="1"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L429" s="33"/>
      <c r="AM429" s="33"/>
      <c r="AN429" s="33"/>
      <c r="AO429" s="33"/>
      <c r="AP429" s="33"/>
    </row>
    <row r="430" spans="2:42" ht="25.5" customHeight="1"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L430" s="33"/>
      <c r="AM430" s="33"/>
      <c r="AN430" s="33"/>
      <c r="AO430" s="33"/>
      <c r="AP430" s="33"/>
    </row>
    <row r="431" spans="2:42" ht="25.5" customHeight="1"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L431" s="33"/>
      <c r="AM431" s="33"/>
      <c r="AN431" s="33"/>
      <c r="AO431" s="33"/>
      <c r="AP431" s="33"/>
    </row>
    <row r="432" spans="2:42" ht="25.5" customHeight="1"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L432" s="33"/>
      <c r="AM432" s="33"/>
      <c r="AN432" s="33"/>
      <c r="AO432" s="33"/>
      <c r="AP432" s="33"/>
    </row>
    <row r="433" spans="2:42" ht="25.5" customHeight="1"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L433" s="33"/>
      <c r="AM433" s="33"/>
      <c r="AN433" s="33"/>
      <c r="AO433" s="33"/>
      <c r="AP433" s="33"/>
    </row>
    <row r="434" spans="2:42" ht="25.5" customHeight="1"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L434" s="33"/>
      <c r="AM434" s="33"/>
      <c r="AN434" s="33"/>
      <c r="AO434" s="33"/>
      <c r="AP434" s="33"/>
    </row>
    <row r="435" spans="2:42" ht="25.5" customHeight="1"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L435" s="33"/>
      <c r="AM435" s="33"/>
      <c r="AN435" s="33"/>
      <c r="AO435" s="33"/>
      <c r="AP435" s="33"/>
    </row>
    <row r="436" spans="2:42" ht="25.5" customHeight="1"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L436" s="33"/>
      <c r="AM436" s="33"/>
      <c r="AN436" s="33"/>
      <c r="AO436" s="33"/>
      <c r="AP436" s="33"/>
    </row>
    <row r="437" spans="2:42" ht="25.5" customHeight="1"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L437" s="33"/>
      <c r="AM437" s="33"/>
      <c r="AN437" s="33"/>
      <c r="AO437" s="33"/>
      <c r="AP437" s="33"/>
    </row>
    <row r="438" spans="2:42" ht="25.5" customHeight="1"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L438" s="33"/>
      <c r="AM438" s="33"/>
      <c r="AN438" s="33"/>
      <c r="AO438" s="33"/>
      <c r="AP438" s="33"/>
    </row>
    <row r="439" spans="2:42" ht="25.5" customHeight="1"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L439" s="33"/>
      <c r="AM439" s="33"/>
      <c r="AN439" s="33"/>
      <c r="AO439" s="33"/>
      <c r="AP439" s="33"/>
    </row>
    <row r="440" spans="2:42" ht="25.5" customHeight="1"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L440" s="33"/>
      <c r="AM440" s="33"/>
      <c r="AN440" s="33"/>
      <c r="AO440" s="33"/>
      <c r="AP440" s="33"/>
    </row>
    <row r="441" spans="2:42" ht="25.5" customHeight="1"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L441" s="33"/>
      <c r="AM441" s="33"/>
      <c r="AN441" s="33"/>
      <c r="AO441" s="33"/>
      <c r="AP441" s="33"/>
    </row>
    <row r="442" spans="2:42" ht="25.5" customHeight="1"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L442" s="33"/>
      <c r="AM442" s="33"/>
      <c r="AN442" s="33"/>
      <c r="AO442" s="33"/>
      <c r="AP442" s="33"/>
    </row>
    <row r="443" spans="2:42" ht="25.5" customHeight="1"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L443" s="33"/>
      <c r="AM443" s="33"/>
      <c r="AN443" s="33"/>
      <c r="AO443" s="33"/>
      <c r="AP443" s="33"/>
    </row>
    <row r="444" spans="2:42" ht="25.5" customHeight="1"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L444" s="33"/>
      <c r="AM444" s="33"/>
      <c r="AN444" s="33"/>
      <c r="AO444" s="33"/>
      <c r="AP444" s="33"/>
    </row>
    <row r="445" spans="2:42" ht="25.5" customHeight="1"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L445" s="33"/>
      <c r="AM445" s="33"/>
      <c r="AN445" s="33"/>
      <c r="AO445" s="33"/>
      <c r="AP445" s="33"/>
    </row>
    <row r="446" spans="2:42" ht="25.5" customHeight="1"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L446" s="33"/>
      <c r="AM446" s="33"/>
      <c r="AN446" s="33"/>
      <c r="AO446" s="33"/>
      <c r="AP446" s="33"/>
    </row>
    <row r="447" spans="2:42" ht="25.5" customHeight="1"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L447" s="33"/>
      <c r="AM447" s="33"/>
      <c r="AN447" s="33"/>
      <c r="AO447" s="33"/>
      <c r="AP447" s="33"/>
    </row>
    <row r="448" spans="2:42" ht="25.5" customHeight="1"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L448" s="33"/>
      <c r="AM448" s="33"/>
      <c r="AN448" s="33"/>
      <c r="AO448" s="33"/>
      <c r="AP448" s="33"/>
    </row>
    <row r="449" spans="2:42" ht="25.5" customHeight="1"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L449" s="33"/>
      <c r="AM449" s="33"/>
      <c r="AN449" s="33"/>
      <c r="AO449" s="33"/>
      <c r="AP449" s="33"/>
    </row>
    <row r="450" spans="2:42" ht="25.5" customHeight="1"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L450" s="33"/>
      <c r="AM450" s="33"/>
      <c r="AN450" s="33"/>
      <c r="AO450" s="33"/>
      <c r="AP450" s="33"/>
    </row>
    <row r="451" spans="2:42" ht="25.5" customHeight="1"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L451" s="33"/>
      <c r="AM451" s="33"/>
      <c r="AN451" s="33"/>
      <c r="AO451" s="33"/>
      <c r="AP451" s="33"/>
    </row>
    <row r="452" spans="2:42" ht="25.5" customHeight="1"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L452" s="33"/>
      <c r="AM452" s="33"/>
      <c r="AN452" s="33"/>
      <c r="AO452" s="33"/>
      <c r="AP452" s="33"/>
    </row>
    <row r="453" spans="2:42" ht="25.5" customHeight="1"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L453" s="33"/>
      <c r="AM453" s="33"/>
      <c r="AN453" s="33"/>
      <c r="AO453" s="33"/>
      <c r="AP453" s="33"/>
    </row>
    <row r="454" spans="2:42" ht="25.5" customHeight="1"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L454" s="33"/>
      <c r="AM454" s="33"/>
      <c r="AN454" s="33"/>
      <c r="AO454" s="33"/>
      <c r="AP454" s="33"/>
    </row>
    <row r="455" spans="2:42" ht="25.5" customHeight="1"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L455" s="33"/>
      <c r="AM455" s="33"/>
      <c r="AN455" s="33"/>
      <c r="AO455" s="33"/>
      <c r="AP455" s="33"/>
    </row>
    <row r="456" spans="2:42" ht="25.5" customHeight="1"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L456" s="33"/>
      <c r="AM456" s="33"/>
      <c r="AN456" s="33"/>
      <c r="AO456" s="33"/>
      <c r="AP456" s="33"/>
    </row>
    <row r="457" spans="2:42" ht="25.5" customHeight="1"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L457" s="33"/>
      <c r="AM457" s="33"/>
      <c r="AN457" s="33"/>
      <c r="AO457" s="33"/>
      <c r="AP457" s="33"/>
    </row>
    <row r="458" spans="2:42" ht="25.5" customHeight="1"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L458" s="33"/>
      <c r="AM458" s="33"/>
      <c r="AN458" s="33"/>
      <c r="AO458" s="33"/>
      <c r="AP458" s="33"/>
    </row>
    <row r="459" spans="2:42" ht="25.5" customHeight="1"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L459" s="33"/>
      <c r="AM459" s="33"/>
      <c r="AN459" s="33"/>
      <c r="AO459" s="33"/>
      <c r="AP459" s="33"/>
    </row>
    <row r="460" spans="2:42" ht="25.5" customHeight="1"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L460" s="33"/>
      <c r="AM460" s="33"/>
      <c r="AN460" s="33"/>
      <c r="AO460" s="33"/>
      <c r="AP460" s="33"/>
    </row>
    <row r="461" spans="2:42" ht="25.5" customHeight="1"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L461" s="33"/>
      <c r="AM461" s="33"/>
      <c r="AN461" s="33"/>
      <c r="AO461" s="33"/>
      <c r="AP461" s="33"/>
    </row>
    <row r="462" spans="2:42" ht="25.5" customHeight="1"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L462" s="33"/>
      <c r="AM462" s="33"/>
      <c r="AN462" s="33"/>
      <c r="AO462" s="33"/>
      <c r="AP462" s="33"/>
    </row>
    <row r="463" spans="2:42" ht="25.5" customHeight="1"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L463" s="33"/>
      <c r="AM463" s="33"/>
      <c r="AN463" s="33"/>
      <c r="AO463" s="33"/>
      <c r="AP463" s="33"/>
    </row>
    <row r="464" spans="2:42" ht="25.5" customHeight="1"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L464" s="33"/>
      <c r="AM464" s="33"/>
      <c r="AN464" s="33"/>
      <c r="AO464" s="33"/>
      <c r="AP464" s="33"/>
    </row>
    <row r="465" spans="2:42" ht="25.5" customHeight="1"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L465" s="33"/>
      <c r="AM465" s="33"/>
      <c r="AN465" s="33"/>
      <c r="AO465" s="33"/>
      <c r="AP465" s="33"/>
    </row>
    <row r="466" spans="2:42" ht="25.5" customHeight="1"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L466" s="33"/>
      <c r="AM466" s="33"/>
      <c r="AN466" s="33"/>
      <c r="AO466" s="33"/>
      <c r="AP466" s="33"/>
    </row>
    <row r="467" spans="2:42" ht="25.5" customHeight="1"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L467" s="33"/>
      <c r="AM467" s="33"/>
      <c r="AN467" s="33"/>
      <c r="AO467" s="33"/>
      <c r="AP467" s="33"/>
    </row>
    <row r="468" spans="2:42" ht="25.5" customHeight="1"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L468" s="33"/>
      <c r="AM468" s="33"/>
      <c r="AN468" s="33"/>
      <c r="AO468" s="33"/>
      <c r="AP468" s="33"/>
    </row>
    <row r="469" spans="2:42" ht="25.5" customHeight="1"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L469" s="33"/>
      <c r="AM469" s="33"/>
      <c r="AN469" s="33"/>
      <c r="AO469" s="33"/>
      <c r="AP469" s="33"/>
    </row>
    <row r="470" spans="2:42" ht="25.5" customHeight="1"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L470" s="33"/>
      <c r="AM470" s="33"/>
      <c r="AN470" s="33"/>
      <c r="AO470" s="33"/>
      <c r="AP470" s="33"/>
    </row>
    <row r="471" spans="2:42" ht="25.5" customHeight="1"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L471" s="33"/>
      <c r="AM471" s="33"/>
      <c r="AN471" s="33"/>
      <c r="AO471" s="33"/>
      <c r="AP471" s="33"/>
    </row>
    <row r="472" spans="2:42" ht="25.5" customHeight="1"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L472" s="33"/>
      <c r="AM472" s="33"/>
      <c r="AN472" s="33"/>
      <c r="AO472" s="33"/>
      <c r="AP472" s="33"/>
    </row>
    <row r="473" spans="2:42" ht="25.5" customHeight="1"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L473" s="33"/>
      <c r="AM473" s="33"/>
      <c r="AN473" s="33"/>
      <c r="AO473" s="33"/>
      <c r="AP473" s="33"/>
    </row>
    <row r="474" spans="2:42" ht="25.5" customHeight="1"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L474" s="33"/>
      <c r="AM474" s="33"/>
      <c r="AN474" s="33"/>
      <c r="AO474" s="33"/>
      <c r="AP474" s="33"/>
    </row>
    <row r="475" spans="2:42" ht="25.5" customHeight="1"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L475" s="33"/>
      <c r="AM475" s="33"/>
      <c r="AN475" s="33"/>
      <c r="AO475" s="33"/>
      <c r="AP475" s="33"/>
    </row>
    <row r="476" spans="2:42" ht="25.5" customHeight="1"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L476" s="33"/>
      <c r="AM476" s="33"/>
      <c r="AN476" s="33"/>
      <c r="AO476" s="33"/>
      <c r="AP476" s="33"/>
    </row>
    <row r="477" spans="2:42" ht="25.5" customHeight="1"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L477" s="33"/>
      <c r="AM477" s="33"/>
      <c r="AN477" s="33"/>
      <c r="AO477" s="33"/>
      <c r="AP477" s="33"/>
    </row>
    <row r="478" spans="2:42" ht="25.5" customHeight="1"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L478" s="33"/>
      <c r="AM478" s="33"/>
      <c r="AN478" s="33"/>
      <c r="AO478" s="33"/>
      <c r="AP478" s="33"/>
    </row>
    <row r="479" spans="2:42" ht="25.5" customHeight="1"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L479" s="33"/>
      <c r="AM479" s="33"/>
      <c r="AN479" s="33"/>
      <c r="AO479" s="33"/>
      <c r="AP479" s="33"/>
    </row>
    <row r="480" spans="2:42" ht="25.5" customHeight="1"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L480" s="33"/>
      <c r="AM480" s="33"/>
      <c r="AN480" s="33"/>
      <c r="AO480" s="33"/>
      <c r="AP480" s="33"/>
    </row>
    <row r="481" spans="2:42" ht="25.5" customHeight="1"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L481" s="33"/>
      <c r="AM481" s="33"/>
      <c r="AN481" s="33"/>
      <c r="AO481" s="33"/>
      <c r="AP481" s="33"/>
    </row>
    <row r="482" spans="2:42" ht="25.5" customHeight="1"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L482" s="33"/>
      <c r="AM482" s="33"/>
      <c r="AN482" s="33"/>
      <c r="AO482" s="33"/>
      <c r="AP482" s="33"/>
    </row>
    <row r="483" spans="2:42" ht="25.5" customHeight="1"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L483" s="33"/>
      <c r="AM483" s="33"/>
      <c r="AN483" s="33"/>
      <c r="AO483" s="33"/>
      <c r="AP483" s="33"/>
    </row>
    <row r="484" spans="2:42" ht="25.5" customHeight="1"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L484" s="33"/>
      <c r="AM484" s="33"/>
      <c r="AN484" s="33"/>
      <c r="AO484" s="33"/>
      <c r="AP484" s="33"/>
    </row>
    <row r="485" spans="2:42" ht="25.5" customHeight="1"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L485" s="33"/>
      <c r="AM485" s="33"/>
      <c r="AN485" s="33"/>
      <c r="AO485" s="33"/>
      <c r="AP485" s="33"/>
    </row>
    <row r="486" spans="2:42" ht="25.5" customHeight="1"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L486" s="33"/>
      <c r="AM486" s="33"/>
      <c r="AN486" s="33"/>
      <c r="AO486" s="33"/>
      <c r="AP486" s="33"/>
    </row>
    <row r="487" spans="2:42" ht="25.5" customHeight="1"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L487" s="33"/>
      <c r="AM487" s="33"/>
      <c r="AN487" s="33"/>
      <c r="AO487" s="33"/>
      <c r="AP487" s="33"/>
    </row>
    <row r="488" spans="2:42" ht="25.5" customHeight="1"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L488" s="33"/>
      <c r="AM488" s="33"/>
      <c r="AN488" s="33"/>
      <c r="AO488" s="33"/>
      <c r="AP488" s="33"/>
    </row>
    <row r="489" spans="2:42" ht="25.5" customHeight="1"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L489" s="33"/>
      <c r="AM489" s="33"/>
      <c r="AN489" s="33"/>
      <c r="AO489" s="33"/>
      <c r="AP489" s="33"/>
    </row>
    <row r="490" spans="2:42" ht="25.5" customHeight="1"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L490" s="33"/>
      <c r="AM490" s="33"/>
      <c r="AN490" s="33"/>
      <c r="AO490" s="33"/>
      <c r="AP490" s="33"/>
    </row>
    <row r="491" spans="2:42" ht="25.5" customHeight="1"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L491" s="33"/>
      <c r="AM491" s="33"/>
      <c r="AN491" s="33"/>
      <c r="AO491" s="33"/>
      <c r="AP491" s="33"/>
    </row>
    <row r="492" spans="2:42" ht="25.5" customHeight="1"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L492" s="33"/>
      <c r="AM492" s="33"/>
      <c r="AN492" s="33"/>
      <c r="AO492" s="33"/>
      <c r="AP492" s="33"/>
    </row>
    <row r="493" spans="2:42" ht="25.5" customHeight="1"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L493" s="33"/>
      <c r="AM493" s="33"/>
      <c r="AN493" s="33"/>
      <c r="AO493" s="33"/>
      <c r="AP493" s="33"/>
    </row>
    <row r="494" spans="2:42" ht="25.5" customHeight="1"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L494" s="33"/>
      <c r="AM494" s="33"/>
      <c r="AN494" s="33"/>
      <c r="AO494" s="33"/>
      <c r="AP494" s="33"/>
    </row>
    <row r="495" spans="2:42" ht="25.5" customHeight="1"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L495" s="33"/>
      <c r="AM495" s="33"/>
      <c r="AN495" s="33"/>
      <c r="AO495" s="33"/>
      <c r="AP495" s="33"/>
    </row>
    <row r="496" spans="2:42" ht="25.5" customHeight="1"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L496" s="33"/>
      <c r="AM496" s="33"/>
      <c r="AN496" s="33"/>
      <c r="AO496" s="33"/>
      <c r="AP496" s="33"/>
    </row>
    <row r="497" spans="2:42" ht="25.5" customHeight="1"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L497" s="33"/>
      <c r="AM497" s="33"/>
      <c r="AN497" s="33"/>
      <c r="AO497" s="33"/>
      <c r="AP497" s="33"/>
    </row>
    <row r="498" spans="2:42" ht="25.5" customHeight="1"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L498" s="33"/>
      <c r="AM498" s="33"/>
      <c r="AN498" s="33"/>
      <c r="AO498" s="33"/>
      <c r="AP498" s="33"/>
    </row>
    <row r="499" spans="2:42" ht="25.5" customHeight="1"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L499" s="33"/>
      <c r="AM499" s="33"/>
      <c r="AN499" s="33"/>
      <c r="AO499" s="33"/>
      <c r="AP499" s="33"/>
    </row>
    <row r="500" spans="2:42" ht="25.5" customHeight="1"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L500" s="33"/>
      <c r="AM500" s="33"/>
      <c r="AN500" s="33"/>
      <c r="AO500" s="33"/>
      <c r="AP500" s="33"/>
    </row>
    <row r="501" spans="2:42" ht="25.5" customHeight="1"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L501" s="33"/>
      <c r="AM501" s="33"/>
      <c r="AN501" s="33"/>
      <c r="AO501" s="33"/>
      <c r="AP501" s="33"/>
    </row>
    <row r="502" spans="2:42" ht="25.5" customHeight="1"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L502" s="33"/>
      <c r="AM502" s="33"/>
      <c r="AN502" s="33"/>
      <c r="AO502" s="33"/>
      <c r="AP502" s="33"/>
    </row>
    <row r="503" spans="2:42" ht="25.5" customHeight="1"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L503" s="33"/>
      <c r="AM503" s="33"/>
      <c r="AN503" s="33"/>
      <c r="AO503" s="33"/>
      <c r="AP503" s="33"/>
    </row>
    <row r="504" spans="2:42" ht="25.5" customHeight="1"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L504" s="33"/>
      <c r="AM504" s="33"/>
      <c r="AN504" s="33"/>
      <c r="AO504" s="33"/>
      <c r="AP504" s="33"/>
    </row>
    <row r="505" spans="2:42" ht="25.5" customHeight="1"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L505" s="33"/>
      <c r="AM505" s="33"/>
      <c r="AN505" s="33"/>
      <c r="AO505" s="33"/>
      <c r="AP505" s="33"/>
    </row>
    <row r="506" spans="2:42" ht="25.5" customHeight="1"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L506" s="33"/>
      <c r="AM506" s="33"/>
      <c r="AN506" s="33"/>
      <c r="AO506" s="33"/>
      <c r="AP506" s="33"/>
    </row>
    <row r="507" spans="2:42" ht="25.5" customHeight="1"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L507" s="33"/>
      <c r="AM507" s="33"/>
      <c r="AN507" s="33"/>
      <c r="AO507" s="33"/>
      <c r="AP507" s="33"/>
    </row>
    <row r="508" spans="2:42" ht="25.5" customHeight="1"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L508" s="33"/>
      <c r="AM508" s="33"/>
      <c r="AN508" s="33"/>
      <c r="AO508" s="33"/>
      <c r="AP508" s="33"/>
    </row>
    <row r="509" spans="2:42" ht="25.5" customHeight="1"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L509" s="33"/>
      <c r="AM509" s="33"/>
      <c r="AN509" s="33"/>
      <c r="AO509" s="33"/>
      <c r="AP509" s="33"/>
    </row>
    <row r="510" spans="2:42" ht="25.5" customHeight="1"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L510" s="33"/>
      <c r="AM510" s="33"/>
      <c r="AN510" s="33"/>
      <c r="AO510" s="33"/>
      <c r="AP510" s="33"/>
    </row>
    <row r="511" spans="2:42" ht="25.5" customHeight="1"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L511" s="33"/>
      <c r="AM511" s="33"/>
      <c r="AN511" s="33"/>
      <c r="AO511" s="33"/>
      <c r="AP511" s="33"/>
    </row>
    <row r="512" spans="2:42" ht="25.5" customHeight="1"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L512" s="33"/>
      <c r="AM512" s="33"/>
      <c r="AN512" s="33"/>
      <c r="AO512" s="33"/>
      <c r="AP512" s="33"/>
    </row>
    <row r="513" spans="2:42" ht="25.5" customHeight="1"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L513" s="33"/>
      <c r="AM513" s="33"/>
      <c r="AN513" s="33"/>
      <c r="AO513" s="33"/>
      <c r="AP513" s="33"/>
    </row>
    <row r="514" spans="2:42" ht="25.5" customHeight="1"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L514" s="33"/>
      <c r="AM514" s="33"/>
      <c r="AN514" s="33"/>
      <c r="AO514" s="33"/>
      <c r="AP514" s="33"/>
    </row>
    <row r="515" spans="2:42" ht="25.5" customHeight="1"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L515" s="33"/>
      <c r="AM515" s="33"/>
      <c r="AN515" s="33"/>
      <c r="AO515" s="33"/>
      <c r="AP515" s="33"/>
    </row>
    <row r="516" spans="2:42" ht="25.5" customHeight="1"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L516" s="33"/>
      <c r="AM516" s="33"/>
      <c r="AN516" s="33"/>
      <c r="AO516" s="33"/>
      <c r="AP516" s="33"/>
    </row>
    <row r="517" spans="2:42" ht="25.5" customHeight="1"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L517" s="33"/>
      <c r="AM517" s="33"/>
      <c r="AN517" s="33"/>
      <c r="AO517" s="33"/>
      <c r="AP517" s="33"/>
    </row>
    <row r="518" spans="2:42" ht="25.5" customHeight="1"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L518" s="33"/>
      <c r="AM518" s="33"/>
      <c r="AN518" s="33"/>
      <c r="AO518" s="33"/>
      <c r="AP518" s="33"/>
    </row>
    <row r="519" spans="2:42" ht="25.5" customHeight="1"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L519" s="33"/>
      <c r="AM519" s="33"/>
      <c r="AN519" s="33"/>
      <c r="AO519" s="33"/>
      <c r="AP519" s="33"/>
    </row>
    <row r="520" spans="2:42" ht="25.5" customHeight="1"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L520" s="33"/>
      <c r="AM520" s="33"/>
      <c r="AN520" s="33"/>
      <c r="AO520" s="33"/>
      <c r="AP520" s="33"/>
    </row>
    <row r="521" spans="2:42" ht="25.5" customHeight="1"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L521" s="33"/>
      <c r="AM521" s="33"/>
      <c r="AN521" s="33"/>
      <c r="AO521" s="33"/>
      <c r="AP521" s="33"/>
    </row>
    <row r="522" spans="2:42" ht="25.5" customHeight="1"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L522" s="33"/>
      <c r="AM522" s="33"/>
      <c r="AN522" s="33"/>
      <c r="AO522" s="33"/>
      <c r="AP522" s="33"/>
    </row>
    <row r="523" spans="2:42" ht="25.5" customHeight="1"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L523" s="33"/>
      <c r="AM523" s="33"/>
      <c r="AN523" s="33"/>
      <c r="AO523" s="33"/>
      <c r="AP523" s="33"/>
    </row>
    <row r="524" spans="2:42" ht="25.5" customHeight="1"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L524" s="33"/>
      <c r="AM524" s="33"/>
      <c r="AN524" s="33"/>
      <c r="AO524" s="33"/>
      <c r="AP524" s="33"/>
    </row>
    <row r="525" spans="2:42" ht="25.5" customHeight="1"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L525" s="33"/>
      <c r="AM525" s="33"/>
      <c r="AN525" s="33"/>
      <c r="AO525" s="33"/>
      <c r="AP525" s="33"/>
    </row>
    <row r="526" spans="2:42" ht="25.5" customHeight="1"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L526" s="33"/>
      <c r="AM526" s="33"/>
      <c r="AN526" s="33"/>
      <c r="AO526" s="33"/>
      <c r="AP526" s="33"/>
    </row>
    <row r="527" spans="2:42" ht="25.5" customHeight="1"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L527" s="33"/>
      <c r="AM527" s="33"/>
      <c r="AN527" s="33"/>
      <c r="AO527" s="33"/>
      <c r="AP527" s="33"/>
    </row>
    <row r="528" spans="2:42" ht="25.5" customHeight="1"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L528" s="33"/>
      <c r="AM528" s="33"/>
      <c r="AN528" s="33"/>
      <c r="AO528" s="33"/>
      <c r="AP528" s="33"/>
    </row>
    <row r="529" spans="2:42" ht="25.5" customHeight="1"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L529" s="33"/>
      <c r="AM529" s="33"/>
      <c r="AN529" s="33"/>
      <c r="AO529" s="33"/>
      <c r="AP529" s="33"/>
    </row>
    <row r="530" spans="2:42" ht="25.5" customHeight="1"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L530" s="33"/>
      <c r="AM530" s="33"/>
      <c r="AN530" s="33"/>
      <c r="AO530" s="33"/>
      <c r="AP530" s="33"/>
    </row>
    <row r="531" spans="2:42" ht="25.5" customHeight="1"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L531" s="33"/>
      <c r="AM531" s="33"/>
      <c r="AN531" s="33"/>
      <c r="AO531" s="33"/>
      <c r="AP531" s="33"/>
    </row>
    <row r="532" spans="2:42" ht="25.5" customHeight="1"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L532" s="33"/>
      <c r="AM532" s="33"/>
      <c r="AN532" s="33"/>
      <c r="AO532" s="33"/>
      <c r="AP532" s="33"/>
    </row>
    <row r="533" spans="2:42" ht="25.5" customHeight="1"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L533" s="33"/>
      <c r="AM533" s="33"/>
      <c r="AN533" s="33"/>
      <c r="AO533" s="33"/>
      <c r="AP533" s="33"/>
    </row>
    <row r="534" spans="2:42" ht="25.5" customHeight="1"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L534" s="33"/>
      <c r="AM534" s="33"/>
      <c r="AN534" s="33"/>
      <c r="AO534" s="33"/>
      <c r="AP534" s="33"/>
    </row>
    <row r="535" spans="2:42" ht="25.5" customHeight="1"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L535" s="33"/>
      <c r="AM535" s="33"/>
      <c r="AN535" s="33"/>
      <c r="AO535" s="33"/>
      <c r="AP535" s="33"/>
    </row>
    <row r="536" spans="2:42" ht="25.5" customHeight="1"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L536" s="33"/>
      <c r="AM536" s="33"/>
      <c r="AN536" s="33"/>
      <c r="AO536" s="33"/>
      <c r="AP536" s="33"/>
    </row>
    <row r="537" spans="2:42" ht="25.5" customHeight="1"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L537" s="33"/>
      <c r="AM537" s="33"/>
      <c r="AN537" s="33"/>
      <c r="AO537" s="33"/>
      <c r="AP537" s="33"/>
    </row>
    <row r="538" spans="2:42" ht="25.5" customHeight="1"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L538" s="33"/>
      <c r="AM538" s="33"/>
      <c r="AN538" s="33"/>
      <c r="AO538" s="33"/>
      <c r="AP538" s="33"/>
    </row>
    <row r="539" spans="2:42" ht="25.5" customHeight="1"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L539" s="33"/>
      <c r="AM539" s="33"/>
      <c r="AN539" s="33"/>
      <c r="AO539" s="33"/>
      <c r="AP539" s="33"/>
    </row>
    <row r="540" spans="2:42" ht="25.5" customHeight="1"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L540" s="33"/>
      <c r="AM540" s="33"/>
      <c r="AN540" s="33"/>
      <c r="AO540" s="33"/>
      <c r="AP540" s="33"/>
    </row>
    <row r="541" spans="2:42" ht="25.5" customHeight="1"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L541" s="33"/>
      <c r="AM541" s="33"/>
      <c r="AN541" s="33"/>
      <c r="AO541" s="33"/>
      <c r="AP541" s="33"/>
    </row>
    <row r="542" spans="2:42" ht="25.5" customHeight="1"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L542" s="33"/>
      <c r="AM542" s="33"/>
      <c r="AN542" s="33"/>
      <c r="AO542" s="33"/>
      <c r="AP542" s="33"/>
    </row>
    <row r="543" spans="2:42" ht="25.5" customHeight="1"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L543" s="33"/>
      <c r="AM543" s="33"/>
      <c r="AN543" s="33"/>
      <c r="AO543" s="33"/>
      <c r="AP543" s="33"/>
    </row>
    <row r="544" spans="2:42" ht="25.5" customHeight="1"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L544" s="33"/>
      <c r="AM544" s="33"/>
      <c r="AN544" s="33"/>
      <c r="AO544" s="33"/>
      <c r="AP544" s="33"/>
    </row>
    <row r="545" spans="2:42" ht="25.5" customHeight="1"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L545" s="33"/>
      <c r="AM545" s="33"/>
      <c r="AN545" s="33"/>
      <c r="AO545" s="33"/>
      <c r="AP545" s="33"/>
    </row>
    <row r="546" spans="2:42" ht="25.5" customHeight="1"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L546" s="33"/>
      <c r="AM546" s="33"/>
      <c r="AN546" s="33"/>
      <c r="AO546" s="33"/>
      <c r="AP546" s="33"/>
    </row>
    <row r="547" spans="2:42" ht="25.5" customHeight="1"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L547" s="33"/>
      <c r="AM547" s="33"/>
      <c r="AN547" s="33"/>
      <c r="AO547" s="33"/>
      <c r="AP547" s="33"/>
    </row>
    <row r="548" spans="2:42" ht="25.5" customHeight="1"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L548" s="33"/>
      <c r="AM548" s="33"/>
      <c r="AN548" s="33"/>
      <c r="AO548" s="33"/>
      <c r="AP548" s="33"/>
    </row>
    <row r="549" spans="2:42" ht="25.5" customHeight="1"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L549" s="33"/>
      <c r="AM549" s="33"/>
      <c r="AN549" s="33"/>
      <c r="AO549" s="33"/>
      <c r="AP549" s="33"/>
    </row>
    <row r="550" spans="2:42" ht="25.5" customHeight="1"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L550" s="33"/>
      <c r="AM550" s="33"/>
      <c r="AN550" s="33"/>
      <c r="AO550" s="33"/>
      <c r="AP550" s="33"/>
    </row>
    <row r="551" spans="2:42" ht="25.5" customHeight="1"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L551" s="33"/>
      <c r="AM551" s="33"/>
      <c r="AN551" s="33"/>
      <c r="AO551" s="33"/>
      <c r="AP551" s="33"/>
    </row>
    <row r="552" spans="2:42" ht="25.5" customHeight="1"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L552" s="33"/>
      <c r="AM552" s="33"/>
      <c r="AN552" s="33"/>
      <c r="AO552" s="33"/>
      <c r="AP552" s="33"/>
    </row>
    <row r="553" spans="2:42" ht="25.5" customHeight="1"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L553" s="33"/>
      <c r="AM553" s="33"/>
      <c r="AN553" s="33"/>
      <c r="AO553" s="33"/>
      <c r="AP553" s="33"/>
    </row>
    <row r="554" spans="2:42" ht="25.5" customHeight="1"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L554" s="33"/>
      <c r="AM554" s="33"/>
      <c r="AN554" s="33"/>
      <c r="AO554" s="33"/>
      <c r="AP554" s="33"/>
    </row>
    <row r="555" spans="2:42" ht="25.5" customHeight="1"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L555" s="33"/>
      <c r="AM555" s="33"/>
      <c r="AN555" s="33"/>
      <c r="AO555" s="33"/>
      <c r="AP555" s="33"/>
    </row>
    <row r="556" spans="2:42" ht="25.5" customHeight="1"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L556" s="33"/>
      <c r="AM556" s="33"/>
      <c r="AN556" s="33"/>
      <c r="AO556" s="33"/>
      <c r="AP556" s="33"/>
    </row>
    <row r="557" spans="2:42" ht="25.5" customHeight="1"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L557" s="33"/>
      <c r="AM557" s="33"/>
      <c r="AN557" s="33"/>
      <c r="AO557" s="33"/>
      <c r="AP557" s="33"/>
    </row>
    <row r="558" spans="2:42" ht="25.5" customHeight="1"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L558" s="33"/>
      <c r="AM558" s="33"/>
      <c r="AN558" s="33"/>
      <c r="AO558" s="33"/>
      <c r="AP558" s="33"/>
    </row>
    <row r="559" spans="2:42" ht="25.5" customHeight="1"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L559" s="33"/>
      <c r="AM559" s="33"/>
      <c r="AN559" s="33"/>
      <c r="AO559" s="33"/>
      <c r="AP559" s="33"/>
    </row>
    <row r="560" spans="2:42" ht="25.5" customHeight="1"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L560" s="33"/>
      <c r="AM560" s="33"/>
      <c r="AN560" s="33"/>
      <c r="AO560" s="33"/>
      <c r="AP560" s="33"/>
    </row>
    <row r="561" spans="2:42" ht="25.5" customHeight="1"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L561" s="33"/>
      <c r="AM561" s="33"/>
      <c r="AN561" s="33"/>
      <c r="AO561" s="33"/>
      <c r="AP561" s="33"/>
    </row>
    <row r="562" spans="2:42" ht="25.5" customHeight="1"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L562" s="33"/>
      <c r="AM562" s="33"/>
      <c r="AN562" s="33"/>
      <c r="AO562" s="33"/>
      <c r="AP562" s="33"/>
    </row>
    <row r="563" spans="2:42" ht="25.5" customHeight="1"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L563" s="33"/>
      <c r="AM563" s="33"/>
      <c r="AN563" s="33"/>
      <c r="AO563" s="33"/>
      <c r="AP563" s="33"/>
    </row>
    <row r="564" spans="2:42" ht="25.5" customHeight="1"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L564" s="33"/>
      <c r="AM564" s="33"/>
      <c r="AN564" s="33"/>
      <c r="AO564" s="33"/>
      <c r="AP564" s="33"/>
    </row>
    <row r="565" spans="2:42" ht="25.5" customHeight="1"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L565" s="33"/>
      <c r="AM565" s="33"/>
      <c r="AN565" s="33"/>
      <c r="AO565" s="33"/>
      <c r="AP565" s="33"/>
    </row>
    <row r="566" spans="2:42" ht="25.5" customHeight="1"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L566" s="33"/>
      <c r="AM566" s="33"/>
      <c r="AN566" s="33"/>
      <c r="AO566" s="33"/>
      <c r="AP566" s="33"/>
    </row>
    <row r="567" spans="2:42" ht="25.5" customHeight="1"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L567" s="33"/>
      <c r="AM567" s="33"/>
      <c r="AN567" s="33"/>
      <c r="AO567" s="33"/>
      <c r="AP567" s="33"/>
    </row>
    <row r="568" spans="2:42" ht="25.5" customHeight="1"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L568" s="33"/>
      <c r="AM568" s="33"/>
      <c r="AN568" s="33"/>
      <c r="AO568" s="33"/>
      <c r="AP568" s="33"/>
    </row>
    <row r="569" spans="2:42" ht="25.5" customHeight="1"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L569" s="33"/>
      <c r="AM569" s="33"/>
      <c r="AN569" s="33"/>
      <c r="AO569" s="33"/>
      <c r="AP569" s="33"/>
    </row>
    <row r="570" spans="2:42" ht="25.5" customHeight="1"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L570" s="33"/>
      <c r="AM570" s="33"/>
      <c r="AN570" s="33"/>
      <c r="AO570" s="33"/>
      <c r="AP570" s="33"/>
    </row>
    <row r="571" spans="2:42" ht="25.5" customHeight="1"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L571" s="33"/>
      <c r="AM571" s="33"/>
      <c r="AN571" s="33"/>
      <c r="AO571" s="33"/>
      <c r="AP571" s="33"/>
    </row>
    <row r="572" spans="2:42" ht="25.5" customHeight="1"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L572" s="33"/>
      <c r="AM572" s="33"/>
      <c r="AN572" s="33"/>
      <c r="AO572" s="33"/>
      <c r="AP572" s="33"/>
    </row>
    <row r="573" spans="2:42" ht="25.5" customHeight="1"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L573" s="33"/>
      <c r="AM573" s="33"/>
      <c r="AN573" s="33"/>
      <c r="AO573" s="33"/>
      <c r="AP573" s="33"/>
    </row>
    <row r="574" spans="2:42" ht="25.5" customHeight="1"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L574" s="33"/>
      <c r="AM574" s="33"/>
      <c r="AN574" s="33"/>
      <c r="AO574" s="33"/>
      <c r="AP574" s="33"/>
    </row>
    <row r="575" spans="2:42" ht="25.5" customHeight="1"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L575" s="33"/>
      <c r="AM575" s="33"/>
      <c r="AN575" s="33"/>
      <c r="AO575" s="33"/>
      <c r="AP575" s="33"/>
    </row>
    <row r="576" spans="2:42" ht="25.5" customHeight="1"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L576" s="33"/>
      <c r="AM576" s="33"/>
      <c r="AN576" s="33"/>
      <c r="AO576" s="33"/>
      <c r="AP576" s="33"/>
    </row>
    <row r="577" spans="2:42" ht="25.5" customHeight="1"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L577" s="33"/>
      <c r="AM577" s="33"/>
      <c r="AN577" s="33"/>
      <c r="AO577" s="33"/>
      <c r="AP577" s="33"/>
    </row>
    <row r="578" spans="2:42" ht="25.5" customHeight="1"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L578" s="33"/>
      <c r="AM578" s="33"/>
      <c r="AN578" s="33"/>
      <c r="AO578" s="33"/>
      <c r="AP578" s="33"/>
    </row>
    <row r="579" spans="2:42" ht="25.5" customHeight="1"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L579" s="33"/>
      <c r="AM579" s="33"/>
      <c r="AN579" s="33"/>
      <c r="AO579" s="33"/>
      <c r="AP579" s="33"/>
    </row>
    <row r="580" spans="2:42" ht="25.5" customHeight="1"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L580" s="33"/>
      <c r="AM580" s="33"/>
      <c r="AN580" s="33"/>
      <c r="AO580" s="33"/>
      <c r="AP580" s="33"/>
    </row>
    <row r="581" spans="2:42" ht="25.5" customHeight="1"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L581" s="33"/>
      <c r="AM581" s="33"/>
      <c r="AN581" s="33"/>
      <c r="AO581" s="33"/>
      <c r="AP581" s="33"/>
    </row>
    <row r="582" spans="2:42" ht="25.5" customHeight="1"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L582" s="33"/>
      <c r="AM582" s="33"/>
      <c r="AN582" s="33"/>
      <c r="AO582" s="33"/>
      <c r="AP582" s="33"/>
    </row>
    <row r="583" spans="2:42" ht="25.5" customHeight="1"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L583" s="33"/>
      <c r="AM583" s="33"/>
      <c r="AN583" s="33"/>
      <c r="AO583" s="33"/>
      <c r="AP583" s="33"/>
    </row>
    <row r="584" spans="2:42" ht="25.5" customHeight="1"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L584" s="33"/>
      <c r="AM584" s="33"/>
      <c r="AN584" s="33"/>
      <c r="AO584" s="33"/>
      <c r="AP584" s="33"/>
    </row>
    <row r="585" spans="2:42" ht="25.5" customHeight="1"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L585" s="33"/>
      <c r="AM585" s="33"/>
      <c r="AN585" s="33"/>
      <c r="AO585" s="33"/>
      <c r="AP585" s="33"/>
    </row>
    <row r="586" spans="2:42" ht="25.5" customHeight="1"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L586" s="33"/>
      <c r="AM586" s="33"/>
      <c r="AN586" s="33"/>
      <c r="AO586" s="33"/>
      <c r="AP586" s="33"/>
    </row>
    <row r="587" spans="2:42" ht="25.5" customHeight="1"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L587" s="33"/>
      <c r="AM587" s="33"/>
      <c r="AN587" s="33"/>
      <c r="AO587" s="33"/>
      <c r="AP587" s="33"/>
    </row>
    <row r="588" spans="2:42" ht="25.5" customHeight="1"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L588" s="33"/>
      <c r="AM588" s="33"/>
      <c r="AN588" s="33"/>
      <c r="AO588" s="33"/>
      <c r="AP588" s="33"/>
    </row>
    <row r="589" spans="2:42" ht="25.5" customHeight="1"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L589" s="33"/>
      <c r="AM589" s="33"/>
      <c r="AN589" s="33"/>
      <c r="AO589" s="33"/>
      <c r="AP589" s="33"/>
    </row>
    <row r="590" spans="2:42" ht="25.5" customHeight="1"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L590" s="33"/>
      <c r="AM590" s="33"/>
      <c r="AN590" s="33"/>
      <c r="AO590" s="33"/>
      <c r="AP590" s="33"/>
    </row>
    <row r="591" spans="2:42" ht="25.5" customHeight="1"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L591" s="33"/>
      <c r="AM591" s="33"/>
      <c r="AN591" s="33"/>
      <c r="AO591" s="33"/>
      <c r="AP591" s="33"/>
    </row>
    <row r="592" spans="2:42" ht="25.5" customHeight="1"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L592" s="33"/>
      <c r="AM592" s="33"/>
      <c r="AN592" s="33"/>
      <c r="AO592" s="33"/>
      <c r="AP592" s="33"/>
    </row>
    <row r="593" spans="2:42" ht="25.5" customHeight="1"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L593" s="33"/>
      <c r="AM593" s="33"/>
      <c r="AN593" s="33"/>
      <c r="AO593" s="33"/>
      <c r="AP593" s="33"/>
    </row>
    <row r="594" spans="2:42" ht="25.5" customHeight="1"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L594" s="33"/>
      <c r="AM594" s="33"/>
      <c r="AN594" s="33"/>
      <c r="AO594" s="33"/>
      <c r="AP594" s="33"/>
    </row>
    <row r="595" spans="2:42" ht="25.5" customHeight="1"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L595" s="33"/>
      <c r="AM595" s="33"/>
      <c r="AN595" s="33"/>
      <c r="AO595" s="33"/>
      <c r="AP595" s="33"/>
    </row>
    <row r="596" spans="2:42" ht="25.5" customHeight="1"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L596" s="33"/>
      <c r="AM596" s="33"/>
      <c r="AN596" s="33"/>
      <c r="AO596" s="33"/>
      <c r="AP596" s="33"/>
    </row>
    <row r="597" spans="2:42" ht="25.5" customHeight="1"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L597" s="33"/>
      <c r="AM597" s="33"/>
      <c r="AN597" s="33"/>
      <c r="AO597" s="33"/>
      <c r="AP597" s="33"/>
    </row>
    <row r="598" spans="2:42" ht="25.5" customHeight="1"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L598" s="33"/>
      <c r="AM598" s="33"/>
      <c r="AN598" s="33"/>
      <c r="AO598" s="33"/>
      <c r="AP598" s="33"/>
    </row>
    <row r="599" spans="2:42" ht="25.5" customHeight="1"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L599" s="33"/>
      <c r="AM599" s="33"/>
      <c r="AN599" s="33"/>
      <c r="AO599" s="33"/>
      <c r="AP599" s="33"/>
    </row>
    <row r="600" spans="2:42" ht="25.5" customHeight="1"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L600" s="33"/>
      <c r="AM600" s="33"/>
      <c r="AN600" s="33"/>
      <c r="AO600" s="33"/>
      <c r="AP600" s="33"/>
    </row>
    <row r="601" spans="2:42" ht="25.5" customHeight="1"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L601" s="33"/>
      <c r="AM601" s="33"/>
      <c r="AN601" s="33"/>
      <c r="AO601" s="33"/>
      <c r="AP601" s="33"/>
    </row>
    <row r="602" spans="2:42" ht="25.5" customHeight="1"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L602" s="33"/>
      <c r="AM602" s="33"/>
      <c r="AN602" s="33"/>
      <c r="AO602" s="33"/>
      <c r="AP602" s="33"/>
    </row>
    <row r="603" spans="2:42" ht="25.5" customHeight="1"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L603" s="33"/>
      <c r="AM603" s="33"/>
      <c r="AN603" s="33"/>
      <c r="AO603" s="33"/>
      <c r="AP603" s="33"/>
    </row>
    <row r="604" spans="2:42" ht="25.5" customHeight="1"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L604" s="33"/>
      <c r="AM604" s="33"/>
      <c r="AN604" s="33"/>
      <c r="AO604" s="33"/>
      <c r="AP604" s="33"/>
    </row>
    <row r="605" spans="2:42" ht="25.5" customHeight="1"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L605" s="33"/>
      <c r="AM605" s="33"/>
      <c r="AN605" s="33"/>
      <c r="AO605" s="33"/>
      <c r="AP605" s="33"/>
    </row>
    <row r="606" spans="2:42" ht="25.5" customHeight="1"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L606" s="33"/>
      <c r="AM606" s="33"/>
      <c r="AN606" s="33"/>
      <c r="AO606" s="33"/>
      <c r="AP606" s="33"/>
    </row>
    <row r="607" spans="2:42" ht="25.5" customHeight="1"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L607" s="33"/>
      <c r="AM607" s="33"/>
      <c r="AN607" s="33"/>
      <c r="AO607" s="33"/>
      <c r="AP607" s="33"/>
    </row>
    <row r="608" spans="2:42" ht="25.5" customHeight="1"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L608" s="33"/>
      <c r="AM608" s="33"/>
      <c r="AN608" s="33"/>
      <c r="AO608" s="33"/>
      <c r="AP608" s="33"/>
    </row>
    <row r="609" spans="2:42" ht="25.5" customHeight="1"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L609" s="33"/>
      <c r="AM609" s="33"/>
      <c r="AN609" s="33"/>
      <c r="AO609" s="33"/>
      <c r="AP609" s="33"/>
    </row>
    <row r="610" spans="2:42" ht="25.5" customHeight="1"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L610" s="33"/>
      <c r="AM610" s="33"/>
      <c r="AN610" s="33"/>
      <c r="AO610" s="33"/>
      <c r="AP610" s="33"/>
    </row>
    <row r="611" spans="2:42" ht="25.5" customHeight="1"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L611" s="33"/>
      <c r="AM611" s="33"/>
      <c r="AN611" s="33"/>
      <c r="AO611" s="33"/>
      <c r="AP611" s="33"/>
    </row>
    <row r="612" spans="2:42" ht="25.5" customHeight="1"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L612" s="33"/>
      <c r="AM612" s="33"/>
      <c r="AN612" s="33"/>
      <c r="AO612" s="33"/>
      <c r="AP612" s="33"/>
    </row>
    <row r="613" spans="2:42" ht="25.5" customHeight="1"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L613" s="33"/>
      <c r="AM613" s="33"/>
      <c r="AN613" s="33"/>
      <c r="AO613" s="33"/>
      <c r="AP613" s="33"/>
    </row>
    <row r="614" spans="2:42" ht="25.5" customHeight="1"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L614" s="33"/>
      <c r="AM614" s="33"/>
      <c r="AN614" s="33"/>
      <c r="AO614" s="33"/>
      <c r="AP614" s="33"/>
    </row>
    <row r="615" spans="2:42" ht="25.5" customHeight="1"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L615" s="33"/>
      <c r="AM615" s="33"/>
      <c r="AN615" s="33"/>
      <c r="AO615" s="33"/>
      <c r="AP615" s="33"/>
    </row>
    <row r="616" spans="2:42" ht="25.5" customHeight="1"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L616" s="33"/>
      <c r="AM616" s="33"/>
      <c r="AN616" s="33"/>
      <c r="AO616" s="33"/>
      <c r="AP616" s="33"/>
    </row>
    <row r="617" spans="2:42" ht="25.5" customHeight="1"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L617" s="33"/>
      <c r="AM617" s="33"/>
      <c r="AN617" s="33"/>
      <c r="AO617" s="33"/>
      <c r="AP617" s="33"/>
    </row>
    <row r="618" spans="2:42" ht="25.5" customHeight="1"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L618" s="33"/>
      <c r="AM618" s="33"/>
      <c r="AN618" s="33"/>
      <c r="AO618" s="33"/>
      <c r="AP618" s="33"/>
    </row>
    <row r="619" spans="2:42" ht="25.5" customHeight="1"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L619" s="33"/>
      <c r="AM619" s="33"/>
      <c r="AN619" s="33"/>
      <c r="AO619" s="33"/>
      <c r="AP619" s="33"/>
    </row>
    <row r="620" spans="2:42" ht="25.5" customHeight="1"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L620" s="33"/>
      <c r="AM620" s="33"/>
      <c r="AN620" s="33"/>
      <c r="AO620" s="33"/>
      <c r="AP620" s="33"/>
    </row>
    <row r="621" spans="2:42" ht="25.5" customHeight="1"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L621" s="33"/>
      <c r="AM621" s="33"/>
      <c r="AN621" s="33"/>
      <c r="AO621" s="33"/>
      <c r="AP621" s="33"/>
    </row>
    <row r="622" spans="2:42" ht="25.5" customHeight="1"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L622" s="33"/>
      <c r="AM622" s="33"/>
      <c r="AN622" s="33"/>
      <c r="AO622" s="33"/>
      <c r="AP622" s="33"/>
    </row>
    <row r="623" spans="2:42" ht="25.5" customHeight="1"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L623" s="33"/>
      <c r="AM623" s="33"/>
      <c r="AN623" s="33"/>
      <c r="AO623" s="33"/>
      <c r="AP623" s="33"/>
    </row>
    <row r="624" spans="2:42" ht="25.5" customHeight="1"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L624" s="33"/>
      <c r="AM624" s="33"/>
      <c r="AN624" s="33"/>
      <c r="AO624" s="33"/>
      <c r="AP624" s="33"/>
    </row>
    <row r="625" spans="2:42" ht="25.5" customHeight="1"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L625" s="33"/>
      <c r="AM625" s="33"/>
      <c r="AN625" s="33"/>
      <c r="AO625" s="33"/>
      <c r="AP625" s="33"/>
    </row>
    <row r="626" spans="2:42" ht="25.5" customHeight="1"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L626" s="33"/>
      <c r="AM626" s="33"/>
      <c r="AN626" s="33"/>
      <c r="AO626" s="33"/>
      <c r="AP626" s="33"/>
    </row>
    <row r="627" spans="2:42" ht="25.5" customHeight="1"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L627" s="33"/>
      <c r="AM627" s="33"/>
      <c r="AN627" s="33"/>
      <c r="AO627" s="33"/>
      <c r="AP627" s="33"/>
    </row>
    <row r="628" spans="2:42" ht="25.5" customHeight="1"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L628" s="33"/>
      <c r="AM628" s="33"/>
      <c r="AN628" s="33"/>
      <c r="AO628" s="33"/>
      <c r="AP628" s="33"/>
    </row>
    <row r="629" spans="2:42" ht="25.5" customHeight="1"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L629" s="33"/>
      <c r="AM629" s="33"/>
      <c r="AN629" s="33"/>
      <c r="AO629" s="33"/>
      <c r="AP629" s="33"/>
    </row>
    <row r="630" spans="2:42" ht="25.5" customHeight="1"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L630" s="33"/>
      <c r="AM630" s="33"/>
      <c r="AN630" s="33"/>
      <c r="AO630" s="33"/>
      <c r="AP630" s="33"/>
    </row>
    <row r="631" spans="2:42" ht="25.5" customHeight="1"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L631" s="33"/>
      <c r="AM631" s="33"/>
      <c r="AN631" s="33"/>
      <c r="AO631" s="33"/>
      <c r="AP631" s="33"/>
    </row>
    <row r="632" spans="2:42" ht="25.5" customHeight="1"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L632" s="33"/>
      <c r="AM632" s="33"/>
      <c r="AN632" s="33"/>
      <c r="AO632" s="33"/>
      <c r="AP632" s="33"/>
    </row>
    <row r="633" spans="2:42" ht="25.5" customHeight="1"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L633" s="33"/>
      <c r="AM633" s="33"/>
      <c r="AN633" s="33"/>
      <c r="AO633" s="33"/>
      <c r="AP633" s="33"/>
    </row>
    <row r="634" spans="2:42" ht="25.5" customHeight="1"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L634" s="33"/>
      <c r="AM634" s="33"/>
      <c r="AN634" s="33"/>
      <c r="AO634" s="33"/>
      <c r="AP634" s="33"/>
    </row>
    <row r="635" spans="2:42" ht="25.5" customHeight="1"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L635" s="33"/>
      <c r="AM635" s="33"/>
      <c r="AN635" s="33"/>
      <c r="AO635" s="33"/>
      <c r="AP635" s="33"/>
    </row>
    <row r="636" spans="2:42" ht="25.5" customHeight="1"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L636" s="33"/>
      <c r="AM636" s="33"/>
      <c r="AN636" s="33"/>
      <c r="AO636" s="33"/>
      <c r="AP636" s="33"/>
    </row>
    <row r="637" spans="2:42" ht="25.5" customHeight="1"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L637" s="33"/>
      <c r="AM637" s="33"/>
      <c r="AN637" s="33"/>
      <c r="AO637" s="33"/>
      <c r="AP637" s="33"/>
    </row>
    <row r="638" spans="2:42" ht="25.5" customHeight="1"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L638" s="33"/>
      <c r="AM638" s="33"/>
      <c r="AN638" s="33"/>
      <c r="AO638" s="33"/>
      <c r="AP638" s="33"/>
    </row>
    <row r="639" spans="2:42" ht="25.5" customHeight="1"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L639" s="33"/>
      <c r="AM639" s="33"/>
      <c r="AN639" s="33"/>
      <c r="AO639" s="33"/>
      <c r="AP639" s="33"/>
    </row>
    <row r="640" spans="2:42" ht="25.5" customHeight="1"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L640" s="33"/>
      <c r="AM640" s="33"/>
      <c r="AN640" s="33"/>
      <c r="AO640" s="33"/>
      <c r="AP640" s="33"/>
    </row>
    <row r="641" spans="2:42" ht="25.5" customHeight="1"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L641" s="33"/>
      <c r="AM641" s="33"/>
      <c r="AN641" s="33"/>
      <c r="AO641" s="33"/>
      <c r="AP641" s="33"/>
    </row>
    <row r="642" spans="2:42" ht="25.5" customHeight="1"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L642" s="33"/>
      <c r="AM642" s="33"/>
      <c r="AN642" s="33"/>
      <c r="AO642" s="33"/>
      <c r="AP642" s="33"/>
    </row>
    <row r="643" spans="2:42" ht="25.5" customHeight="1"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L643" s="33"/>
      <c r="AM643" s="33"/>
      <c r="AN643" s="33"/>
      <c r="AO643" s="33"/>
      <c r="AP643" s="33"/>
    </row>
    <row r="644" spans="2:42" ht="25.5" customHeight="1"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L644" s="33"/>
      <c r="AM644" s="33"/>
      <c r="AN644" s="33"/>
      <c r="AO644" s="33"/>
      <c r="AP644" s="33"/>
    </row>
    <row r="645" spans="2:42" ht="25.5" customHeight="1"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L645" s="33"/>
      <c r="AM645" s="33"/>
      <c r="AN645" s="33"/>
      <c r="AO645" s="33"/>
      <c r="AP645" s="33"/>
    </row>
    <row r="646" spans="2:42" ht="25.5" customHeight="1"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L646" s="33"/>
      <c r="AM646" s="33"/>
      <c r="AN646" s="33"/>
      <c r="AO646" s="33"/>
      <c r="AP646" s="33"/>
    </row>
    <row r="647" spans="2:42" ht="25.5" customHeight="1"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L647" s="33"/>
      <c r="AM647" s="33"/>
      <c r="AN647" s="33"/>
      <c r="AO647" s="33"/>
      <c r="AP647" s="33"/>
    </row>
    <row r="648" spans="2:42" ht="25.5" customHeight="1"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L648" s="33"/>
      <c r="AM648" s="33"/>
      <c r="AN648" s="33"/>
      <c r="AO648" s="33"/>
      <c r="AP648" s="33"/>
    </row>
    <row r="649" spans="2:42" ht="25.5" customHeight="1"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L649" s="33"/>
      <c r="AM649" s="33"/>
      <c r="AN649" s="33"/>
      <c r="AO649" s="33"/>
      <c r="AP649" s="33"/>
    </row>
    <row r="650" spans="2:42" ht="25.5" customHeight="1"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L650" s="33"/>
      <c r="AM650" s="33"/>
      <c r="AN650" s="33"/>
      <c r="AO650" s="33"/>
      <c r="AP650" s="33"/>
    </row>
    <row r="651" spans="2:42" ht="25.5" customHeight="1"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L651" s="33"/>
      <c r="AM651" s="33"/>
      <c r="AN651" s="33"/>
      <c r="AO651" s="33"/>
      <c r="AP651" s="33"/>
    </row>
    <row r="652" spans="2:42" ht="25.5" customHeight="1"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L652" s="33"/>
      <c r="AM652" s="33"/>
      <c r="AN652" s="33"/>
      <c r="AO652" s="33"/>
      <c r="AP652" s="33"/>
    </row>
    <row r="653" spans="2:42" ht="25.5" customHeight="1"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L653" s="33"/>
      <c r="AM653" s="33"/>
      <c r="AN653" s="33"/>
      <c r="AO653" s="33"/>
      <c r="AP653" s="33"/>
    </row>
    <row r="654" spans="2:42" ht="25.5" customHeight="1"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L654" s="33"/>
      <c r="AM654" s="33"/>
      <c r="AN654" s="33"/>
      <c r="AO654" s="33"/>
      <c r="AP654" s="33"/>
    </row>
    <row r="655" spans="2:42" ht="25.5" customHeight="1"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L655" s="33"/>
      <c r="AM655" s="33"/>
      <c r="AN655" s="33"/>
      <c r="AO655" s="33"/>
      <c r="AP655" s="33"/>
    </row>
    <row r="656" spans="2:42" ht="25.5" customHeight="1"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L656" s="33"/>
      <c r="AM656" s="33"/>
      <c r="AN656" s="33"/>
      <c r="AO656" s="33"/>
      <c r="AP656" s="33"/>
    </row>
    <row r="657" spans="2:42" ht="25.5" customHeight="1"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L657" s="33"/>
      <c r="AM657" s="33"/>
      <c r="AN657" s="33"/>
      <c r="AO657" s="33"/>
      <c r="AP657" s="33"/>
    </row>
    <row r="658" spans="2:42" ht="25.5" customHeight="1"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L658" s="33"/>
      <c r="AM658" s="33"/>
      <c r="AN658" s="33"/>
      <c r="AO658" s="33"/>
      <c r="AP658" s="33"/>
    </row>
    <row r="659" spans="2:42" ht="25.5" customHeight="1"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L659" s="33"/>
      <c r="AM659" s="33"/>
      <c r="AN659" s="33"/>
      <c r="AO659" s="33"/>
      <c r="AP659" s="33"/>
    </row>
    <row r="660" spans="2:42" ht="25.5" customHeight="1"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L660" s="33"/>
      <c r="AM660" s="33"/>
      <c r="AN660" s="33"/>
      <c r="AO660" s="33"/>
      <c r="AP660" s="33"/>
    </row>
    <row r="661" spans="2:42" ht="25.5" customHeight="1"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L661" s="33"/>
      <c r="AM661" s="33"/>
      <c r="AN661" s="33"/>
      <c r="AO661" s="33"/>
      <c r="AP661" s="33"/>
    </row>
    <row r="662" spans="2:42" ht="25.5" customHeight="1"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L662" s="33"/>
      <c r="AM662" s="33"/>
      <c r="AN662" s="33"/>
      <c r="AO662" s="33"/>
      <c r="AP662" s="33"/>
    </row>
    <row r="663" spans="2:42" ht="25.5" customHeight="1"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L663" s="33"/>
      <c r="AM663" s="33"/>
      <c r="AN663" s="33"/>
      <c r="AO663" s="33"/>
      <c r="AP663" s="33"/>
    </row>
    <row r="664" spans="2:42" ht="25.5" customHeight="1"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L664" s="33"/>
      <c r="AM664" s="33"/>
      <c r="AN664" s="33"/>
      <c r="AO664" s="33"/>
      <c r="AP664" s="33"/>
    </row>
    <row r="665" spans="2:42" ht="25.5" customHeight="1"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L665" s="33"/>
      <c r="AM665" s="33"/>
      <c r="AN665" s="33"/>
      <c r="AO665" s="33"/>
      <c r="AP665" s="33"/>
    </row>
    <row r="666" spans="2:42" ht="25.5" customHeight="1"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L666" s="33"/>
      <c r="AM666" s="33"/>
      <c r="AN666" s="33"/>
      <c r="AO666" s="33"/>
      <c r="AP666" s="33"/>
    </row>
    <row r="667" spans="2:42" ht="25.5" customHeight="1"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L667" s="33"/>
      <c r="AM667" s="33"/>
      <c r="AN667" s="33"/>
      <c r="AO667" s="33"/>
      <c r="AP667" s="33"/>
    </row>
    <row r="668" spans="2:42" ht="25.5" customHeight="1"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L668" s="33"/>
      <c r="AM668" s="33"/>
      <c r="AN668" s="33"/>
      <c r="AO668" s="33"/>
      <c r="AP668" s="33"/>
    </row>
    <row r="669" spans="2:42" ht="25.5" customHeight="1"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L669" s="33"/>
      <c r="AM669" s="33"/>
      <c r="AN669" s="33"/>
      <c r="AO669" s="33"/>
      <c r="AP669" s="33"/>
    </row>
    <row r="670" spans="2:42" ht="25.5" customHeight="1"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L670" s="33"/>
      <c r="AM670" s="33"/>
      <c r="AN670" s="33"/>
      <c r="AO670" s="33"/>
      <c r="AP670" s="33"/>
    </row>
    <row r="671" spans="2:42" ht="25.5" customHeight="1"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L671" s="33"/>
      <c r="AM671" s="33"/>
      <c r="AN671" s="33"/>
      <c r="AO671" s="33"/>
      <c r="AP671" s="33"/>
    </row>
    <row r="672" spans="2:42" ht="25.5" customHeight="1"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L672" s="33"/>
      <c r="AM672" s="33"/>
      <c r="AN672" s="33"/>
      <c r="AO672" s="33"/>
      <c r="AP672" s="33"/>
    </row>
    <row r="673" spans="2:42" ht="25.5" customHeight="1"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L673" s="33"/>
      <c r="AM673" s="33"/>
      <c r="AN673" s="33"/>
      <c r="AO673" s="33"/>
      <c r="AP673" s="33"/>
    </row>
    <row r="674" spans="2:42" ht="25.5" customHeight="1"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L674" s="33"/>
      <c r="AM674" s="33"/>
      <c r="AN674" s="33"/>
      <c r="AO674" s="33"/>
      <c r="AP674" s="33"/>
    </row>
    <row r="675" spans="2:42" ht="25.5" customHeight="1"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L675" s="33"/>
      <c r="AM675" s="33"/>
      <c r="AN675" s="33"/>
      <c r="AO675" s="33"/>
      <c r="AP675" s="33"/>
    </row>
    <row r="676" spans="2:42" ht="25.5" customHeight="1"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L676" s="33"/>
      <c r="AM676" s="33"/>
      <c r="AN676" s="33"/>
      <c r="AO676" s="33"/>
      <c r="AP676" s="33"/>
    </row>
    <row r="677" spans="2:42" ht="25.5" customHeight="1"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L677" s="33"/>
      <c r="AM677" s="33"/>
      <c r="AN677" s="33"/>
      <c r="AO677" s="33"/>
      <c r="AP677" s="33"/>
    </row>
    <row r="678" spans="2:42" ht="25.5" customHeight="1"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L678" s="33"/>
      <c r="AM678" s="33"/>
      <c r="AN678" s="33"/>
      <c r="AO678" s="33"/>
      <c r="AP678" s="33"/>
    </row>
    <row r="679" spans="2:42" ht="25.5" customHeight="1"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L679" s="33"/>
      <c r="AM679" s="33"/>
      <c r="AN679" s="33"/>
      <c r="AO679" s="33"/>
      <c r="AP679" s="33"/>
    </row>
    <row r="680" spans="2:42" ht="25.5" customHeight="1"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L680" s="33"/>
      <c r="AM680" s="33"/>
      <c r="AN680" s="33"/>
      <c r="AO680" s="33"/>
      <c r="AP680" s="33"/>
    </row>
    <row r="681" spans="2:42" ht="25.5" customHeight="1"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L681" s="33"/>
      <c r="AM681" s="33"/>
      <c r="AN681" s="33"/>
      <c r="AO681" s="33"/>
      <c r="AP681" s="33"/>
    </row>
    <row r="682" spans="2:42" ht="25.5" customHeight="1"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L682" s="33"/>
      <c r="AM682" s="33"/>
      <c r="AN682" s="33"/>
      <c r="AO682" s="33"/>
      <c r="AP682" s="33"/>
    </row>
    <row r="683" spans="2:42" ht="25.5" customHeight="1"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L683" s="33"/>
      <c r="AM683" s="33"/>
      <c r="AN683" s="33"/>
      <c r="AO683" s="33"/>
      <c r="AP683" s="33"/>
    </row>
    <row r="684" spans="2:42" ht="25.5" customHeight="1"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L684" s="33"/>
      <c r="AM684" s="33"/>
      <c r="AN684" s="33"/>
      <c r="AO684" s="33"/>
      <c r="AP684" s="33"/>
    </row>
    <row r="685" spans="2:42" ht="25.5" customHeight="1"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L685" s="33"/>
      <c r="AM685" s="33"/>
      <c r="AN685" s="33"/>
      <c r="AO685" s="33"/>
      <c r="AP685" s="33"/>
    </row>
    <row r="686" spans="2:42" ht="25.5" customHeight="1"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L686" s="33"/>
      <c r="AM686" s="33"/>
      <c r="AN686" s="33"/>
      <c r="AO686" s="33"/>
      <c r="AP686" s="33"/>
    </row>
    <row r="687" spans="2:42" ht="25.5" customHeight="1"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L687" s="33"/>
      <c r="AM687" s="33"/>
      <c r="AN687" s="33"/>
      <c r="AO687" s="33"/>
      <c r="AP687" s="33"/>
    </row>
    <row r="688" spans="2:42" ht="25.5" customHeight="1"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L688" s="33"/>
      <c r="AM688" s="33"/>
      <c r="AN688" s="33"/>
      <c r="AO688" s="33"/>
      <c r="AP688" s="33"/>
    </row>
    <row r="689" spans="2:42" ht="25.5" customHeight="1"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L689" s="33"/>
      <c r="AM689" s="33"/>
      <c r="AN689" s="33"/>
      <c r="AO689" s="33"/>
      <c r="AP689" s="33"/>
    </row>
    <row r="690" spans="2:42" ht="25.5" customHeight="1"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L690" s="33"/>
      <c r="AM690" s="33"/>
      <c r="AN690" s="33"/>
      <c r="AO690" s="33"/>
      <c r="AP690" s="33"/>
    </row>
    <row r="691" spans="2:42" ht="25.5" customHeight="1"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L691" s="33"/>
      <c r="AM691" s="33"/>
      <c r="AN691" s="33"/>
      <c r="AO691" s="33"/>
      <c r="AP691" s="33"/>
    </row>
    <row r="692" spans="2:42" ht="25.5" customHeight="1"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L692" s="33"/>
      <c r="AM692" s="33"/>
      <c r="AN692" s="33"/>
      <c r="AO692" s="33"/>
      <c r="AP692" s="33"/>
    </row>
    <row r="693" spans="2:42" ht="25.5" customHeight="1"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L693" s="33"/>
      <c r="AM693" s="33"/>
      <c r="AN693" s="33"/>
      <c r="AO693" s="33"/>
      <c r="AP693" s="33"/>
    </row>
    <row r="694" spans="2:42" ht="25.5" customHeight="1"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L694" s="33"/>
      <c r="AM694" s="33"/>
      <c r="AN694" s="33"/>
      <c r="AO694" s="33"/>
      <c r="AP694" s="33"/>
    </row>
    <row r="695" spans="2:42" ht="25.5" customHeight="1"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L695" s="33"/>
      <c r="AM695" s="33"/>
      <c r="AN695" s="33"/>
      <c r="AO695" s="33"/>
      <c r="AP695" s="33"/>
    </row>
    <row r="696" spans="2:42" ht="25.5" customHeight="1"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L696" s="33"/>
      <c r="AM696" s="33"/>
      <c r="AN696" s="33"/>
      <c r="AO696" s="33"/>
      <c r="AP696" s="33"/>
    </row>
    <row r="697" spans="2:42" ht="25.5" customHeight="1"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L697" s="33"/>
      <c r="AM697" s="33"/>
      <c r="AN697" s="33"/>
      <c r="AO697" s="33"/>
      <c r="AP697" s="33"/>
    </row>
    <row r="698" spans="2:42" ht="25.5" customHeight="1"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L698" s="33"/>
      <c r="AM698" s="33"/>
      <c r="AN698" s="33"/>
      <c r="AO698" s="33"/>
      <c r="AP698" s="33"/>
    </row>
    <row r="699" spans="2:42" ht="25.5" customHeight="1"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L699" s="33"/>
      <c r="AM699" s="33"/>
      <c r="AN699" s="33"/>
      <c r="AO699" s="33"/>
      <c r="AP699" s="33"/>
    </row>
    <row r="700" spans="2:42" ht="25.5" customHeight="1"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L700" s="33"/>
      <c r="AM700" s="33"/>
      <c r="AN700" s="33"/>
      <c r="AO700" s="33"/>
      <c r="AP700" s="33"/>
    </row>
    <row r="701" spans="2:42" ht="25.5" customHeight="1"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L701" s="33"/>
      <c r="AM701" s="33"/>
      <c r="AN701" s="33"/>
      <c r="AO701" s="33"/>
      <c r="AP701" s="33"/>
    </row>
    <row r="702" spans="2:42" ht="25.5" customHeight="1"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L702" s="33"/>
      <c r="AM702" s="33"/>
      <c r="AN702" s="33"/>
      <c r="AO702" s="33"/>
      <c r="AP702" s="33"/>
    </row>
    <row r="703" spans="2:42" ht="25.5" customHeight="1"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L703" s="33"/>
      <c r="AM703" s="33"/>
      <c r="AN703" s="33"/>
      <c r="AO703" s="33"/>
      <c r="AP703" s="33"/>
    </row>
    <row r="704" spans="2:42" ht="25.5" customHeight="1"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L704" s="33"/>
      <c r="AM704" s="33"/>
      <c r="AN704" s="33"/>
      <c r="AO704" s="33"/>
      <c r="AP704" s="33"/>
    </row>
    <row r="705" spans="2:42" ht="25.5" customHeight="1"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L705" s="33"/>
      <c r="AM705" s="33"/>
      <c r="AN705" s="33"/>
      <c r="AO705" s="33"/>
      <c r="AP705" s="33"/>
    </row>
    <row r="706" spans="2:42" ht="25.5" customHeight="1"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L706" s="33"/>
      <c r="AM706" s="33"/>
      <c r="AN706" s="33"/>
      <c r="AO706" s="33"/>
      <c r="AP706" s="33"/>
    </row>
    <row r="707" spans="2:42" ht="25.5" customHeight="1"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L707" s="33"/>
      <c r="AM707" s="33"/>
      <c r="AN707" s="33"/>
      <c r="AO707" s="33"/>
      <c r="AP707" s="33"/>
    </row>
    <row r="708" spans="2:42" ht="25.5" customHeight="1"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L708" s="33"/>
      <c r="AM708" s="33"/>
      <c r="AN708" s="33"/>
      <c r="AO708" s="33"/>
      <c r="AP708" s="33"/>
    </row>
    <row r="709" spans="2:42" ht="25.5" customHeight="1"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L709" s="33"/>
      <c r="AM709" s="33"/>
      <c r="AN709" s="33"/>
      <c r="AO709" s="33"/>
      <c r="AP709" s="33"/>
    </row>
    <row r="710" spans="2:42" ht="25.5" customHeight="1"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L710" s="33"/>
      <c r="AM710" s="33"/>
      <c r="AN710" s="33"/>
      <c r="AO710" s="33"/>
      <c r="AP710" s="33"/>
    </row>
    <row r="711" spans="2:42" ht="25.5" customHeight="1"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L711" s="33"/>
      <c r="AM711" s="33"/>
      <c r="AN711" s="33"/>
      <c r="AO711" s="33"/>
      <c r="AP711" s="33"/>
    </row>
    <row r="712" spans="2:42" ht="25.5" customHeight="1"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L712" s="33"/>
      <c r="AM712" s="33"/>
      <c r="AN712" s="33"/>
      <c r="AO712" s="33"/>
      <c r="AP712" s="33"/>
    </row>
    <row r="713" spans="2:42" ht="25.5" customHeight="1"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L713" s="33"/>
      <c r="AM713" s="33"/>
      <c r="AN713" s="33"/>
      <c r="AO713" s="33"/>
      <c r="AP713" s="33"/>
    </row>
    <row r="714" spans="2:42" ht="25.5" customHeight="1"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L714" s="33"/>
      <c r="AM714" s="33"/>
      <c r="AN714" s="33"/>
      <c r="AO714" s="33"/>
      <c r="AP714" s="33"/>
    </row>
    <row r="715" spans="2:42" ht="25.5" customHeight="1"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L715" s="33"/>
      <c r="AM715" s="33"/>
      <c r="AN715" s="33"/>
      <c r="AO715" s="33"/>
      <c r="AP715" s="33"/>
    </row>
    <row r="716" spans="2:42" ht="25.5" customHeight="1"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L716" s="33"/>
      <c r="AM716" s="33"/>
      <c r="AN716" s="33"/>
      <c r="AO716" s="33"/>
      <c r="AP716" s="33"/>
    </row>
    <row r="717" spans="2:42" ht="25.5" customHeight="1"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L717" s="33"/>
      <c r="AM717" s="33"/>
      <c r="AN717" s="33"/>
      <c r="AO717" s="33"/>
      <c r="AP717" s="33"/>
    </row>
    <row r="718" spans="2:42" ht="25.5" customHeight="1"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L718" s="33"/>
      <c r="AM718" s="33"/>
      <c r="AN718" s="33"/>
      <c r="AO718" s="33"/>
      <c r="AP718" s="33"/>
    </row>
    <row r="719" spans="2:42" ht="25.5" customHeight="1"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L719" s="33"/>
      <c r="AM719" s="33"/>
      <c r="AN719" s="33"/>
      <c r="AO719" s="33"/>
      <c r="AP719" s="33"/>
    </row>
    <row r="720" spans="2:42" ht="25.5" customHeight="1"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L720" s="33"/>
      <c r="AM720" s="33"/>
      <c r="AN720" s="33"/>
      <c r="AO720" s="33"/>
      <c r="AP720" s="33"/>
    </row>
    <row r="721" spans="2:42" ht="25.5" customHeight="1"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L721" s="33"/>
      <c r="AM721" s="33"/>
      <c r="AN721" s="33"/>
      <c r="AO721" s="33"/>
      <c r="AP721" s="33"/>
    </row>
    <row r="722" spans="2:42" ht="25.5" customHeight="1"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L722" s="33"/>
      <c r="AM722" s="33"/>
      <c r="AN722" s="33"/>
      <c r="AO722" s="33"/>
      <c r="AP722" s="33"/>
    </row>
    <row r="723" spans="2:42" ht="25.5" customHeight="1"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L723" s="33"/>
      <c r="AM723" s="33"/>
      <c r="AN723" s="33"/>
      <c r="AO723" s="33"/>
      <c r="AP723" s="33"/>
    </row>
    <row r="724" spans="2:42" ht="25.5" customHeight="1"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L724" s="33"/>
      <c r="AM724" s="33"/>
      <c r="AN724" s="33"/>
      <c r="AO724" s="33"/>
      <c r="AP724" s="33"/>
    </row>
    <row r="725" spans="2:42" ht="25.5" customHeight="1"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L725" s="33"/>
      <c r="AM725" s="33"/>
      <c r="AN725" s="33"/>
      <c r="AO725" s="33"/>
      <c r="AP725" s="33"/>
    </row>
    <row r="726" spans="2:42" ht="25.5" customHeight="1"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L726" s="33"/>
      <c r="AM726" s="33"/>
      <c r="AN726" s="33"/>
      <c r="AO726" s="33"/>
      <c r="AP726" s="33"/>
    </row>
    <row r="727" spans="2:42" ht="25.5" customHeight="1"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L727" s="33"/>
      <c r="AM727" s="33"/>
      <c r="AN727" s="33"/>
      <c r="AO727" s="33"/>
      <c r="AP727" s="33"/>
    </row>
    <row r="728" spans="2:42" ht="25.5" customHeight="1"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L728" s="33"/>
      <c r="AM728" s="33"/>
      <c r="AN728" s="33"/>
      <c r="AO728" s="33"/>
      <c r="AP728" s="33"/>
    </row>
    <row r="729" spans="2:42" ht="25.5" customHeight="1"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L729" s="33"/>
      <c r="AM729" s="33"/>
      <c r="AN729" s="33"/>
      <c r="AO729" s="33"/>
      <c r="AP729" s="33"/>
    </row>
    <row r="730" spans="2:42" ht="25.5" customHeight="1"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L730" s="33"/>
      <c r="AM730" s="33"/>
      <c r="AN730" s="33"/>
      <c r="AO730" s="33"/>
      <c r="AP730" s="33"/>
    </row>
    <row r="731" spans="2:42" ht="25.5" customHeight="1"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L731" s="33"/>
      <c r="AM731" s="33"/>
      <c r="AN731" s="33"/>
      <c r="AO731" s="33"/>
      <c r="AP731" s="33"/>
    </row>
    <row r="732" spans="2:42" ht="25.5" customHeight="1"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L732" s="33"/>
      <c r="AM732" s="33"/>
      <c r="AN732" s="33"/>
      <c r="AO732" s="33"/>
      <c r="AP732" s="33"/>
    </row>
    <row r="733" spans="2:42" ht="25.5" customHeight="1"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L733" s="33"/>
      <c r="AM733" s="33"/>
      <c r="AN733" s="33"/>
      <c r="AO733" s="33"/>
      <c r="AP733" s="33"/>
    </row>
    <row r="734" spans="2:42" ht="25.5" customHeight="1"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L734" s="33"/>
      <c r="AM734" s="33"/>
      <c r="AN734" s="33"/>
      <c r="AO734" s="33"/>
      <c r="AP734" s="33"/>
    </row>
    <row r="735" spans="2:42" ht="25.5" customHeight="1"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L735" s="33"/>
      <c r="AM735" s="33"/>
      <c r="AN735" s="33"/>
      <c r="AO735" s="33"/>
      <c r="AP735" s="33"/>
    </row>
    <row r="736" spans="2:42" ht="25.5" customHeight="1"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L736" s="33"/>
      <c r="AM736" s="33"/>
      <c r="AN736" s="33"/>
      <c r="AO736" s="33"/>
      <c r="AP736" s="33"/>
    </row>
    <row r="737" spans="2:42" ht="25.5" customHeight="1"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L737" s="33"/>
      <c r="AM737" s="33"/>
      <c r="AN737" s="33"/>
      <c r="AO737" s="33"/>
      <c r="AP737" s="33"/>
    </row>
    <row r="738" spans="2:42" ht="25.5" customHeight="1"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L738" s="33"/>
      <c r="AM738" s="33"/>
      <c r="AN738" s="33"/>
      <c r="AO738" s="33"/>
      <c r="AP738" s="33"/>
    </row>
    <row r="739" spans="2:42" ht="25.5" customHeight="1"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L739" s="33"/>
      <c r="AM739" s="33"/>
      <c r="AN739" s="33"/>
      <c r="AO739" s="33"/>
      <c r="AP739" s="33"/>
    </row>
    <row r="740" spans="2:42" ht="25.5" customHeight="1"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L740" s="33"/>
      <c r="AM740" s="33"/>
      <c r="AN740" s="33"/>
      <c r="AO740" s="33"/>
      <c r="AP740" s="33"/>
    </row>
    <row r="741" spans="2:42" ht="25.5" customHeight="1"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L741" s="33"/>
      <c r="AM741" s="33"/>
      <c r="AN741" s="33"/>
      <c r="AO741" s="33"/>
      <c r="AP741" s="33"/>
    </row>
    <row r="742" spans="2:42" ht="25.5" customHeight="1"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L742" s="33"/>
      <c r="AM742" s="33"/>
      <c r="AN742" s="33"/>
      <c r="AO742" s="33"/>
      <c r="AP742" s="33"/>
    </row>
    <row r="743" spans="2:42" ht="25.5" customHeight="1"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L743" s="33"/>
      <c r="AM743" s="33"/>
      <c r="AN743" s="33"/>
      <c r="AO743" s="33"/>
      <c r="AP743" s="33"/>
    </row>
    <row r="744" spans="2:42" ht="25.5" customHeight="1"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L744" s="33"/>
      <c r="AM744" s="33"/>
      <c r="AN744" s="33"/>
      <c r="AO744" s="33"/>
      <c r="AP744" s="33"/>
    </row>
    <row r="745" spans="2:42" ht="25.5" customHeight="1"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L745" s="33"/>
      <c r="AM745" s="33"/>
      <c r="AN745" s="33"/>
      <c r="AO745" s="33"/>
      <c r="AP745" s="33"/>
    </row>
    <row r="746" spans="2:42" ht="25.5" customHeight="1"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L746" s="33"/>
      <c r="AM746" s="33"/>
      <c r="AN746" s="33"/>
      <c r="AO746" s="33"/>
      <c r="AP746" s="33"/>
    </row>
    <row r="747" spans="2:42" ht="25.5" customHeight="1"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L747" s="33"/>
      <c r="AM747" s="33"/>
      <c r="AN747" s="33"/>
      <c r="AO747" s="33"/>
      <c r="AP747" s="33"/>
    </row>
    <row r="748" spans="2:42" ht="25.5" customHeight="1"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L748" s="33"/>
      <c r="AM748" s="33"/>
      <c r="AN748" s="33"/>
      <c r="AO748" s="33"/>
      <c r="AP748" s="33"/>
    </row>
    <row r="749" spans="2:42" ht="25.5" customHeight="1"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L749" s="33"/>
      <c r="AM749" s="33"/>
      <c r="AN749" s="33"/>
      <c r="AO749" s="33"/>
      <c r="AP749" s="33"/>
    </row>
    <row r="750" spans="2:42" ht="25.5" customHeight="1"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L750" s="33"/>
      <c r="AM750" s="33"/>
      <c r="AN750" s="33"/>
      <c r="AO750" s="33"/>
      <c r="AP750" s="33"/>
    </row>
    <row r="751" spans="2:42" ht="25.5" customHeight="1"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L751" s="33"/>
      <c r="AM751" s="33"/>
      <c r="AN751" s="33"/>
      <c r="AO751" s="33"/>
      <c r="AP751" s="33"/>
    </row>
    <row r="752" spans="2:42" ht="25.5" customHeight="1"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L752" s="33"/>
      <c r="AM752" s="33"/>
      <c r="AN752" s="33"/>
      <c r="AO752" s="33"/>
      <c r="AP752" s="33"/>
    </row>
    <row r="753" spans="2:42" ht="25.5" customHeight="1"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L753" s="33"/>
      <c r="AM753" s="33"/>
      <c r="AN753" s="33"/>
      <c r="AO753" s="33"/>
      <c r="AP753" s="33"/>
    </row>
    <row r="754" spans="2:42" ht="25.5" customHeight="1"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L754" s="33"/>
      <c r="AM754" s="33"/>
      <c r="AN754" s="33"/>
      <c r="AO754" s="33"/>
      <c r="AP754" s="33"/>
    </row>
    <row r="755" spans="2:42" ht="25.5" customHeight="1"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L755" s="33"/>
      <c r="AM755" s="33"/>
      <c r="AN755" s="33"/>
      <c r="AO755" s="33"/>
      <c r="AP755" s="33"/>
    </row>
    <row r="756" spans="2:42" ht="25.5" customHeight="1"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L756" s="33"/>
      <c r="AM756" s="33"/>
      <c r="AN756" s="33"/>
      <c r="AO756" s="33"/>
      <c r="AP756" s="33"/>
    </row>
    <row r="757" spans="2:42" ht="25.5" customHeight="1"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L757" s="33"/>
      <c r="AM757" s="33"/>
      <c r="AN757" s="33"/>
      <c r="AO757" s="33"/>
      <c r="AP757" s="33"/>
    </row>
    <row r="758" spans="2:42" ht="25.5" customHeight="1"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L758" s="33"/>
      <c r="AM758" s="33"/>
      <c r="AN758" s="33"/>
      <c r="AO758" s="33"/>
      <c r="AP758" s="33"/>
    </row>
    <row r="759" spans="2:42" ht="25.5" customHeight="1"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L759" s="33"/>
      <c r="AM759" s="33"/>
      <c r="AN759" s="33"/>
      <c r="AO759" s="33"/>
      <c r="AP759" s="33"/>
    </row>
    <row r="760" spans="2:42" ht="25.5" customHeight="1"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L760" s="33"/>
      <c r="AM760" s="33"/>
      <c r="AN760" s="33"/>
      <c r="AO760" s="33"/>
      <c r="AP760" s="33"/>
    </row>
    <row r="761" spans="2:42" ht="25.5" customHeight="1"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L761" s="33"/>
      <c r="AM761" s="33"/>
      <c r="AN761" s="33"/>
      <c r="AO761" s="33"/>
      <c r="AP761" s="33"/>
    </row>
    <row r="762" spans="2:42" ht="25.5" customHeight="1"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L762" s="33"/>
      <c r="AM762" s="33"/>
      <c r="AN762" s="33"/>
      <c r="AO762" s="33"/>
      <c r="AP762" s="33"/>
    </row>
    <row r="763" spans="2:42" ht="25.5" customHeight="1"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L763" s="33"/>
      <c r="AM763" s="33"/>
      <c r="AN763" s="33"/>
      <c r="AO763" s="33"/>
      <c r="AP763" s="33"/>
    </row>
    <row r="764" spans="2:42" ht="25.5" customHeight="1"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L764" s="33"/>
      <c r="AM764" s="33"/>
      <c r="AN764" s="33"/>
      <c r="AO764" s="33"/>
      <c r="AP764" s="33"/>
    </row>
    <row r="765" spans="2:42" ht="25.5" customHeight="1"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L765" s="33"/>
      <c r="AM765" s="33"/>
      <c r="AN765" s="33"/>
      <c r="AO765" s="33"/>
      <c r="AP765" s="33"/>
    </row>
    <row r="766" spans="2:42" ht="25.5" customHeight="1"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L766" s="33"/>
      <c r="AM766" s="33"/>
      <c r="AN766" s="33"/>
      <c r="AO766" s="33"/>
      <c r="AP766" s="33"/>
    </row>
    <row r="767" spans="2:42" ht="25.5" customHeight="1"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L767" s="33"/>
      <c r="AM767" s="33"/>
      <c r="AN767" s="33"/>
      <c r="AO767" s="33"/>
      <c r="AP767" s="33"/>
    </row>
    <row r="768" spans="2:42" ht="25.5" customHeight="1"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L768" s="33"/>
      <c r="AM768" s="33"/>
      <c r="AN768" s="33"/>
      <c r="AO768" s="33"/>
      <c r="AP768" s="33"/>
    </row>
    <row r="769" spans="2:42" ht="25.5" customHeight="1"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L769" s="33"/>
      <c r="AM769" s="33"/>
      <c r="AN769" s="33"/>
      <c r="AO769" s="33"/>
      <c r="AP769" s="33"/>
    </row>
    <row r="770" spans="2:42" ht="25.5" customHeight="1"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L770" s="33"/>
      <c r="AM770" s="33"/>
      <c r="AN770" s="33"/>
      <c r="AO770" s="33"/>
      <c r="AP770" s="33"/>
    </row>
    <row r="771" spans="2:42" ht="25.5" customHeight="1"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L771" s="33"/>
      <c r="AM771" s="33"/>
      <c r="AN771" s="33"/>
      <c r="AO771" s="33"/>
      <c r="AP771" s="33"/>
    </row>
    <row r="772" spans="2:42" ht="25.5" customHeight="1"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L772" s="33"/>
      <c r="AM772" s="33"/>
      <c r="AN772" s="33"/>
      <c r="AO772" s="33"/>
      <c r="AP772" s="33"/>
    </row>
    <row r="773" spans="2:42" ht="25.5" customHeight="1"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L773" s="33"/>
      <c r="AM773" s="33"/>
      <c r="AN773" s="33"/>
      <c r="AO773" s="33"/>
      <c r="AP773" s="33"/>
    </row>
    <row r="774" spans="2:42" ht="25.5" customHeight="1"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L774" s="33"/>
      <c r="AM774" s="33"/>
      <c r="AN774" s="33"/>
      <c r="AO774" s="33"/>
      <c r="AP774" s="33"/>
    </row>
    <row r="775" spans="2:42" ht="25.5" customHeight="1"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L775" s="33"/>
      <c r="AM775" s="33"/>
      <c r="AN775" s="33"/>
      <c r="AO775" s="33"/>
      <c r="AP775" s="33"/>
    </row>
    <row r="776" spans="2:42" ht="25.5" customHeight="1"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L776" s="33"/>
      <c r="AM776" s="33"/>
      <c r="AN776" s="33"/>
      <c r="AO776" s="33"/>
      <c r="AP776" s="33"/>
    </row>
    <row r="777" spans="2:42" ht="25.5" customHeight="1"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L777" s="33"/>
      <c r="AM777" s="33"/>
      <c r="AN777" s="33"/>
      <c r="AO777" s="33"/>
      <c r="AP777" s="33"/>
    </row>
    <row r="778" spans="2:42" ht="25.5" customHeight="1"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L778" s="33"/>
      <c r="AM778" s="33"/>
      <c r="AN778" s="33"/>
      <c r="AO778" s="33"/>
      <c r="AP778" s="33"/>
    </row>
    <row r="779" spans="2:42" ht="25.5" customHeight="1"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L779" s="33"/>
      <c r="AM779" s="33"/>
      <c r="AN779" s="33"/>
      <c r="AO779" s="33"/>
      <c r="AP779" s="33"/>
    </row>
    <row r="780" spans="2:42" ht="25.5" customHeight="1"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L780" s="33"/>
      <c r="AM780" s="33"/>
      <c r="AN780" s="33"/>
      <c r="AO780" s="33"/>
      <c r="AP780" s="33"/>
    </row>
    <row r="781" spans="2:42" ht="25.5" customHeight="1"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L781" s="33"/>
      <c r="AM781" s="33"/>
      <c r="AN781" s="33"/>
      <c r="AO781" s="33"/>
      <c r="AP781" s="33"/>
    </row>
    <row r="782" spans="2:42" ht="25.5" customHeight="1"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L782" s="33"/>
      <c r="AM782" s="33"/>
      <c r="AN782" s="33"/>
      <c r="AO782" s="33"/>
      <c r="AP782" s="33"/>
    </row>
    <row r="783" spans="2:42" ht="25.5" customHeight="1"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L783" s="33"/>
      <c r="AM783" s="33"/>
      <c r="AN783" s="33"/>
      <c r="AO783" s="33"/>
      <c r="AP783" s="33"/>
    </row>
    <row r="784" spans="2:42" ht="25.5" customHeight="1"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L784" s="33"/>
      <c r="AM784" s="33"/>
      <c r="AN784" s="33"/>
      <c r="AO784" s="33"/>
      <c r="AP784" s="33"/>
    </row>
    <row r="785" spans="2:42" ht="25.5" customHeight="1"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L785" s="33"/>
      <c r="AM785" s="33"/>
      <c r="AN785" s="33"/>
      <c r="AO785" s="33"/>
      <c r="AP785" s="33"/>
    </row>
    <row r="786" spans="2:42" ht="25.5" customHeight="1"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L786" s="33"/>
      <c r="AM786" s="33"/>
      <c r="AN786" s="33"/>
      <c r="AO786" s="33"/>
      <c r="AP786" s="33"/>
    </row>
    <row r="787" spans="2:42" ht="25.5" customHeight="1"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L787" s="33"/>
      <c r="AM787" s="33"/>
      <c r="AN787" s="33"/>
      <c r="AO787" s="33"/>
      <c r="AP787" s="33"/>
    </row>
    <row r="788" spans="2:42" ht="25.5" customHeight="1"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L788" s="33"/>
      <c r="AM788" s="33"/>
      <c r="AN788" s="33"/>
      <c r="AO788" s="33"/>
      <c r="AP788" s="33"/>
    </row>
    <row r="789" spans="2:42" ht="25.5" customHeight="1"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L789" s="33"/>
      <c r="AM789" s="33"/>
      <c r="AN789" s="33"/>
      <c r="AO789" s="33"/>
      <c r="AP789" s="33"/>
    </row>
    <row r="790" spans="2:42" ht="25.5" customHeight="1"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L790" s="33"/>
      <c r="AM790" s="33"/>
      <c r="AN790" s="33"/>
      <c r="AO790" s="33"/>
      <c r="AP790" s="33"/>
    </row>
    <row r="791" spans="2:42" ht="25.5" customHeight="1"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L791" s="33"/>
      <c r="AM791" s="33"/>
      <c r="AN791" s="33"/>
      <c r="AO791" s="33"/>
      <c r="AP791" s="33"/>
    </row>
    <row r="792" spans="2:42" ht="25.5" customHeight="1"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L792" s="33"/>
      <c r="AM792" s="33"/>
      <c r="AN792" s="33"/>
      <c r="AO792" s="33"/>
      <c r="AP792" s="33"/>
    </row>
    <row r="793" spans="2:42" ht="25.5" customHeight="1"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L793" s="33"/>
      <c r="AM793" s="33"/>
      <c r="AN793" s="33"/>
      <c r="AO793" s="33"/>
      <c r="AP793" s="33"/>
    </row>
    <row r="794" spans="2:42" ht="25.5" customHeight="1"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L794" s="33"/>
      <c r="AM794" s="33"/>
      <c r="AN794" s="33"/>
      <c r="AO794" s="33"/>
      <c r="AP794" s="33"/>
    </row>
    <row r="795" spans="2:42" ht="25.5" customHeight="1"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L795" s="33"/>
      <c r="AM795" s="33"/>
      <c r="AN795" s="33"/>
      <c r="AO795" s="33"/>
      <c r="AP795" s="33"/>
    </row>
    <row r="796" spans="2:42" ht="25.5" customHeight="1"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L796" s="33"/>
      <c r="AM796" s="33"/>
      <c r="AN796" s="33"/>
      <c r="AO796" s="33"/>
      <c r="AP796" s="33"/>
    </row>
    <row r="797" spans="2:42" ht="25.5" customHeight="1"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L797" s="33"/>
      <c r="AM797" s="33"/>
      <c r="AN797" s="33"/>
      <c r="AO797" s="33"/>
      <c r="AP797" s="33"/>
    </row>
    <row r="798" spans="2:42" ht="25.5" customHeight="1"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L798" s="33"/>
      <c r="AM798" s="33"/>
      <c r="AN798" s="33"/>
      <c r="AO798" s="33"/>
      <c r="AP798" s="33"/>
    </row>
    <row r="799" spans="2:42" ht="25.5" customHeight="1"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L799" s="33"/>
      <c r="AM799" s="33"/>
      <c r="AN799" s="33"/>
      <c r="AO799" s="33"/>
      <c r="AP799" s="33"/>
    </row>
    <row r="800" spans="2:42" ht="25.5" customHeight="1"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L800" s="33"/>
      <c r="AM800" s="33"/>
      <c r="AN800" s="33"/>
      <c r="AO800" s="33"/>
      <c r="AP800" s="33"/>
    </row>
    <row r="801" spans="2:42" ht="25.5" customHeight="1"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L801" s="33"/>
      <c r="AM801" s="33"/>
      <c r="AN801" s="33"/>
      <c r="AO801" s="33"/>
      <c r="AP801" s="33"/>
    </row>
    <row r="802" spans="2:42" ht="25.5" customHeight="1"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L802" s="33"/>
      <c r="AM802" s="33"/>
      <c r="AN802" s="33"/>
      <c r="AO802" s="33"/>
      <c r="AP802" s="33"/>
    </row>
    <row r="803" spans="2:42" ht="25.5" customHeight="1"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L803" s="33"/>
      <c r="AM803" s="33"/>
      <c r="AN803" s="33"/>
      <c r="AO803" s="33"/>
      <c r="AP803" s="33"/>
    </row>
    <row r="804" spans="2:42" ht="25.5" customHeight="1"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L804" s="33"/>
      <c r="AM804" s="33"/>
      <c r="AN804" s="33"/>
      <c r="AO804" s="33"/>
      <c r="AP804" s="33"/>
    </row>
    <row r="805" spans="2:42" ht="25.5" customHeight="1"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L805" s="33"/>
      <c r="AM805" s="33"/>
      <c r="AN805" s="33"/>
      <c r="AO805" s="33"/>
      <c r="AP805" s="33"/>
    </row>
    <row r="806" spans="2:42" ht="25.5" customHeight="1"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L806" s="33"/>
      <c r="AM806" s="33"/>
      <c r="AN806" s="33"/>
      <c r="AO806" s="33"/>
      <c r="AP806" s="33"/>
    </row>
    <row r="807" spans="2:42" ht="25.5" customHeight="1"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L807" s="33"/>
      <c r="AM807" s="33"/>
      <c r="AN807" s="33"/>
      <c r="AO807" s="33"/>
      <c r="AP807" s="33"/>
    </row>
    <row r="808" spans="2:42" ht="25.5" customHeight="1"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L808" s="33"/>
      <c r="AM808" s="33"/>
      <c r="AN808" s="33"/>
      <c r="AO808" s="33"/>
      <c r="AP808" s="33"/>
    </row>
    <row r="809" spans="2:42" ht="25.5" customHeight="1"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L809" s="33"/>
      <c r="AM809" s="33"/>
      <c r="AN809" s="33"/>
      <c r="AO809" s="33"/>
      <c r="AP809" s="33"/>
    </row>
    <row r="810" spans="2:42" ht="25.5" customHeight="1"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L810" s="33"/>
      <c r="AM810" s="33"/>
      <c r="AN810" s="33"/>
      <c r="AO810" s="33"/>
      <c r="AP810" s="33"/>
    </row>
    <row r="811" spans="2:42" ht="25.5" customHeight="1"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L811" s="33"/>
      <c r="AM811" s="33"/>
      <c r="AN811" s="33"/>
      <c r="AO811" s="33"/>
      <c r="AP811" s="33"/>
    </row>
    <row r="812" spans="2:42" ht="25.5" customHeight="1"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L812" s="33"/>
      <c r="AM812" s="33"/>
      <c r="AN812" s="33"/>
      <c r="AO812" s="33"/>
      <c r="AP812" s="33"/>
    </row>
    <row r="813" spans="2:42" ht="25.5" customHeight="1"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L813" s="33"/>
      <c r="AM813" s="33"/>
      <c r="AN813" s="33"/>
      <c r="AO813" s="33"/>
      <c r="AP813" s="33"/>
    </row>
    <row r="814" spans="2:42" ht="25.5" customHeight="1"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L814" s="33"/>
      <c r="AM814" s="33"/>
      <c r="AN814" s="33"/>
      <c r="AO814" s="33"/>
      <c r="AP814" s="33"/>
    </row>
    <row r="815" spans="2:42" ht="25.5" customHeight="1"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L815" s="33"/>
      <c r="AM815" s="33"/>
      <c r="AN815" s="33"/>
      <c r="AO815" s="33"/>
      <c r="AP815" s="33"/>
    </row>
    <row r="816" spans="2:42" ht="25.5" customHeight="1"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L816" s="33"/>
      <c r="AM816" s="33"/>
      <c r="AN816" s="33"/>
      <c r="AO816" s="33"/>
      <c r="AP816" s="33"/>
    </row>
    <row r="817" spans="2:42" ht="25.5" customHeight="1"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L817" s="33"/>
      <c r="AM817" s="33"/>
      <c r="AN817" s="33"/>
      <c r="AO817" s="33"/>
      <c r="AP817" s="33"/>
    </row>
    <row r="818" spans="2:42" ht="25.5" customHeight="1"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L818" s="33"/>
      <c r="AM818" s="33"/>
      <c r="AN818" s="33"/>
      <c r="AO818" s="33"/>
      <c r="AP818" s="33"/>
    </row>
    <row r="819" spans="2:42" ht="25.5" customHeight="1"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L819" s="33"/>
      <c r="AM819" s="33"/>
      <c r="AN819" s="33"/>
      <c r="AO819" s="33"/>
      <c r="AP819" s="33"/>
    </row>
    <row r="820" spans="2:42" ht="25.5" customHeight="1"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L820" s="33"/>
      <c r="AM820" s="33"/>
      <c r="AN820" s="33"/>
      <c r="AO820" s="33"/>
      <c r="AP820" s="33"/>
    </row>
    <row r="821" spans="2:42" ht="25.5" customHeight="1"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L821" s="33"/>
      <c r="AM821" s="33"/>
      <c r="AN821" s="33"/>
      <c r="AO821" s="33"/>
      <c r="AP821" s="33"/>
    </row>
    <row r="822" spans="2:42" ht="25.5" customHeight="1"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L822" s="33"/>
      <c r="AM822" s="33"/>
      <c r="AN822" s="33"/>
      <c r="AO822" s="33"/>
      <c r="AP822" s="33"/>
    </row>
    <row r="823" spans="2:42" ht="25.5" customHeight="1"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L823" s="33"/>
      <c r="AM823" s="33"/>
      <c r="AN823" s="33"/>
      <c r="AO823" s="33"/>
      <c r="AP823" s="33"/>
    </row>
    <row r="824" spans="2:42" ht="25.5" customHeight="1"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L824" s="33"/>
      <c r="AM824" s="33"/>
      <c r="AN824" s="33"/>
      <c r="AO824" s="33"/>
      <c r="AP824" s="33"/>
    </row>
    <row r="825" spans="2:42" ht="25.5" customHeight="1"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L825" s="33"/>
      <c r="AM825" s="33"/>
      <c r="AN825" s="33"/>
      <c r="AO825" s="33"/>
      <c r="AP825" s="33"/>
    </row>
    <row r="826" spans="2:42" ht="25.5" customHeight="1"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L826" s="33"/>
      <c r="AM826" s="33"/>
      <c r="AN826" s="33"/>
      <c r="AO826" s="33"/>
      <c r="AP826" s="33"/>
    </row>
    <row r="827" spans="2:42" ht="25.5" customHeight="1"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L827" s="33"/>
      <c r="AM827" s="33"/>
      <c r="AN827" s="33"/>
      <c r="AO827" s="33"/>
      <c r="AP827" s="33"/>
    </row>
    <row r="828" spans="2:42" ht="25.5" customHeight="1"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L828" s="33"/>
      <c r="AM828" s="33"/>
      <c r="AN828" s="33"/>
      <c r="AO828" s="33"/>
      <c r="AP828" s="33"/>
    </row>
    <row r="829" spans="2:42" ht="25.5" customHeight="1"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L829" s="33"/>
      <c r="AM829" s="33"/>
      <c r="AN829" s="33"/>
      <c r="AO829" s="33"/>
      <c r="AP829" s="33"/>
    </row>
    <row r="830" spans="2:42" ht="25.5" customHeight="1"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L830" s="33"/>
      <c r="AM830" s="33"/>
      <c r="AN830" s="33"/>
      <c r="AO830" s="33"/>
      <c r="AP830" s="33"/>
    </row>
    <row r="831" spans="2:42" ht="25.5" customHeight="1"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L831" s="33"/>
      <c r="AM831" s="33"/>
      <c r="AN831" s="33"/>
      <c r="AO831" s="33"/>
      <c r="AP831" s="33"/>
    </row>
    <row r="832" spans="2:42" ht="25.5" customHeight="1"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L832" s="33"/>
      <c r="AM832" s="33"/>
      <c r="AN832" s="33"/>
      <c r="AO832" s="33"/>
      <c r="AP832" s="33"/>
    </row>
    <row r="833" spans="2:42" ht="25.5" customHeight="1"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L833" s="33"/>
      <c r="AM833" s="33"/>
      <c r="AN833" s="33"/>
      <c r="AO833" s="33"/>
      <c r="AP833" s="33"/>
    </row>
    <row r="834" spans="2:42" ht="25.5" customHeight="1"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L834" s="33"/>
      <c r="AM834" s="33"/>
      <c r="AN834" s="33"/>
      <c r="AO834" s="33"/>
      <c r="AP834" s="33"/>
    </row>
    <row r="835" spans="2:42" ht="25.5" customHeight="1"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L835" s="33"/>
      <c r="AM835" s="33"/>
      <c r="AN835" s="33"/>
      <c r="AO835" s="33"/>
      <c r="AP835" s="33"/>
    </row>
    <row r="836" spans="2:42" ht="25.5" customHeight="1"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L836" s="33"/>
      <c r="AM836" s="33"/>
      <c r="AN836" s="33"/>
      <c r="AO836" s="33"/>
      <c r="AP836" s="33"/>
    </row>
    <row r="837" spans="2:42" ht="25.5" customHeight="1"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L837" s="33"/>
      <c r="AM837" s="33"/>
      <c r="AN837" s="33"/>
      <c r="AO837" s="33"/>
      <c r="AP837" s="33"/>
    </row>
    <row r="838" spans="2:42" ht="25.5" customHeight="1"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L838" s="33"/>
      <c r="AM838" s="33"/>
      <c r="AN838" s="33"/>
      <c r="AO838" s="33"/>
      <c r="AP838" s="33"/>
    </row>
    <row r="839" spans="2:42" ht="25.5" customHeight="1"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L839" s="33"/>
      <c r="AM839" s="33"/>
      <c r="AN839" s="33"/>
      <c r="AO839" s="33"/>
      <c r="AP839" s="33"/>
    </row>
    <row r="840" spans="2:42" ht="25.5" customHeight="1"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L840" s="33"/>
      <c r="AM840" s="33"/>
      <c r="AN840" s="33"/>
      <c r="AO840" s="33"/>
      <c r="AP840" s="33"/>
    </row>
    <row r="841" spans="2:42" ht="25.5" customHeight="1"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L841" s="33"/>
      <c r="AM841" s="33"/>
      <c r="AN841" s="33"/>
      <c r="AO841" s="33"/>
      <c r="AP841" s="33"/>
    </row>
    <row r="842" spans="2:42" ht="25.5" customHeight="1"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L842" s="33"/>
      <c r="AM842" s="33"/>
      <c r="AN842" s="33"/>
      <c r="AO842" s="33"/>
      <c r="AP842" s="33"/>
    </row>
    <row r="843" spans="2:42" ht="25.5" customHeight="1"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L843" s="33"/>
      <c r="AM843" s="33"/>
      <c r="AN843" s="33"/>
      <c r="AO843" s="33"/>
      <c r="AP843" s="33"/>
    </row>
    <row r="844" spans="2:42" ht="25.5" customHeight="1"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L844" s="33"/>
      <c r="AM844" s="33"/>
      <c r="AN844" s="33"/>
      <c r="AO844" s="33"/>
      <c r="AP844" s="33"/>
    </row>
    <row r="845" spans="2:42" ht="25.5" customHeight="1"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L845" s="33"/>
      <c r="AM845" s="33"/>
      <c r="AN845" s="33"/>
      <c r="AO845" s="33"/>
      <c r="AP845" s="33"/>
    </row>
    <row r="846" spans="2:42" ht="25.5" customHeight="1"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L846" s="33"/>
      <c r="AM846" s="33"/>
      <c r="AN846" s="33"/>
      <c r="AO846" s="33"/>
      <c r="AP846" s="33"/>
    </row>
    <row r="847" spans="2:42" ht="25.5" customHeight="1"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L847" s="33"/>
      <c r="AM847" s="33"/>
      <c r="AN847" s="33"/>
      <c r="AO847" s="33"/>
      <c r="AP847" s="33"/>
    </row>
    <row r="848" spans="2:42" ht="25.5" customHeight="1"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L848" s="33"/>
      <c r="AM848" s="33"/>
      <c r="AN848" s="33"/>
      <c r="AO848" s="33"/>
      <c r="AP848" s="33"/>
    </row>
    <row r="849" spans="2:42" ht="25.5" customHeight="1"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L849" s="33"/>
      <c r="AM849" s="33"/>
      <c r="AN849" s="33"/>
      <c r="AO849" s="33"/>
      <c r="AP849" s="33"/>
    </row>
    <row r="850" spans="2:42" ht="25.5" customHeight="1"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L850" s="33"/>
      <c r="AM850" s="33"/>
      <c r="AN850" s="33"/>
      <c r="AO850" s="33"/>
      <c r="AP850" s="33"/>
    </row>
    <row r="851" spans="2:42" ht="25.5" customHeight="1"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L851" s="33"/>
      <c r="AM851" s="33"/>
      <c r="AN851" s="33"/>
      <c r="AO851" s="33"/>
      <c r="AP851" s="33"/>
    </row>
    <row r="852" spans="2:42" ht="25.5" customHeight="1"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L852" s="33"/>
      <c r="AM852" s="33"/>
      <c r="AN852" s="33"/>
      <c r="AO852" s="33"/>
      <c r="AP852" s="33"/>
    </row>
    <row r="853" spans="2:42" ht="25.5" customHeight="1"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L853" s="33"/>
      <c r="AM853" s="33"/>
      <c r="AN853" s="33"/>
      <c r="AO853" s="33"/>
      <c r="AP853" s="33"/>
    </row>
    <row r="854" spans="2:42" ht="25.5" customHeight="1"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L854" s="33"/>
      <c r="AM854" s="33"/>
      <c r="AN854" s="33"/>
      <c r="AO854" s="33"/>
      <c r="AP854" s="33"/>
    </row>
    <row r="855" spans="2:42" ht="25.5" customHeight="1"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L855" s="33"/>
      <c r="AM855" s="33"/>
      <c r="AN855" s="33"/>
      <c r="AO855" s="33"/>
      <c r="AP855" s="33"/>
    </row>
    <row r="856" spans="2:42" ht="25.5" customHeight="1"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L856" s="33"/>
      <c r="AM856" s="33"/>
      <c r="AN856" s="33"/>
      <c r="AO856" s="33"/>
      <c r="AP856" s="33"/>
    </row>
    <row r="857" spans="2:42" ht="25.5" customHeight="1"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L857" s="33"/>
      <c r="AM857" s="33"/>
      <c r="AN857" s="33"/>
      <c r="AO857" s="33"/>
      <c r="AP857" s="33"/>
    </row>
    <row r="858" spans="2:42" ht="25.5" customHeight="1"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L858" s="33"/>
      <c r="AM858" s="33"/>
      <c r="AN858" s="33"/>
      <c r="AO858" s="33"/>
      <c r="AP858" s="33"/>
    </row>
    <row r="859" spans="2:42" ht="25.5" customHeight="1"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L859" s="33"/>
      <c r="AM859" s="33"/>
      <c r="AN859" s="33"/>
      <c r="AO859" s="33"/>
      <c r="AP859" s="33"/>
    </row>
    <row r="860" spans="2:42" ht="25.5" customHeight="1"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L860" s="33"/>
      <c r="AM860" s="33"/>
      <c r="AN860" s="33"/>
      <c r="AO860" s="33"/>
      <c r="AP860" s="33"/>
    </row>
    <row r="861" spans="2:42" ht="25.5" customHeight="1"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L861" s="33"/>
      <c r="AM861" s="33"/>
      <c r="AN861" s="33"/>
      <c r="AO861" s="33"/>
      <c r="AP861" s="33"/>
    </row>
    <row r="862" spans="2:42" ht="25.5" customHeight="1"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L862" s="33"/>
      <c r="AM862" s="33"/>
      <c r="AN862" s="33"/>
      <c r="AO862" s="33"/>
      <c r="AP862" s="33"/>
    </row>
    <row r="863" spans="2:42" ht="25.5" customHeight="1"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L863" s="33"/>
      <c r="AM863" s="33"/>
      <c r="AN863" s="33"/>
      <c r="AO863" s="33"/>
      <c r="AP863" s="33"/>
    </row>
    <row r="864" spans="2:42" ht="25.5" customHeight="1"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L864" s="33"/>
      <c r="AM864" s="33"/>
      <c r="AN864" s="33"/>
      <c r="AO864" s="33"/>
      <c r="AP864" s="33"/>
    </row>
    <row r="865" spans="2:42" ht="25.5" customHeight="1"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L865" s="33"/>
      <c r="AM865" s="33"/>
      <c r="AN865" s="33"/>
      <c r="AO865" s="33"/>
      <c r="AP865" s="33"/>
    </row>
    <row r="866" spans="2:42" ht="25.5" customHeight="1"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L866" s="33"/>
      <c r="AM866" s="33"/>
      <c r="AN866" s="33"/>
      <c r="AO866" s="33"/>
      <c r="AP866" s="33"/>
    </row>
    <row r="867" spans="2:42" ht="25.5" customHeight="1"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L867" s="33"/>
      <c r="AM867" s="33"/>
      <c r="AN867" s="33"/>
      <c r="AO867" s="33"/>
      <c r="AP867" s="33"/>
    </row>
    <row r="868" spans="2:42" ht="25.5" customHeight="1"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L868" s="33"/>
      <c r="AM868" s="33"/>
      <c r="AN868" s="33"/>
      <c r="AO868" s="33"/>
      <c r="AP868" s="33"/>
    </row>
    <row r="869" spans="2:42" ht="25.5" customHeight="1"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L869" s="33"/>
      <c r="AM869" s="33"/>
      <c r="AN869" s="33"/>
      <c r="AO869" s="33"/>
      <c r="AP869" s="33"/>
    </row>
    <row r="870" spans="2:42" ht="25.5" customHeight="1"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L870" s="33"/>
      <c r="AM870" s="33"/>
      <c r="AN870" s="33"/>
      <c r="AO870" s="33"/>
      <c r="AP870" s="33"/>
    </row>
    <row r="871" spans="2:42" ht="25.5" customHeight="1"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L871" s="33"/>
      <c r="AM871" s="33"/>
      <c r="AN871" s="33"/>
      <c r="AO871" s="33"/>
      <c r="AP871" s="33"/>
    </row>
    <row r="872" spans="2:42" ht="25.5" customHeight="1"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L872" s="33"/>
      <c r="AM872" s="33"/>
      <c r="AN872" s="33"/>
      <c r="AO872" s="33"/>
      <c r="AP872" s="33"/>
    </row>
    <row r="873" spans="2:42" ht="25.5" customHeight="1"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L873" s="33"/>
      <c r="AM873" s="33"/>
      <c r="AN873" s="33"/>
      <c r="AO873" s="33"/>
      <c r="AP873" s="33"/>
    </row>
    <row r="874" spans="2:42" ht="25.5" customHeight="1"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L874" s="33"/>
      <c r="AM874" s="33"/>
      <c r="AN874" s="33"/>
      <c r="AO874" s="33"/>
      <c r="AP874" s="33"/>
    </row>
    <row r="875" spans="2:42" ht="25.5" customHeight="1"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L875" s="33"/>
      <c r="AM875" s="33"/>
      <c r="AN875" s="33"/>
      <c r="AO875" s="33"/>
      <c r="AP875" s="33"/>
    </row>
    <row r="876" spans="2:42" ht="25.5" customHeight="1"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L876" s="33"/>
      <c r="AM876" s="33"/>
      <c r="AN876" s="33"/>
      <c r="AO876" s="33"/>
      <c r="AP876" s="33"/>
    </row>
    <row r="877" spans="2:42" ht="25.5" customHeight="1"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L877" s="33"/>
      <c r="AM877" s="33"/>
      <c r="AN877" s="33"/>
      <c r="AO877" s="33"/>
      <c r="AP877" s="33"/>
    </row>
    <row r="878" spans="2:42" ht="25.5" customHeight="1"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L878" s="33"/>
      <c r="AM878" s="33"/>
      <c r="AN878" s="33"/>
      <c r="AO878" s="33"/>
      <c r="AP878" s="33"/>
    </row>
    <row r="879" spans="2:42" ht="25.5" customHeight="1"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L879" s="33"/>
      <c r="AM879" s="33"/>
      <c r="AN879" s="33"/>
      <c r="AO879" s="33"/>
      <c r="AP879" s="33"/>
    </row>
    <row r="880" spans="2:42" ht="25.5" customHeight="1"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L880" s="33"/>
      <c r="AM880" s="33"/>
      <c r="AN880" s="33"/>
      <c r="AO880" s="33"/>
      <c r="AP880" s="33"/>
    </row>
    <row r="881" spans="2:42" ht="25.5" customHeight="1"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L881" s="33"/>
      <c r="AM881" s="33"/>
      <c r="AN881" s="33"/>
      <c r="AO881" s="33"/>
      <c r="AP881" s="33"/>
    </row>
    <row r="882" spans="2:42" ht="25.5" customHeight="1"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L882" s="33"/>
      <c r="AM882" s="33"/>
      <c r="AN882" s="33"/>
      <c r="AO882" s="33"/>
      <c r="AP882" s="33"/>
    </row>
    <row r="883" spans="2:42" ht="25.5" customHeight="1"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L883" s="33"/>
      <c r="AM883" s="33"/>
      <c r="AN883" s="33"/>
      <c r="AO883" s="33"/>
      <c r="AP883" s="33"/>
    </row>
    <row r="884" spans="2:42" ht="25.5" customHeight="1"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L884" s="33"/>
      <c r="AM884" s="33"/>
      <c r="AN884" s="33"/>
      <c r="AO884" s="33"/>
      <c r="AP884" s="33"/>
    </row>
    <row r="885" spans="2:42" ht="25.5" customHeight="1"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L885" s="33"/>
      <c r="AM885" s="33"/>
      <c r="AN885" s="33"/>
      <c r="AO885" s="33"/>
      <c r="AP885" s="33"/>
    </row>
    <row r="886" spans="2:42" ht="25.5" customHeight="1"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L886" s="33"/>
      <c r="AM886" s="33"/>
      <c r="AN886" s="33"/>
      <c r="AO886" s="33"/>
      <c r="AP886" s="33"/>
    </row>
    <row r="887" spans="2:42" ht="25.5" customHeight="1"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L887" s="33"/>
      <c r="AM887" s="33"/>
      <c r="AN887" s="33"/>
      <c r="AO887" s="33"/>
      <c r="AP887" s="33"/>
    </row>
    <row r="888" spans="2:42" ht="25.5" customHeight="1"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L888" s="33"/>
      <c r="AM888" s="33"/>
      <c r="AN888" s="33"/>
      <c r="AO888" s="33"/>
      <c r="AP888" s="33"/>
    </row>
    <row r="889" spans="2:42" ht="25.5" customHeight="1"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L889" s="33"/>
      <c r="AM889" s="33"/>
      <c r="AN889" s="33"/>
      <c r="AO889" s="33"/>
      <c r="AP889" s="33"/>
    </row>
    <row r="890" spans="2:42" ht="25.5" customHeight="1"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L890" s="33"/>
      <c r="AM890" s="33"/>
      <c r="AN890" s="33"/>
      <c r="AO890" s="33"/>
      <c r="AP890" s="33"/>
    </row>
    <row r="891" spans="2:42" ht="25.5" customHeight="1"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L891" s="33"/>
      <c r="AM891" s="33"/>
      <c r="AN891" s="33"/>
      <c r="AO891" s="33"/>
      <c r="AP891" s="33"/>
    </row>
    <row r="892" spans="2:42" ht="25.5" customHeight="1"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L892" s="33"/>
      <c r="AM892" s="33"/>
      <c r="AN892" s="33"/>
      <c r="AO892" s="33"/>
      <c r="AP892" s="33"/>
    </row>
    <row r="893" spans="2:42" ht="25.5" customHeight="1"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L893" s="33"/>
      <c r="AM893" s="33"/>
      <c r="AN893" s="33"/>
      <c r="AO893" s="33"/>
      <c r="AP893" s="33"/>
    </row>
    <row r="894" spans="2:42" ht="25.5" customHeight="1"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L894" s="33"/>
      <c r="AM894" s="33"/>
      <c r="AN894" s="33"/>
      <c r="AO894" s="33"/>
      <c r="AP894" s="33"/>
    </row>
    <row r="895" spans="2:42" ht="25.5" customHeight="1"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L895" s="33"/>
      <c r="AM895" s="33"/>
      <c r="AN895" s="33"/>
      <c r="AO895" s="33"/>
      <c r="AP895" s="33"/>
    </row>
    <row r="896" spans="2:42" ht="25.5" customHeight="1"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L896" s="33"/>
      <c r="AM896" s="33"/>
      <c r="AN896" s="33"/>
      <c r="AO896" s="33"/>
      <c r="AP896" s="33"/>
    </row>
    <row r="897" spans="2:42" ht="25.5" customHeight="1"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L897" s="33"/>
      <c r="AM897" s="33"/>
      <c r="AN897" s="33"/>
      <c r="AO897" s="33"/>
      <c r="AP897" s="33"/>
    </row>
    <row r="898" spans="2:42" ht="25.5" customHeight="1"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L898" s="33"/>
      <c r="AM898" s="33"/>
      <c r="AN898" s="33"/>
      <c r="AO898" s="33"/>
      <c r="AP898" s="33"/>
    </row>
    <row r="899" spans="2:42" ht="25.5" customHeight="1"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L899" s="33"/>
      <c r="AM899" s="33"/>
      <c r="AN899" s="33"/>
      <c r="AO899" s="33"/>
      <c r="AP899" s="33"/>
    </row>
    <row r="900" spans="2:42" ht="25.5" customHeight="1"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L900" s="33"/>
      <c r="AM900" s="33"/>
      <c r="AN900" s="33"/>
      <c r="AO900" s="33"/>
      <c r="AP900" s="33"/>
    </row>
    <row r="901" spans="2:42" ht="25.5" customHeight="1"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L901" s="33"/>
      <c r="AM901" s="33"/>
      <c r="AN901" s="33"/>
      <c r="AO901" s="33"/>
      <c r="AP901" s="33"/>
    </row>
    <row r="902" spans="2:42" ht="25.5" customHeight="1"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L902" s="33"/>
      <c r="AM902" s="33"/>
      <c r="AN902" s="33"/>
      <c r="AO902" s="33"/>
      <c r="AP902" s="33"/>
    </row>
    <row r="903" spans="2:42" ht="25.5" customHeight="1"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L903" s="33"/>
      <c r="AM903" s="33"/>
      <c r="AN903" s="33"/>
      <c r="AO903" s="33"/>
      <c r="AP903" s="33"/>
    </row>
    <row r="904" spans="2:42" ht="25.5" customHeight="1"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L904" s="33"/>
      <c r="AM904" s="33"/>
      <c r="AN904" s="33"/>
      <c r="AO904" s="33"/>
      <c r="AP904" s="33"/>
    </row>
    <row r="905" spans="2:42" ht="25.5" customHeight="1"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L905" s="33"/>
      <c r="AM905" s="33"/>
      <c r="AN905" s="33"/>
      <c r="AO905" s="33"/>
      <c r="AP905" s="33"/>
    </row>
    <row r="906" spans="2:42" ht="25.5" customHeight="1"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L906" s="33"/>
      <c r="AM906" s="33"/>
      <c r="AN906" s="33"/>
      <c r="AO906" s="33"/>
      <c r="AP906" s="33"/>
    </row>
    <row r="907" spans="2:42" ht="25.5" customHeight="1"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L907" s="33"/>
      <c r="AM907" s="33"/>
      <c r="AN907" s="33"/>
      <c r="AO907" s="33"/>
      <c r="AP907" s="33"/>
    </row>
    <row r="908" spans="2:42" ht="25.5" customHeight="1"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L908" s="33"/>
      <c r="AM908" s="33"/>
      <c r="AN908" s="33"/>
      <c r="AO908" s="33"/>
      <c r="AP908" s="33"/>
    </row>
    <row r="909" spans="2:42" ht="25.5" customHeight="1"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L909" s="33"/>
      <c r="AM909" s="33"/>
      <c r="AN909" s="33"/>
      <c r="AO909" s="33"/>
      <c r="AP909" s="33"/>
    </row>
    <row r="910" spans="2:42" ht="25.5" customHeight="1"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L910" s="33"/>
      <c r="AM910" s="33"/>
      <c r="AN910" s="33"/>
      <c r="AO910" s="33"/>
      <c r="AP910" s="33"/>
    </row>
    <row r="911" spans="2:42" ht="25.5" customHeight="1"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L911" s="33"/>
      <c r="AM911" s="33"/>
      <c r="AN911" s="33"/>
      <c r="AO911" s="33"/>
      <c r="AP911" s="33"/>
    </row>
    <row r="912" spans="2:42" ht="25.5" customHeight="1"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L912" s="33"/>
      <c r="AM912" s="33"/>
      <c r="AN912" s="33"/>
      <c r="AO912" s="33"/>
      <c r="AP912" s="33"/>
    </row>
    <row r="913" spans="2:42" ht="25.5" customHeight="1"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L913" s="33"/>
      <c r="AM913" s="33"/>
      <c r="AN913" s="33"/>
      <c r="AO913" s="33"/>
      <c r="AP913" s="33"/>
    </row>
    <row r="914" spans="2:42" ht="25.5" customHeight="1"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L914" s="33"/>
      <c r="AM914" s="33"/>
      <c r="AN914" s="33"/>
      <c r="AO914" s="33"/>
      <c r="AP914" s="33"/>
    </row>
    <row r="915" spans="2:42" ht="25.5" customHeight="1"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L915" s="33"/>
      <c r="AM915" s="33"/>
      <c r="AN915" s="33"/>
      <c r="AO915" s="33"/>
      <c r="AP915" s="33"/>
    </row>
    <row r="916" spans="2:42" ht="25.5" customHeight="1"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L916" s="33"/>
      <c r="AM916" s="33"/>
      <c r="AN916" s="33"/>
      <c r="AO916" s="33"/>
      <c r="AP916" s="33"/>
    </row>
    <row r="917" spans="2:42" ht="25.5" customHeight="1"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L917" s="33"/>
      <c r="AM917" s="33"/>
      <c r="AN917" s="33"/>
      <c r="AO917" s="33"/>
      <c r="AP917" s="33"/>
    </row>
    <row r="918" spans="2:42" ht="25.5" customHeight="1"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L918" s="33"/>
      <c r="AM918" s="33"/>
      <c r="AN918" s="33"/>
      <c r="AO918" s="33"/>
      <c r="AP918" s="33"/>
    </row>
    <row r="919" spans="2:42" ht="25.5" customHeight="1"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L919" s="33"/>
      <c r="AM919" s="33"/>
      <c r="AN919" s="33"/>
      <c r="AO919" s="33"/>
      <c r="AP919" s="33"/>
    </row>
    <row r="920" spans="2:42" ht="25.5" customHeight="1"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L920" s="33"/>
      <c r="AM920" s="33"/>
      <c r="AN920" s="33"/>
      <c r="AO920" s="33"/>
      <c r="AP920" s="33"/>
    </row>
    <row r="921" spans="2:42" ht="25.5" customHeight="1"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L921" s="33"/>
      <c r="AM921" s="33"/>
      <c r="AN921" s="33"/>
      <c r="AO921" s="33"/>
      <c r="AP921" s="33"/>
    </row>
    <row r="922" spans="2:42" ht="25.5" customHeight="1"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L922" s="33"/>
      <c r="AM922" s="33"/>
      <c r="AN922" s="33"/>
      <c r="AO922" s="33"/>
      <c r="AP922" s="33"/>
    </row>
    <row r="923" spans="2:42" ht="25.5" customHeight="1"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L923" s="33"/>
      <c r="AM923" s="33"/>
      <c r="AN923" s="33"/>
      <c r="AO923" s="33"/>
      <c r="AP923" s="33"/>
    </row>
    <row r="924" spans="2:42" ht="25.5" customHeight="1"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L924" s="33"/>
      <c r="AM924" s="33"/>
      <c r="AN924" s="33"/>
      <c r="AO924" s="33"/>
      <c r="AP924" s="33"/>
    </row>
    <row r="925" spans="2:42" ht="25.5" customHeight="1"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L925" s="33"/>
      <c r="AM925" s="33"/>
      <c r="AN925" s="33"/>
      <c r="AO925" s="33"/>
      <c r="AP925" s="33"/>
    </row>
    <row r="926" spans="2:42" ht="25.5" customHeight="1"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L926" s="33"/>
      <c r="AM926" s="33"/>
      <c r="AN926" s="33"/>
      <c r="AO926" s="33"/>
      <c r="AP926" s="33"/>
    </row>
    <row r="927" spans="2:42" ht="25.5" customHeight="1"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L927" s="33"/>
      <c r="AM927" s="33"/>
      <c r="AN927" s="33"/>
      <c r="AO927" s="33"/>
      <c r="AP927" s="33"/>
    </row>
    <row r="928" spans="2:42" ht="25.5" customHeight="1"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L928" s="33"/>
      <c r="AM928" s="33"/>
      <c r="AN928" s="33"/>
      <c r="AO928" s="33"/>
      <c r="AP928" s="33"/>
    </row>
    <row r="929" spans="2:42" ht="25.5" customHeight="1"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L929" s="33"/>
      <c r="AM929" s="33"/>
      <c r="AN929" s="33"/>
      <c r="AO929" s="33"/>
      <c r="AP929" s="33"/>
    </row>
    <row r="930" spans="2:42" ht="25.5" customHeight="1"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L930" s="33"/>
      <c r="AM930" s="33"/>
      <c r="AN930" s="33"/>
      <c r="AO930" s="33"/>
      <c r="AP930" s="33"/>
    </row>
    <row r="931" spans="2:42" ht="25.5" customHeight="1"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L931" s="33"/>
      <c r="AM931" s="33"/>
      <c r="AN931" s="33"/>
      <c r="AO931" s="33"/>
      <c r="AP931" s="33"/>
    </row>
    <row r="932" spans="2:42" ht="25.5" customHeight="1"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L932" s="33"/>
      <c r="AM932" s="33"/>
      <c r="AN932" s="33"/>
      <c r="AO932" s="33"/>
      <c r="AP932" s="33"/>
    </row>
    <row r="933" spans="2:42" ht="25.5" customHeight="1"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L933" s="33"/>
      <c r="AM933" s="33"/>
      <c r="AN933" s="33"/>
      <c r="AO933" s="33"/>
      <c r="AP933" s="33"/>
    </row>
    <row r="934" spans="2:42" ht="25.5" customHeight="1"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L934" s="33"/>
      <c r="AM934" s="33"/>
      <c r="AN934" s="33"/>
      <c r="AO934" s="33"/>
      <c r="AP934" s="33"/>
    </row>
    <row r="935" spans="2:42" ht="25.5" customHeight="1"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L935" s="33"/>
      <c r="AM935" s="33"/>
      <c r="AN935" s="33"/>
      <c r="AO935" s="33"/>
      <c r="AP935" s="33"/>
    </row>
    <row r="936" spans="2:42" ht="25.5" customHeight="1"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L936" s="33"/>
      <c r="AM936" s="33"/>
      <c r="AN936" s="33"/>
      <c r="AO936" s="33"/>
      <c r="AP936" s="33"/>
    </row>
    <row r="937" spans="2:42" ht="25.5" customHeight="1"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L937" s="33"/>
      <c r="AM937" s="33"/>
      <c r="AN937" s="33"/>
      <c r="AO937" s="33"/>
      <c r="AP937" s="33"/>
    </row>
    <row r="938" spans="2:42" ht="25.5" customHeight="1"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L938" s="33"/>
      <c r="AM938" s="33"/>
      <c r="AN938" s="33"/>
      <c r="AO938" s="33"/>
      <c r="AP938" s="33"/>
    </row>
    <row r="939" spans="2:42" ht="25.5" customHeight="1"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L939" s="33"/>
      <c r="AM939" s="33"/>
      <c r="AN939" s="33"/>
      <c r="AO939" s="33"/>
      <c r="AP939" s="33"/>
    </row>
    <row r="940" spans="2:42" ht="25.5" customHeight="1"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L940" s="33"/>
      <c r="AM940" s="33"/>
      <c r="AN940" s="33"/>
      <c r="AO940" s="33"/>
      <c r="AP940" s="33"/>
    </row>
    <row r="941" spans="2:42" ht="25.5" customHeight="1"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L941" s="33"/>
      <c r="AM941" s="33"/>
      <c r="AN941" s="33"/>
      <c r="AO941" s="33"/>
      <c r="AP941" s="33"/>
    </row>
    <row r="942" spans="2:42" ht="25.5" customHeight="1"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L942" s="33"/>
      <c r="AM942" s="33"/>
      <c r="AN942" s="33"/>
      <c r="AO942" s="33"/>
      <c r="AP942" s="33"/>
    </row>
    <row r="943" spans="2:42" ht="25.5" customHeight="1"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L943" s="33"/>
      <c r="AM943" s="33"/>
      <c r="AN943" s="33"/>
      <c r="AO943" s="33"/>
      <c r="AP943" s="33"/>
    </row>
    <row r="944" spans="2:42" ht="25.5" customHeight="1"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L944" s="33"/>
      <c r="AM944" s="33"/>
      <c r="AN944" s="33"/>
      <c r="AO944" s="33"/>
      <c r="AP944" s="33"/>
    </row>
    <row r="945" spans="2:42" ht="25.5" customHeight="1"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L945" s="33"/>
      <c r="AM945" s="33"/>
      <c r="AN945" s="33"/>
      <c r="AO945" s="33"/>
      <c r="AP945" s="33"/>
    </row>
    <row r="946" spans="2:42" ht="25.5" customHeight="1"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L946" s="33"/>
      <c r="AM946" s="33"/>
      <c r="AN946" s="33"/>
      <c r="AO946" s="33"/>
      <c r="AP946" s="33"/>
    </row>
    <row r="947" spans="2:42" ht="25.5" customHeight="1"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L947" s="33"/>
      <c r="AM947" s="33"/>
      <c r="AN947" s="33"/>
      <c r="AO947" s="33"/>
      <c r="AP947" s="33"/>
    </row>
    <row r="948" spans="2:42" ht="25.5" customHeight="1"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L948" s="33"/>
      <c r="AM948" s="33"/>
      <c r="AN948" s="33"/>
      <c r="AO948" s="33"/>
      <c r="AP948" s="33"/>
    </row>
    <row r="949" spans="2:42" ht="25.5" customHeight="1"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L949" s="33"/>
      <c r="AM949" s="33"/>
      <c r="AN949" s="33"/>
      <c r="AO949" s="33"/>
      <c r="AP949" s="33"/>
    </row>
    <row r="950" spans="2:42" ht="25.5" customHeight="1"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L950" s="33"/>
      <c r="AM950" s="33"/>
      <c r="AN950" s="33"/>
      <c r="AO950" s="33"/>
      <c r="AP950" s="33"/>
    </row>
    <row r="951" spans="2:42" ht="25.5" customHeight="1"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L951" s="33"/>
      <c r="AM951" s="33"/>
      <c r="AN951" s="33"/>
      <c r="AO951" s="33"/>
      <c r="AP951" s="33"/>
    </row>
    <row r="952" spans="2:42" ht="25.5" customHeight="1"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L952" s="33"/>
      <c r="AM952" s="33"/>
      <c r="AN952" s="33"/>
      <c r="AO952" s="33"/>
      <c r="AP952" s="33"/>
    </row>
    <row r="953" spans="2:42" ht="25.5" customHeight="1"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L953" s="33"/>
      <c r="AM953" s="33"/>
      <c r="AN953" s="33"/>
      <c r="AO953" s="33"/>
      <c r="AP953" s="33"/>
    </row>
    <row r="954" spans="2:42" ht="25.5" customHeight="1"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L954" s="33"/>
      <c r="AM954" s="33"/>
      <c r="AN954" s="33"/>
      <c r="AO954" s="33"/>
      <c r="AP954" s="33"/>
    </row>
    <row r="955" spans="2:42" ht="25.5" customHeight="1"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L955" s="33"/>
      <c r="AM955" s="33"/>
      <c r="AN955" s="33"/>
      <c r="AO955" s="33"/>
      <c r="AP955" s="33"/>
    </row>
    <row r="956" spans="2:42" ht="25.5" customHeight="1"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L956" s="33"/>
      <c r="AM956" s="33"/>
      <c r="AN956" s="33"/>
      <c r="AO956" s="33"/>
      <c r="AP956" s="33"/>
    </row>
    <row r="957" spans="2:42" ht="25.5" customHeight="1"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L957" s="33"/>
      <c r="AM957" s="33"/>
      <c r="AN957" s="33"/>
      <c r="AO957" s="33"/>
      <c r="AP957" s="33"/>
    </row>
    <row r="958" spans="2:42" ht="25.5" customHeight="1"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L958" s="33"/>
      <c r="AM958" s="33"/>
      <c r="AN958" s="33"/>
      <c r="AO958" s="33"/>
      <c r="AP958" s="33"/>
    </row>
    <row r="959" spans="2:42" ht="25.5" customHeight="1"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L959" s="33"/>
      <c r="AM959" s="33"/>
      <c r="AN959" s="33"/>
      <c r="AO959" s="33"/>
      <c r="AP959" s="33"/>
    </row>
    <row r="960" spans="2:42" ht="25.5" customHeight="1"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L960" s="33"/>
      <c r="AM960" s="33"/>
      <c r="AN960" s="33"/>
      <c r="AO960" s="33"/>
      <c r="AP960" s="33"/>
    </row>
    <row r="961" spans="2:42" ht="25.5" customHeight="1"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L961" s="33"/>
      <c r="AM961" s="33"/>
      <c r="AN961" s="33"/>
      <c r="AO961" s="33"/>
      <c r="AP961" s="33"/>
    </row>
    <row r="962" spans="2:42" ht="25.5" customHeight="1"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L962" s="33"/>
      <c r="AM962" s="33"/>
      <c r="AN962" s="33"/>
      <c r="AO962" s="33"/>
      <c r="AP962" s="33"/>
    </row>
    <row r="963" spans="2:42" ht="25.5" customHeight="1"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L963" s="33"/>
      <c r="AM963" s="33"/>
      <c r="AN963" s="33"/>
      <c r="AO963" s="33"/>
      <c r="AP963" s="33"/>
    </row>
    <row r="964" spans="2:42" ht="25.5" customHeight="1"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L964" s="33"/>
      <c r="AM964" s="33"/>
      <c r="AN964" s="33"/>
      <c r="AO964" s="33"/>
      <c r="AP964" s="33"/>
    </row>
    <row r="965" spans="2:42" ht="25.5" customHeight="1"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L965" s="33"/>
      <c r="AM965" s="33"/>
      <c r="AN965" s="33"/>
      <c r="AO965" s="33"/>
      <c r="AP965" s="33"/>
    </row>
    <row r="966" spans="2:42" ht="25.5" customHeight="1"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L966" s="33"/>
      <c r="AM966" s="33"/>
      <c r="AN966" s="33"/>
      <c r="AO966" s="33"/>
      <c r="AP966" s="33"/>
    </row>
    <row r="967" spans="2:42" ht="25.5" customHeight="1"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L967" s="33"/>
      <c r="AM967" s="33"/>
      <c r="AN967" s="33"/>
      <c r="AO967" s="33"/>
      <c r="AP967" s="33"/>
    </row>
    <row r="968" spans="2:42" ht="25.5" customHeight="1"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L968" s="33"/>
      <c r="AM968" s="33"/>
      <c r="AN968" s="33"/>
      <c r="AO968" s="33"/>
      <c r="AP968" s="33"/>
    </row>
    <row r="969" spans="2:42" ht="25.5" customHeight="1"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L969" s="33"/>
      <c r="AM969" s="33"/>
      <c r="AN969" s="33"/>
      <c r="AO969" s="33"/>
      <c r="AP969" s="33"/>
    </row>
    <row r="970" spans="2:42" ht="25.5" customHeight="1"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L970" s="33"/>
      <c r="AM970" s="33"/>
      <c r="AN970" s="33"/>
      <c r="AO970" s="33"/>
      <c r="AP970" s="33"/>
    </row>
    <row r="971" spans="2:42" ht="25.5" customHeight="1"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L971" s="33"/>
      <c r="AM971" s="33"/>
      <c r="AN971" s="33"/>
      <c r="AO971" s="33"/>
      <c r="AP971" s="33"/>
    </row>
    <row r="972" spans="2:42" ht="25.5" customHeight="1"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L972" s="33"/>
      <c r="AM972" s="33"/>
      <c r="AN972" s="33"/>
      <c r="AO972" s="33"/>
      <c r="AP972" s="33"/>
    </row>
    <row r="973" spans="2:42" ht="25.5" customHeight="1"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L973" s="33"/>
      <c r="AM973" s="33"/>
      <c r="AN973" s="33"/>
      <c r="AO973" s="33"/>
      <c r="AP973" s="33"/>
    </row>
    <row r="974" spans="2:42" ht="25.5" customHeight="1"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L974" s="33"/>
      <c r="AM974" s="33"/>
      <c r="AN974" s="33"/>
      <c r="AO974" s="33"/>
      <c r="AP974" s="33"/>
    </row>
    <row r="975" spans="2:42" ht="25.5" customHeight="1"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L975" s="33"/>
      <c r="AM975" s="33"/>
      <c r="AN975" s="33"/>
      <c r="AO975" s="33"/>
      <c r="AP975" s="33"/>
    </row>
    <row r="976" spans="2:42" ht="25.5" customHeight="1"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L976" s="33"/>
      <c r="AM976" s="33"/>
      <c r="AN976" s="33"/>
      <c r="AO976" s="33"/>
      <c r="AP976" s="33"/>
    </row>
    <row r="977" spans="2:42" ht="25.5" customHeight="1"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L977" s="33"/>
      <c r="AM977" s="33"/>
      <c r="AN977" s="33"/>
      <c r="AO977" s="33"/>
      <c r="AP977" s="33"/>
    </row>
    <row r="978" spans="2:42" ht="25.5" customHeight="1"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L978" s="33"/>
      <c r="AM978" s="33"/>
      <c r="AN978" s="33"/>
      <c r="AO978" s="33"/>
      <c r="AP978" s="33"/>
    </row>
    <row r="979" spans="2:42" ht="25.5" customHeight="1"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L979" s="33"/>
      <c r="AM979" s="33"/>
      <c r="AN979" s="33"/>
      <c r="AO979" s="33"/>
      <c r="AP979" s="33"/>
    </row>
    <row r="980" spans="2:42" ht="25.5" customHeight="1"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L980" s="33"/>
      <c r="AM980" s="33"/>
      <c r="AN980" s="33"/>
      <c r="AO980" s="33"/>
      <c r="AP980" s="33"/>
    </row>
    <row r="981" spans="2:42" ht="25.5" customHeight="1"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L981" s="33"/>
      <c r="AM981" s="33"/>
      <c r="AN981" s="33"/>
      <c r="AO981" s="33"/>
      <c r="AP981" s="33"/>
    </row>
    <row r="982" spans="2:42" ht="25.5" customHeight="1"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L982" s="33"/>
      <c r="AM982" s="33"/>
      <c r="AN982" s="33"/>
      <c r="AO982" s="33"/>
      <c r="AP982" s="33"/>
    </row>
    <row r="983" spans="2:42" ht="25.5" customHeight="1"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L983" s="33"/>
      <c r="AM983" s="33"/>
      <c r="AN983" s="33"/>
      <c r="AO983" s="33"/>
      <c r="AP983" s="33"/>
    </row>
    <row r="984" spans="2:42" ht="25.5" customHeight="1"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L984" s="33"/>
      <c r="AM984" s="33"/>
      <c r="AN984" s="33"/>
      <c r="AO984" s="33"/>
      <c r="AP984" s="33"/>
    </row>
    <row r="985" spans="2:42" ht="25.5" customHeight="1"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L985" s="33"/>
      <c r="AM985" s="33"/>
      <c r="AN985" s="33"/>
      <c r="AO985" s="33"/>
      <c r="AP985" s="33"/>
    </row>
    <row r="986" spans="2:42" ht="25.5" customHeight="1"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L986" s="33"/>
      <c r="AM986" s="33"/>
      <c r="AN986" s="33"/>
      <c r="AO986" s="33"/>
      <c r="AP986" s="33"/>
    </row>
    <row r="987" spans="2:42" ht="25.5" customHeight="1"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L987" s="33"/>
      <c r="AM987" s="33"/>
      <c r="AN987" s="33"/>
      <c r="AO987" s="33"/>
      <c r="AP987" s="33"/>
    </row>
    <row r="988" spans="2:42" ht="25.5" customHeight="1"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L988" s="33"/>
      <c r="AM988" s="33"/>
      <c r="AN988" s="33"/>
      <c r="AO988" s="33"/>
      <c r="AP988" s="33"/>
    </row>
    <row r="989" spans="2:42" ht="25.5" customHeight="1"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L989" s="33"/>
      <c r="AM989" s="33"/>
      <c r="AN989" s="33"/>
      <c r="AO989" s="33"/>
      <c r="AP989" s="33"/>
    </row>
    <row r="990" spans="2:42" ht="25.5" customHeight="1"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L990" s="33"/>
      <c r="AM990" s="33"/>
      <c r="AN990" s="33"/>
      <c r="AO990" s="33"/>
      <c r="AP990" s="33"/>
    </row>
    <row r="991" spans="2:42" ht="25.5" customHeight="1"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L991" s="33"/>
      <c r="AM991" s="33"/>
      <c r="AN991" s="33"/>
      <c r="AO991" s="33"/>
      <c r="AP991" s="33"/>
    </row>
    <row r="992" spans="2:42" ht="25.5" customHeight="1"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L992" s="33"/>
      <c r="AM992" s="33"/>
      <c r="AN992" s="33"/>
      <c r="AO992" s="33"/>
      <c r="AP992" s="33"/>
    </row>
    <row r="993" spans="2:42" ht="25.5" customHeight="1"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L993" s="33"/>
      <c r="AM993" s="33"/>
      <c r="AN993" s="33"/>
      <c r="AO993" s="33"/>
      <c r="AP993" s="33"/>
    </row>
    <row r="994" spans="2:42" ht="25.5" customHeight="1"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L994" s="33"/>
      <c r="AM994" s="33"/>
      <c r="AN994" s="33"/>
      <c r="AO994" s="33"/>
      <c r="AP994" s="33"/>
    </row>
    <row r="995" spans="2:42" ht="25.5" customHeight="1"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L995" s="33"/>
      <c r="AM995" s="33"/>
      <c r="AN995" s="33"/>
      <c r="AO995" s="33"/>
      <c r="AP995" s="33"/>
    </row>
    <row r="996" spans="2:42" ht="25.5" customHeight="1"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L996" s="33"/>
      <c r="AM996" s="33"/>
      <c r="AN996" s="33"/>
      <c r="AO996" s="33"/>
      <c r="AP996" s="33"/>
    </row>
    <row r="997" spans="2:42" ht="25.5" customHeight="1"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L997" s="33"/>
      <c r="AM997" s="33"/>
      <c r="AN997" s="33"/>
      <c r="AO997" s="33"/>
      <c r="AP997" s="33"/>
    </row>
    <row r="998" spans="2:42" ht="25.5" customHeight="1"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L998" s="33"/>
      <c r="AM998" s="33"/>
      <c r="AN998" s="33"/>
      <c r="AO998" s="33"/>
      <c r="AP998" s="33"/>
    </row>
    <row r="999" spans="2:42" ht="25.5" customHeight="1"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L999" s="33"/>
      <c r="AM999" s="33"/>
      <c r="AN999" s="33"/>
      <c r="AO999" s="33"/>
      <c r="AP999" s="33"/>
    </row>
    <row r="1000" spans="2:42" ht="25.5" customHeight="1"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L1000" s="33"/>
      <c r="AM1000" s="33"/>
      <c r="AN1000" s="33"/>
      <c r="AO1000" s="33"/>
      <c r="AP1000" s="33"/>
    </row>
    <row r="1001" spans="2:42" ht="25.5" customHeight="1"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L1001" s="33"/>
      <c r="AM1001" s="33"/>
      <c r="AN1001" s="33"/>
      <c r="AO1001" s="33"/>
      <c r="AP1001" s="33"/>
    </row>
  </sheetData>
  <mergeCells count="5">
    <mergeCell ref="K4:R4"/>
    <mergeCell ref="T4:Z4"/>
    <mergeCell ref="AA4:AI4"/>
    <mergeCell ref="B4:J4"/>
    <mergeCell ref="B1:AJ1"/>
  </mergeCells>
  <phoneticPr fontId="13" type="noConversion"/>
  <pageMargins left="0.7" right="0.7" top="0.75" bottom="0.75" header="0.3" footer="0.3"/>
  <pageSetup paperSize="256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5"/>
  <dimension ref="B1:M38"/>
  <sheetViews>
    <sheetView showGridLines="0" workbookViewId="0">
      <selection activeCell="J20" sqref="J20"/>
    </sheetView>
  </sheetViews>
  <sheetFormatPr defaultRowHeight="16.5"/>
  <cols>
    <col min="1" max="1" width="4.375" style="2" customWidth="1"/>
    <col min="2" max="3" width="14" style="2" customWidth="1"/>
    <col min="4" max="6" width="12.125" style="2" customWidth="1"/>
    <col min="7" max="7" width="11.125" style="3" customWidth="1"/>
    <col min="8" max="8" width="11.125" style="2" customWidth="1"/>
    <col min="9" max="9" width="8.875" style="2" bestFit="1" customWidth="1"/>
    <col min="10" max="10" width="11.375" style="2" customWidth="1"/>
    <col min="11" max="11" width="12" style="2" customWidth="1"/>
    <col min="12" max="12" width="13.75" style="2" customWidth="1"/>
    <col min="13" max="13" width="12" style="2" customWidth="1"/>
    <col min="14" max="14" width="9.875" style="2" customWidth="1"/>
    <col min="15" max="258" width="9" style="2"/>
    <col min="259" max="259" width="1.875" style="2" customWidth="1"/>
    <col min="260" max="263" width="9.875" style="2" customWidth="1"/>
    <col min="264" max="264" width="12.125" style="2" bestFit="1" customWidth="1"/>
    <col min="265" max="269" width="9.875" style="2" customWidth="1"/>
    <col min="270" max="514" width="9" style="2"/>
    <col min="515" max="515" width="1.875" style="2" customWidth="1"/>
    <col min="516" max="519" width="9.875" style="2" customWidth="1"/>
    <col min="520" max="520" width="12.125" style="2" bestFit="1" customWidth="1"/>
    <col min="521" max="525" width="9.875" style="2" customWidth="1"/>
    <col min="526" max="770" width="9" style="2"/>
    <col min="771" max="771" width="1.875" style="2" customWidth="1"/>
    <col min="772" max="775" width="9.875" style="2" customWidth="1"/>
    <col min="776" max="776" width="12.125" style="2" bestFit="1" customWidth="1"/>
    <col min="777" max="781" width="9.875" style="2" customWidth="1"/>
    <col min="782" max="1026" width="9" style="2"/>
    <col min="1027" max="1027" width="1.875" style="2" customWidth="1"/>
    <col min="1028" max="1031" width="9.875" style="2" customWidth="1"/>
    <col min="1032" max="1032" width="12.125" style="2" bestFit="1" customWidth="1"/>
    <col min="1033" max="1037" width="9.875" style="2" customWidth="1"/>
    <col min="1038" max="1282" width="9" style="2"/>
    <col min="1283" max="1283" width="1.875" style="2" customWidth="1"/>
    <col min="1284" max="1287" width="9.875" style="2" customWidth="1"/>
    <col min="1288" max="1288" width="12.125" style="2" bestFit="1" customWidth="1"/>
    <col min="1289" max="1293" width="9.875" style="2" customWidth="1"/>
    <col min="1294" max="1538" width="9" style="2"/>
    <col min="1539" max="1539" width="1.875" style="2" customWidth="1"/>
    <col min="1540" max="1543" width="9.875" style="2" customWidth="1"/>
    <col min="1544" max="1544" width="12.125" style="2" bestFit="1" customWidth="1"/>
    <col min="1545" max="1549" width="9.875" style="2" customWidth="1"/>
    <col min="1550" max="1794" width="9" style="2"/>
    <col min="1795" max="1795" width="1.875" style="2" customWidth="1"/>
    <col min="1796" max="1799" width="9.875" style="2" customWidth="1"/>
    <col min="1800" max="1800" width="12.125" style="2" bestFit="1" customWidth="1"/>
    <col min="1801" max="1805" width="9.875" style="2" customWidth="1"/>
    <col min="1806" max="2050" width="9" style="2"/>
    <col min="2051" max="2051" width="1.875" style="2" customWidth="1"/>
    <col min="2052" max="2055" width="9.875" style="2" customWidth="1"/>
    <col min="2056" max="2056" width="12.125" style="2" bestFit="1" customWidth="1"/>
    <col min="2057" max="2061" width="9.875" style="2" customWidth="1"/>
    <col min="2062" max="2306" width="9" style="2"/>
    <col min="2307" max="2307" width="1.875" style="2" customWidth="1"/>
    <col min="2308" max="2311" width="9.875" style="2" customWidth="1"/>
    <col min="2312" max="2312" width="12.125" style="2" bestFit="1" customWidth="1"/>
    <col min="2313" max="2317" width="9.875" style="2" customWidth="1"/>
    <col min="2318" max="2562" width="9" style="2"/>
    <col min="2563" max="2563" width="1.875" style="2" customWidth="1"/>
    <col min="2564" max="2567" width="9.875" style="2" customWidth="1"/>
    <col min="2568" max="2568" width="12.125" style="2" bestFit="1" customWidth="1"/>
    <col min="2569" max="2573" width="9.875" style="2" customWidth="1"/>
    <col min="2574" max="2818" width="9" style="2"/>
    <col min="2819" max="2819" width="1.875" style="2" customWidth="1"/>
    <col min="2820" max="2823" width="9.875" style="2" customWidth="1"/>
    <col min="2824" max="2824" width="12.125" style="2" bestFit="1" customWidth="1"/>
    <col min="2825" max="2829" width="9.875" style="2" customWidth="1"/>
    <col min="2830" max="3074" width="9" style="2"/>
    <col min="3075" max="3075" width="1.875" style="2" customWidth="1"/>
    <col min="3076" max="3079" width="9.875" style="2" customWidth="1"/>
    <col min="3080" max="3080" width="12.125" style="2" bestFit="1" customWidth="1"/>
    <col min="3081" max="3085" width="9.875" style="2" customWidth="1"/>
    <col min="3086" max="3330" width="9" style="2"/>
    <col min="3331" max="3331" width="1.875" style="2" customWidth="1"/>
    <col min="3332" max="3335" width="9.875" style="2" customWidth="1"/>
    <col min="3336" max="3336" width="12.125" style="2" bestFit="1" customWidth="1"/>
    <col min="3337" max="3341" width="9.875" style="2" customWidth="1"/>
    <col min="3342" max="3586" width="9" style="2"/>
    <col min="3587" max="3587" width="1.875" style="2" customWidth="1"/>
    <col min="3588" max="3591" width="9.875" style="2" customWidth="1"/>
    <col min="3592" max="3592" width="12.125" style="2" bestFit="1" customWidth="1"/>
    <col min="3593" max="3597" width="9.875" style="2" customWidth="1"/>
    <col min="3598" max="3842" width="9" style="2"/>
    <col min="3843" max="3843" width="1.875" style="2" customWidth="1"/>
    <col min="3844" max="3847" width="9.875" style="2" customWidth="1"/>
    <col min="3848" max="3848" width="12.125" style="2" bestFit="1" customWidth="1"/>
    <col min="3849" max="3853" width="9.875" style="2" customWidth="1"/>
    <col min="3854" max="4098" width="9" style="2"/>
    <col min="4099" max="4099" width="1.875" style="2" customWidth="1"/>
    <col min="4100" max="4103" width="9.875" style="2" customWidth="1"/>
    <col min="4104" max="4104" width="12.125" style="2" bestFit="1" customWidth="1"/>
    <col min="4105" max="4109" width="9.875" style="2" customWidth="1"/>
    <col min="4110" max="4354" width="9" style="2"/>
    <col min="4355" max="4355" width="1.875" style="2" customWidth="1"/>
    <col min="4356" max="4359" width="9.875" style="2" customWidth="1"/>
    <col min="4360" max="4360" width="12.125" style="2" bestFit="1" customWidth="1"/>
    <col min="4361" max="4365" width="9.875" style="2" customWidth="1"/>
    <col min="4366" max="4610" width="9" style="2"/>
    <col min="4611" max="4611" width="1.875" style="2" customWidth="1"/>
    <col min="4612" max="4615" width="9.875" style="2" customWidth="1"/>
    <col min="4616" max="4616" width="12.125" style="2" bestFit="1" customWidth="1"/>
    <col min="4617" max="4621" width="9.875" style="2" customWidth="1"/>
    <col min="4622" max="4866" width="9" style="2"/>
    <col min="4867" max="4867" width="1.875" style="2" customWidth="1"/>
    <col min="4868" max="4871" width="9.875" style="2" customWidth="1"/>
    <col min="4872" max="4872" width="12.125" style="2" bestFit="1" customWidth="1"/>
    <col min="4873" max="4877" width="9.875" style="2" customWidth="1"/>
    <col min="4878" max="5122" width="9" style="2"/>
    <col min="5123" max="5123" width="1.875" style="2" customWidth="1"/>
    <col min="5124" max="5127" width="9.875" style="2" customWidth="1"/>
    <col min="5128" max="5128" width="12.125" style="2" bestFit="1" customWidth="1"/>
    <col min="5129" max="5133" width="9.875" style="2" customWidth="1"/>
    <col min="5134" max="5378" width="9" style="2"/>
    <col min="5379" max="5379" width="1.875" style="2" customWidth="1"/>
    <col min="5380" max="5383" width="9.875" style="2" customWidth="1"/>
    <col min="5384" max="5384" width="12.125" style="2" bestFit="1" customWidth="1"/>
    <col min="5385" max="5389" width="9.875" style="2" customWidth="1"/>
    <col min="5390" max="5634" width="9" style="2"/>
    <col min="5635" max="5635" width="1.875" style="2" customWidth="1"/>
    <col min="5636" max="5639" width="9.875" style="2" customWidth="1"/>
    <col min="5640" max="5640" width="12.125" style="2" bestFit="1" customWidth="1"/>
    <col min="5641" max="5645" width="9.875" style="2" customWidth="1"/>
    <col min="5646" max="5890" width="9" style="2"/>
    <col min="5891" max="5891" width="1.875" style="2" customWidth="1"/>
    <col min="5892" max="5895" width="9.875" style="2" customWidth="1"/>
    <col min="5896" max="5896" width="12.125" style="2" bestFit="1" customWidth="1"/>
    <col min="5897" max="5901" width="9.875" style="2" customWidth="1"/>
    <col min="5902" max="6146" width="9" style="2"/>
    <col min="6147" max="6147" width="1.875" style="2" customWidth="1"/>
    <col min="6148" max="6151" width="9.875" style="2" customWidth="1"/>
    <col min="6152" max="6152" width="12.125" style="2" bestFit="1" customWidth="1"/>
    <col min="6153" max="6157" width="9.875" style="2" customWidth="1"/>
    <col min="6158" max="6402" width="9" style="2"/>
    <col min="6403" max="6403" width="1.875" style="2" customWidth="1"/>
    <col min="6404" max="6407" width="9.875" style="2" customWidth="1"/>
    <col min="6408" max="6408" width="12.125" style="2" bestFit="1" customWidth="1"/>
    <col min="6409" max="6413" width="9.875" style="2" customWidth="1"/>
    <col min="6414" max="6658" width="9" style="2"/>
    <col min="6659" max="6659" width="1.875" style="2" customWidth="1"/>
    <col min="6660" max="6663" width="9.875" style="2" customWidth="1"/>
    <col min="6664" max="6664" width="12.125" style="2" bestFit="1" customWidth="1"/>
    <col min="6665" max="6669" width="9.875" style="2" customWidth="1"/>
    <col min="6670" max="6914" width="9" style="2"/>
    <col min="6915" max="6915" width="1.875" style="2" customWidth="1"/>
    <col min="6916" max="6919" width="9.875" style="2" customWidth="1"/>
    <col min="6920" max="6920" width="12.125" style="2" bestFit="1" customWidth="1"/>
    <col min="6921" max="6925" width="9.875" style="2" customWidth="1"/>
    <col min="6926" max="7170" width="9" style="2"/>
    <col min="7171" max="7171" width="1.875" style="2" customWidth="1"/>
    <col min="7172" max="7175" width="9.875" style="2" customWidth="1"/>
    <col min="7176" max="7176" width="12.125" style="2" bestFit="1" customWidth="1"/>
    <col min="7177" max="7181" width="9.875" style="2" customWidth="1"/>
    <col min="7182" max="7426" width="9" style="2"/>
    <col min="7427" max="7427" width="1.875" style="2" customWidth="1"/>
    <col min="7428" max="7431" width="9.875" style="2" customWidth="1"/>
    <col min="7432" max="7432" width="12.125" style="2" bestFit="1" customWidth="1"/>
    <col min="7433" max="7437" width="9.875" style="2" customWidth="1"/>
    <col min="7438" max="7682" width="9" style="2"/>
    <col min="7683" max="7683" width="1.875" style="2" customWidth="1"/>
    <col min="7684" max="7687" width="9.875" style="2" customWidth="1"/>
    <col min="7688" max="7688" width="12.125" style="2" bestFit="1" customWidth="1"/>
    <col min="7689" max="7693" width="9.875" style="2" customWidth="1"/>
    <col min="7694" max="7938" width="9" style="2"/>
    <col min="7939" max="7939" width="1.875" style="2" customWidth="1"/>
    <col min="7940" max="7943" width="9.875" style="2" customWidth="1"/>
    <col min="7944" max="7944" width="12.125" style="2" bestFit="1" customWidth="1"/>
    <col min="7945" max="7949" width="9.875" style="2" customWidth="1"/>
    <col min="7950" max="8194" width="9" style="2"/>
    <col min="8195" max="8195" width="1.875" style="2" customWidth="1"/>
    <col min="8196" max="8199" width="9.875" style="2" customWidth="1"/>
    <col min="8200" max="8200" width="12.125" style="2" bestFit="1" customWidth="1"/>
    <col min="8201" max="8205" width="9.875" style="2" customWidth="1"/>
    <col min="8206" max="8450" width="9" style="2"/>
    <col min="8451" max="8451" width="1.875" style="2" customWidth="1"/>
    <col min="8452" max="8455" width="9.875" style="2" customWidth="1"/>
    <col min="8456" max="8456" width="12.125" style="2" bestFit="1" customWidth="1"/>
    <col min="8457" max="8461" width="9.875" style="2" customWidth="1"/>
    <col min="8462" max="8706" width="9" style="2"/>
    <col min="8707" max="8707" width="1.875" style="2" customWidth="1"/>
    <col min="8708" max="8711" width="9.875" style="2" customWidth="1"/>
    <col min="8712" max="8712" width="12.125" style="2" bestFit="1" customWidth="1"/>
    <col min="8713" max="8717" width="9.875" style="2" customWidth="1"/>
    <col min="8718" max="8962" width="9" style="2"/>
    <col min="8963" max="8963" width="1.875" style="2" customWidth="1"/>
    <col min="8964" max="8967" width="9.875" style="2" customWidth="1"/>
    <col min="8968" max="8968" width="12.125" style="2" bestFit="1" customWidth="1"/>
    <col min="8969" max="8973" width="9.875" style="2" customWidth="1"/>
    <col min="8974" max="9218" width="9" style="2"/>
    <col min="9219" max="9219" width="1.875" style="2" customWidth="1"/>
    <col min="9220" max="9223" width="9.875" style="2" customWidth="1"/>
    <col min="9224" max="9224" width="12.125" style="2" bestFit="1" customWidth="1"/>
    <col min="9225" max="9229" width="9.875" style="2" customWidth="1"/>
    <col min="9230" max="9474" width="9" style="2"/>
    <col min="9475" max="9475" width="1.875" style="2" customWidth="1"/>
    <col min="9476" max="9479" width="9.875" style="2" customWidth="1"/>
    <col min="9480" max="9480" width="12.125" style="2" bestFit="1" customWidth="1"/>
    <col min="9481" max="9485" width="9.875" style="2" customWidth="1"/>
    <col min="9486" max="9730" width="9" style="2"/>
    <col min="9731" max="9731" width="1.875" style="2" customWidth="1"/>
    <col min="9732" max="9735" width="9.875" style="2" customWidth="1"/>
    <col min="9736" max="9736" width="12.125" style="2" bestFit="1" customWidth="1"/>
    <col min="9737" max="9741" width="9.875" style="2" customWidth="1"/>
    <col min="9742" max="9986" width="9" style="2"/>
    <col min="9987" max="9987" width="1.875" style="2" customWidth="1"/>
    <col min="9988" max="9991" width="9.875" style="2" customWidth="1"/>
    <col min="9992" max="9992" width="12.125" style="2" bestFit="1" customWidth="1"/>
    <col min="9993" max="9997" width="9.875" style="2" customWidth="1"/>
    <col min="9998" max="10242" width="9" style="2"/>
    <col min="10243" max="10243" width="1.875" style="2" customWidth="1"/>
    <col min="10244" max="10247" width="9.875" style="2" customWidth="1"/>
    <col min="10248" max="10248" width="12.125" style="2" bestFit="1" customWidth="1"/>
    <col min="10249" max="10253" width="9.875" style="2" customWidth="1"/>
    <col min="10254" max="10498" width="9" style="2"/>
    <col min="10499" max="10499" width="1.875" style="2" customWidth="1"/>
    <col min="10500" max="10503" width="9.875" style="2" customWidth="1"/>
    <col min="10504" max="10504" width="12.125" style="2" bestFit="1" customWidth="1"/>
    <col min="10505" max="10509" width="9.875" style="2" customWidth="1"/>
    <col min="10510" max="10754" width="9" style="2"/>
    <col min="10755" max="10755" width="1.875" style="2" customWidth="1"/>
    <col min="10756" max="10759" width="9.875" style="2" customWidth="1"/>
    <col min="10760" max="10760" width="12.125" style="2" bestFit="1" customWidth="1"/>
    <col min="10761" max="10765" width="9.875" style="2" customWidth="1"/>
    <col min="10766" max="11010" width="9" style="2"/>
    <col min="11011" max="11011" width="1.875" style="2" customWidth="1"/>
    <col min="11012" max="11015" width="9.875" style="2" customWidth="1"/>
    <col min="11016" max="11016" width="12.125" style="2" bestFit="1" customWidth="1"/>
    <col min="11017" max="11021" width="9.875" style="2" customWidth="1"/>
    <col min="11022" max="11266" width="9" style="2"/>
    <col min="11267" max="11267" width="1.875" style="2" customWidth="1"/>
    <col min="11268" max="11271" width="9.875" style="2" customWidth="1"/>
    <col min="11272" max="11272" width="12.125" style="2" bestFit="1" customWidth="1"/>
    <col min="11273" max="11277" width="9.875" style="2" customWidth="1"/>
    <col min="11278" max="11522" width="9" style="2"/>
    <col min="11523" max="11523" width="1.875" style="2" customWidth="1"/>
    <col min="11524" max="11527" width="9.875" style="2" customWidth="1"/>
    <col min="11528" max="11528" width="12.125" style="2" bestFit="1" customWidth="1"/>
    <col min="11529" max="11533" width="9.875" style="2" customWidth="1"/>
    <col min="11534" max="11778" width="9" style="2"/>
    <col min="11779" max="11779" width="1.875" style="2" customWidth="1"/>
    <col min="11780" max="11783" width="9.875" style="2" customWidth="1"/>
    <col min="11784" max="11784" width="12.125" style="2" bestFit="1" customWidth="1"/>
    <col min="11785" max="11789" width="9.875" style="2" customWidth="1"/>
    <col min="11790" max="12034" width="9" style="2"/>
    <col min="12035" max="12035" width="1.875" style="2" customWidth="1"/>
    <col min="12036" max="12039" width="9.875" style="2" customWidth="1"/>
    <col min="12040" max="12040" width="12.125" style="2" bestFit="1" customWidth="1"/>
    <col min="12041" max="12045" width="9.875" style="2" customWidth="1"/>
    <col min="12046" max="12290" width="9" style="2"/>
    <col min="12291" max="12291" width="1.875" style="2" customWidth="1"/>
    <col min="12292" max="12295" width="9.875" style="2" customWidth="1"/>
    <col min="12296" max="12296" width="12.125" style="2" bestFit="1" customWidth="1"/>
    <col min="12297" max="12301" width="9.875" style="2" customWidth="1"/>
    <col min="12302" max="12546" width="9" style="2"/>
    <col min="12547" max="12547" width="1.875" style="2" customWidth="1"/>
    <col min="12548" max="12551" width="9.875" style="2" customWidth="1"/>
    <col min="12552" max="12552" width="12.125" style="2" bestFit="1" customWidth="1"/>
    <col min="12553" max="12557" width="9.875" style="2" customWidth="1"/>
    <col min="12558" max="12802" width="9" style="2"/>
    <col min="12803" max="12803" width="1.875" style="2" customWidth="1"/>
    <col min="12804" max="12807" width="9.875" style="2" customWidth="1"/>
    <col min="12808" max="12808" width="12.125" style="2" bestFit="1" customWidth="1"/>
    <col min="12809" max="12813" width="9.875" style="2" customWidth="1"/>
    <col min="12814" max="13058" width="9" style="2"/>
    <col min="13059" max="13059" width="1.875" style="2" customWidth="1"/>
    <col min="13060" max="13063" width="9.875" style="2" customWidth="1"/>
    <col min="13064" max="13064" width="12.125" style="2" bestFit="1" customWidth="1"/>
    <col min="13065" max="13069" width="9.875" style="2" customWidth="1"/>
    <col min="13070" max="13314" width="9" style="2"/>
    <col min="13315" max="13315" width="1.875" style="2" customWidth="1"/>
    <col min="13316" max="13319" width="9.875" style="2" customWidth="1"/>
    <col min="13320" max="13320" width="12.125" style="2" bestFit="1" customWidth="1"/>
    <col min="13321" max="13325" width="9.875" style="2" customWidth="1"/>
    <col min="13326" max="13570" width="9" style="2"/>
    <col min="13571" max="13571" width="1.875" style="2" customWidth="1"/>
    <col min="13572" max="13575" width="9.875" style="2" customWidth="1"/>
    <col min="13576" max="13576" width="12.125" style="2" bestFit="1" customWidth="1"/>
    <col min="13577" max="13581" width="9.875" style="2" customWidth="1"/>
    <col min="13582" max="13826" width="9" style="2"/>
    <col min="13827" max="13827" width="1.875" style="2" customWidth="1"/>
    <col min="13828" max="13831" width="9.875" style="2" customWidth="1"/>
    <col min="13832" max="13832" width="12.125" style="2" bestFit="1" customWidth="1"/>
    <col min="13833" max="13837" width="9.875" style="2" customWidth="1"/>
    <col min="13838" max="14082" width="9" style="2"/>
    <col min="14083" max="14083" width="1.875" style="2" customWidth="1"/>
    <col min="14084" max="14087" width="9.875" style="2" customWidth="1"/>
    <col min="14088" max="14088" width="12.125" style="2" bestFit="1" customWidth="1"/>
    <col min="14089" max="14093" width="9.875" style="2" customWidth="1"/>
    <col min="14094" max="14338" width="9" style="2"/>
    <col min="14339" max="14339" width="1.875" style="2" customWidth="1"/>
    <col min="14340" max="14343" width="9.875" style="2" customWidth="1"/>
    <col min="14344" max="14344" width="12.125" style="2" bestFit="1" customWidth="1"/>
    <col min="14345" max="14349" width="9.875" style="2" customWidth="1"/>
    <col min="14350" max="14594" width="9" style="2"/>
    <col min="14595" max="14595" width="1.875" style="2" customWidth="1"/>
    <col min="14596" max="14599" width="9.875" style="2" customWidth="1"/>
    <col min="14600" max="14600" width="12.125" style="2" bestFit="1" customWidth="1"/>
    <col min="14601" max="14605" width="9.875" style="2" customWidth="1"/>
    <col min="14606" max="14850" width="9" style="2"/>
    <col min="14851" max="14851" width="1.875" style="2" customWidth="1"/>
    <col min="14852" max="14855" width="9.875" style="2" customWidth="1"/>
    <col min="14856" max="14856" width="12.125" style="2" bestFit="1" customWidth="1"/>
    <col min="14857" max="14861" width="9.875" style="2" customWidth="1"/>
    <col min="14862" max="15106" width="9" style="2"/>
    <col min="15107" max="15107" width="1.875" style="2" customWidth="1"/>
    <col min="15108" max="15111" width="9.875" style="2" customWidth="1"/>
    <col min="15112" max="15112" width="12.125" style="2" bestFit="1" customWidth="1"/>
    <col min="15113" max="15117" width="9.875" style="2" customWidth="1"/>
    <col min="15118" max="15362" width="9" style="2"/>
    <col min="15363" max="15363" width="1.875" style="2" customWidth="1"/>
    <col min="15364" max="15367" width="9.875" style="2" customWidth="1"/>
    <col min="15368" max="15368" width="12.125" style="2" bestFit="1" customWidth="1"/>
    <col min="15369" max="15373" width="9.875" style="2" customWidth="1"/>
    <col min="15374" max="15618" width="9" style="2"/>
    <col min="15619" max="15619" width="1.875" style="2" customWidth="1"/>
    <col min="15620" max="15623" width="9.875" style="2" customWidth="1"/>
    <col min="15624" max="15624" width="12.125" style="2" bestFit="1" customWidth="1"/>
    <col min="15625" max="15629" width="9.875" style="2" customWidth="1"/>
    <col min="15630" max="15874" width="9" style="2"/>
    <col min="15875" max="15875" width="1.875" style="2" customWidth="1"/>
    <col min="15876" max="15879" width="9.875" style="2" customWidth="1"/>
    <col min="15880" max="15880" width="12.125" style="2" bestFit="1" customWidth="1"/>
    <col min="15881" max="15885" width="9.875" style="2" customWidth="1"/>
    <col min="15886" max="16130" width="9" style="2"/>
    <col min="16131" max="16131" width="1.875" style="2" customWidth="1"/>
    <col min="16132" max="16135" width="9.875" style="2" customWidth="1"/>
    <col min="16136" max="16136" width="12.125" style="2" bestFit="1" customWidth="1"/>
    <col min="16137" max="16141" width="9.875" style="2" customWidth="1"/>
    <col min="16142" max="16384" width="9" style="2"/>
  </cols>
  <sheetData>
    <row r="1" spans="2:13">
      <c r="B1" s="367"/>
      <c r="C1" s="367"/>
      <c r="D1" s="367"/>
      <c r="E1" s="367"/>
      <c r="F1" s="367"/>
      <c r="G1" s="367"/>
    </row>
    <row r="2" spans="2:13" ht="26.25">
      <c r="B2" s="467" t="s">
        <v>278</v>
      </c>
      <c r="C2" s="467"/>
      <c r="D2" s="467"/>
      <c r="E2" s="467"/>
      <c r="F2" s="467"/>
      <c r="G2" s="467"/>
      <c r="I2" s="467" t="s">
        <v>279</v>
      </c>
      <c r="J2" s="467"/>
      <c r="K2" s="467"/>
      <c r="L2" s="467"/>
      <c r="M2" s="467"/>
    </row>
    <row r="3" spans="2:13" ht="17.25">
      <c r="B3" s="84"/>
      <c r="C3" s="84"/>
      <c r="D3" s="84"/>
      <c r="E3" s="84"/>
      <c r="F3" s="84"/>
      <c r="G3" s="367"/>
      <c r="L3" s="327"/>
      <c r="M3" s="328"/>
    </row>
    <row r="4" spans="2:13" ht="17.25">
      <c r="B4" s="84" t="s">
        <v>280</v>
      </c>
      <c r="C4" s="84"/>
      <c r="D4" s="85"/>
      <c r="E4" s="22"/>
      <c r="F4" s="22" t="s">
        <v>281</v>
      </c>
      <c r="G4" s="367"/>
      <c r="I4" s="84" t="s">
        <v>280</v>
      </c>
      <c r="J4" s="84"/>
      <c r="K4" s="85"/>
      <c r="L4" s="327"/>
      <c r="M4" s="329" t="s">
        <v>281</v>
      </c>
    </row>
    <row r="5" spans="2:13" ht="16.5" customHeight="1">
      <c r="B5" s="86" t="s">
        <v>282</v>
      </c>
      <c r="C5" s="86" t="s">
        <v>174</v>
      </c>
      <c r="D5" s="86" t="s">
        <v>283</v>
      </c>
      <c r="E5" s="86" t="s">
        <v>284</v>
      </c>
      <c r="F5" s="203" t="s">
        <v>285</v>
      </c>
      <c r="G5" s="86" t="s">
        <v>286</v>
      </c>
      <c r="I5" s="86" t="s">
        <v>282</v>
      </c>
      <c r="J5" s="86" t="s">
        <v>174</v>
      </c>
      <c r="K5" s="86" t="s">
        <v>283</v>
      </c>
      <c r="L5" s="86" t="s">
        <v>284</v>
      </c>
      <c r="M5" s="86" t="s">
        <v>285</v>
      </c>
    </row>
    <row r="6" spans="2:13" ht="16.5" customHeight="1">
      <c r="B6" s="204">
        <v>46235</v>
      </c>
      <c r="C6" s="292">
        <f>$J$9*F6</f>
        <v>112.4429111593812</v>
      </c>
      <c r="D6" s="292">
        <f>F6*$K$9</f>
        <v>60.355386137020794</v>
      </c>
      <c r="E6" s="292">
        <f>F6-D6-C6</f>
        <v>147.99471395242085</v>
      </c>
      <c r="F6" s="293">
        <f>G6*$L$11/$K$11</f>
        <v>320.79301124882284</v>
      </c>
      <c r="G6" s="294">
        <v>174709</v>
      </c>
      <c r="I6" s="223">
        <v>46249</v>
      </c>
      <c r="J6" s="224">
        <v>127</v>
      </c>
      <c r="K6" s="224">
        <v>79</v>
      </c>
      <c r="L6" s="224">
        <v>187</v>
      </c>
      <c r="M6" s="224">
        <f>K6+L6+J6</f>
        <v>393</v>
      </c>
    </row>
    <row r="7" spans="2:13" ht="16.5" customHeight="1">
      <c r="B7" s="204">
        <f>B6+1</f>
        <v>46236</v>
      </c>
      <c r="C7" s="292">
        <f t="shared" ref="C7:C35" si="0">$J$9*F7</f>
        <v>110.6112223216018</v>
      </c>
      <c r="D7" s="292">
        <f t="shared" ref="D7:D32" si="1">F7*$K$9</f>
        <v>59.372200216742144</v>
      </c>
      <c r="E7" s="292">
        <f t="shared" ref="E7:E20" si="2">F7-D7-C7</f>
        <v>145.58388820269647</v>
      </c>
      <c r="F7" s="293">
        <f>G7*$L$11/$K$11</f>
        <v>315.56731074104044</v>
      </c>
      <c r="G7" s="294">
        <v>171863</v>
      </c>
      <c r="I7" s="223">
        <v>46265</v>
      </c>
      <c r="J7" s="224">
        <v>144</v>
      </c>
      <c r="K7" s="224">
        <v>67</v>
      </c>
      <c r="L7" s="224">
        <v>170</v>
      </c>
      <c r="M7" s="224">
        <f>K7+L7+J7</f>
        <v>381</v>
      </c>
    </row>
    <row r="8" spans="2:13" ht="16.5" customHeight="1">
      <c r="B8" s="204">
        <f t="shared" ref="B8:B36" si="3">B7+1</f>
        <v>46237</v>
      </c>
      <c r="C8" s="292">
        <f t="shared" si="0"/>
        <v>114.51208881695698</v>
      </c>
      <c r="D8" s="292">
        <f t="shared" si="1"/>
        <v>61.466047673807793</v>
      </c>
      <c r="E8" s="292">
        <f t="shared" si="2"/>
        <v>150.71811689878899</v>
      </c>
      <c r="F8" s="293">
        <f t="shared" ref="F8:F35" si="4">G8*$L$11/$K$11</f>
        <v>326.69625338955376</v>
      </c>
      <c r="G8" s="294">
        <v>177924</v>
      </c>
      <c r="I8" s="86" t="s">
        <v>287</v>
      </c>
      <c r="J8" s="86">
        <f>ROUNDUP(SUM(J6:J7)/2,0)</f>
        <v>136</v>
      </c>
      <c r="K8" s="86">
        <f>ROUNDUP(SUM(K6:K7)/2,0)</f>
        <v>73</v>
      </c>
      <c r="L8" s="86">
        <f>ROUNDUP(SUM(L6:L7)/2,0)</f>
        <v>179</v>
      </c>
      <c r="M8" s="86">
        <f>K8+L8+J8</f>
        <v>388</v>
      </c>
    </row>
    <row r="9" spans="2:13" ht="16.5" customHeight="1">
      <c r="B9" s="204">
        <f t="shared" si="3"/>
        <v>46238</v>
      </c>
      <c r="C9" s="292">
        <f t="shared" si="0"/>
        <v>118.0583310854617</v>
      </c>
      <c r="D9" s="292">
        <f t="shared" si="1"/>
        <v>63.369545362049294</v>
      </c>
      <c r="E9" s="292">
        <f t="shared" si="2"/>
        <v>155.38559753160035</v>
      </c>
      <c r="F9" s="293">
        <f>G9*$L$11/$K$11</f>
        <v>336.81347397911134</v>
      </c>
      <c r="G9" s="294">
        <v>183434</v>
      </c>
      <c r="I9" s="367" t="s">
        <v>288</v>
      </c>
      <c r="J9" s="237">
        <f>J8/($K$8+$L$8+$J$8)</f>
        <v>0.35051546391752575</v>
      </c>
      <c r="K9" s="237">
        <f>K8/($K$8+$L$8+$J$8)</f>
        <v>0.18814432989690721</v>
      </c>
      <c r="L9" s="237">
        <f>L8/($K$8+$L$8+$J$8)</f>
        <v>0.46134020618556704</v>
      </c>
      <c r="M9" s="237">
        <f>K9+L9+J9</f>
        <v>1</v>
      </c>
    </row>
    <row r="10" spans="2:13" ht="16.5" customHeight="1">
      <c r="B10" s="204">
        <f>B9+1</f>
        <v>46239</v>
      </c>
      <c r="C10" s="292">
        <f t="shared" si="0"/>
        <v>143.9497612523721</v>
      </c>
      <c r="D10" s="292">
        <f t="shared" si="1"/>
        <v>77.267151260464431</v>
      </c>
      <c r="E10" s="292">
        <f t="shared" si="2"/>
        <v>189.46328870716619</v>
      </c>
      <c r="F10" s="293">
        <f t="shared" si="4"/>
        <v>410.68020122000274</v>
      </c>
      <c r="G10" s="294">
        <v>223663</v>
      </c>
      <c r="K10" s="238" t="s">
        <v>289</v>
      </c>
      <c r="L10" s="367" t="s">
        <v>290</v>
      </c>
    </row>
    <row r="11" spans="2:13" ht="16.5" customHeight="1">
      <c r="B11" s="204">
        <f t="shared" si="3"/>
        <v>46240</v>
      </c>
      <c r="C11" s="292">
        <f t="shared" si="0"/>
        <v>144.59014438434343</v>
      </c>
      <c r="D11" s="292">
        <f t="shared" si="1"/>
        <v>77.61088632394906</v>
      </c>
      <c r="E11" s="292">
        <f t="shared" si="2"/>
        <v>190.30614591762856</v>
      </c>
      <c r="F11" s="293">
        <f t="shared" si="4"/>
        <v>412.50717662592103</v>
      </c>
      <c r="G11" s="294">
        <v>224658</v>
      </c>
      <c r="K11" s="351">
        <f>(G20+G36)/2</f>
        <v>211311</v>
      </c>
      <c r="L11" s="367">
        <f>M8</f>
        <v>388</v>
      </c>
    </row>
    <row r="12" spans="2:13" ht="16.5" customHeight="1">
      <c r="B12" s="204">
        <f t="shared" si="3"/>
        <v>46241</v>
      </c>
      <c r="C12" s="292">
        <f t="shared" si="0"/>
        <v>141.95331052335183</v>
      </c>
      <c r="D12" s="292">
        <f t="shared" si="1"/>
        <v>76.195526972093262</v>
      </c>
      <c r="E12" s="292">
        <f t="shared" si="2"/>
        <v>186.83560723294102</v>
      </c>
      <c r="F12" s="293">
        <f>G12*$L$11/$K$11</f>
        <v>404.98444472838611</v>
      </c>
      <c r="G12" s="294">
        <v>220561</v>
      </c>
    </row>
    <row r="13" spans="2:13" ht="16.5" customHeight="1">
      <c r="B13" s="204">
        <f t="shared" si="3"/>
        <v>46242</v>
      </c>
      <c r="C13" s="292">
        <f t="shared" si="0"/>
        <v>140.29153238591459</v>
      </c>
      <c r="D13" s="292">
        <f t="shared" si="1"/>
        <v>75.303543118910042</v>
      </c>
      <c r="E13" s="292">
        <f t="shared" si="2"/>
        <v>184.6484139491082</v>
      </c>
      <c r="F13" s="293">
        <f t="shared" si="4"/>
        <v>400.24348945393285</v>
      </c>
      <c r="G13" s="294">
        <v>217979</v>
      </c>
    </row>
    <row r="14" spans="2:13" ht="16.5" customHeight="1">
      <c r="B14" s="204">
        <f t="shared" si="3"/>
        <v>46243</v>
      </c>
      <c r="C14" s="292">
        <f t="shared" si="0"/>
        <v>139.53851905485277</v>
      </c>
      <c r="D14" s="292">
        <f t="shared" si="1"/>
        <v>74.899352139737161</v>
      </c>
      <c r="E14" s="292">
        <f t="shared" si="2"/>
        <v>183.65731552072538</v>
      </c>
      <c r="F14" s="293">
        <f t="shared" si="4"/>
        <v>398.09518671531532</v>
      </c>
      <c r="G14" s="294">
        <v>216809</v>
      </c>
    </row>
    <row r="15" spans="2:13" ht="16.5" customHeight="1">
      <c r="B15" s="204">
        <f t="shared" si="3"/>
        <v>46244</v>
      </c>
      <c r="C15" s="292">
        <f t="shared" si="0"/>
        <v>127.73680499358763</v>
      </c>
      <c r="D15" s="292">
        <f t="shared" si="1"/>
        <v>68.564608562734549</v>
      </c>
      <c r="E15" s="292">
        <f t="shared" si="2"/>
        <v>168.12417716067785</v>
      </c>
      <c r="F15" s="293">
        <f t="shared" si="4"/>
        <v>364.42559071700003</v>
      </c>
      <c r="G15" s="294">
        <v>198472</v>
      </c>
    </row>
    <row r="16" spans="2:13" ht="16.5" customHeight="1">
      <c r="B16" s="204">
        <f t="shared" si="3"/>
        <v>46245</v>
      </c>
      <c r="C16" s="292">
        <f t="shared" si="0"/>
        <v>113.60332401058155</v>
      </c>
      <c r="D16" s="292">
        <f t="shared" si="1"/>
        <v>60.978254799797455</v>
      </c>
      <c r="E16" s="292">
        <f t="shared" si="2"/>
        <v>149.52202204333895</v>
      </c>
      <c r="F16" s="293">
        <f t="shared" si="4"/>
        <v>324.10360085371798</v>
      </c>
      <c r="G16" s="294">
        <v>176512</v>
      </c>
    </row>
    <row r="17" spans="2:11" ht="16.5" customHeight="1">
      <c r="B17" s="204">
        <f t="shared" si="3"/>
        <v>46246</v>
      </c>
      <c r="C17" s="292">
        <f t="shared" si="0"/>
        <v>110.74637856051034</v>
      </c>
      <c r="D17" s="292">
        <f t="shared" si="1"/>
        <v>59.444747315568051</v>
      </c>
      <c r="E17" s="292">
        <f t="shared" si="2"/>
        <v>145.76177766420113</v>
      </c>
      <c r="F17" s="293">
        <f t="shared" si="4"/>
        <v>315.95290354027952</v>
      </c>
      <c r="G17" s="294">
        <v>172073</v>
      </c>
    </row>
    <row r="18" spans="2:11" ht="16.5" customHeight="1">
      <c r="B18" s="204">
        <f t="shared" si="3"/>
        <v>46247</v>
      </c>
      <c r="C18" s="292">
        <f t="shared" si="0"/>
        <v>107.40415785264372</v>
      </c>
      <c r="D18" s="292">
        <f t="shared" si="1"/>
        <v>57.650761200316119</v>
      </c>
      <c r="E18" s="292">
        <f t="shared" si="2"/>
        <v>141.36282540899433</v>
      </c>
      <c r="F18" s="293">
        <f t="shared" si="4"/>
        <v>306.41774446195416</v>
      </c>
      <c r="G18" s="294">
        <v>166880</v>
      </c>
    </row>
    <row r="19" spans="2:11" ht="16.5" customHeight="1">
      <c r="B19" s="296">
        <f t="shared" si="3"/>
        <v>46248</v>
      </c>
      <c r="C19" s="292">
        <f t="shared" si="0"/>
        <v>138.20562109875962</v>
      </c>
      <c r="D19" s="299">
        <f t="shared" si="1"/>
        <v>74.183899560363628</v>
      </c>
      <c r="E19" s="292">
        <f t="shared" si="2"/>
        <v>181.90298659322045</v>
      </c>
      <c r="F19" s="300">
        <f t="shared" si="4"/>
        <v>394.29250725234368</v>
      </c>
      <c r="G19" s="294">
        <v>214738</v>
      </c>
    </row>
    <row r="20" spans="2:11" ht="16.5" customHeight="1">
      <c r="B20" s="318">
        <f t="shared" si="3"/>
        <v>46249</v>
      </c>
      <c r="C20" s="315">
        <v>127</v>
      </c>
      <c r="D20" s="315">
        <v>79</v>
      </c>
      <c r="E20" s="315">
        <v>187</v>
      </c>
      <c r="F20" s="319">
        <v>393</v>
      </c>
      <c r="G20" s="317">
        <v>214738</v>
      </c>
      <c r="H20"/>
    </row>
    <row r="21" spans="2:11" ht="16.5" customHeight="1">
      <c r="B21" s="296">
        <f t="shared" si="3"/>
        <v>46250</v>
      </c>
      <c r="C21" s="292">
        <f t="shared" si="0"/>
        <v>133.75511923184311</v>
      </c>
      <c r="D21" s="299">
        <f t="shared" si="1"/>
        <v>71.795027234739322</v>
      </c>
      <c r="E21" s="292">
        <f t="shared" ref="E21:E35" si="5">F21-D21-C21</f>
        <v>176.04534075367584</v>
      </c>
      <c r="F21" s="300">
        <f t="shared" si="4"/>
        <v>381.59548722025829</v>
      </c>
      <c r="G21" s="294">
        <v>207823</v>
      </c>
    </row>
    <row r="22" spans="2:11" ht="16.5" customHeight="1">
      <c r="B22" s="296">
        <f t="shared" si="3"/>
        <v>46251</v>
      </c>
      <c r="C22" s="292">
        <f t="shared" si="0"/>
        <v>125.55564073805905</v>
      </c>
      <c r="D22" s="299">
        <f t="shared" si="1"/>
        <v>67.39383657263464</v>
      </c>
      <c r="E22" s="292">
        <f t="shared" si="5"/>
        <v>165.25338008906303</v>
      </c>
      <c r="F22" s="300">
        <f t="shared" si="4"/>
        <v>358.20285739975674</v>
      </c>
      <c r="G22" s="294">
        <v>195083</v>
      </c>
    </row>
    <row r="23" spans="2:11" ht="16.5" customHeight="1">
      <c r="B23" s="296">
        <f t="shared" si="3"/>
        <v>46252</v>
      </c>
      <c r="C23" s="292">
        <f t="shared" si="0"/>
        <v>116.715135511166</v>
      </c>
      <c r="D23" s="299">
        <f t="shared" si="1"/>
        <v>62.648565384669986</v>
      </c>
      <c r="E23" s="292">
        <f t="shared" si="5"/>
        <v>153.61771512131406</v>
      </c>
      <c r="F23" s="300">
        <f t="shared" si="4"/>
        <v>332.98141601715008</v>
      </c>
      <c r="G23" s="294">
        <v>181347</v>
      </c>
    </row>
    <row r="24" spans="2:11" ht="16.5" customHeight="1">
      <c r="B24" s="296">
        <f t="shared" si="3"/>
        <v>46253</v>
      </c>
      <c r="C24" s="292">
        <f t="shared" si="0"/>
        <v>119.31721491072399</v>
      </c>
      <c r="D24" s="299">
        <f>F24*$K$9</f>
        <v>64.045269768256262</v>
      </c>
      <c r="E24" s="292">
        <f t="shared" si="5"/>
        <v>157.0425108016147</v>
      </c>
      <c r="F24" s="300">
        <f t="shared" si="4"/>
        <v>340.40499548059495</v>
      </c>
      <c r="G24" s="294">
        <v>185390</v>
      </c>
    </row>
    <row r="25" spans="2:11" ht="16.5" customHeight="1">
      <c r="B25" s="296">
        <f t="shared" si="3"/>
        <v>46254</v>
      </c>
      <c r="C25" s="292">
        <f t="shared" si="0"/>
        <v>114.49535518737784</v>
      </c>
      <c r="D25" s="299">
        <f t="shared" si="1"/>
        <v>61.457065652048406</v>
      </c>
      <c r="E25" s="292">
        <f t="shared" si="5"/>
        <v>150.69609248926938</v>
      </c>
      <c r="F25" s="300">
        <f t="shared" si="4"/>
        <v>326.64851332869563</v>
      </c>
      <c r="G25" s="294">
        <v>177898</v>
      </c>
    </row>
    <row r="26" spans="2:11" ht="16.5" customHeight="1">
      <c r="B26" s="296">
        <f t="shared" si="3"/>
        <v>46255</v>
      </c>
      <c r="C26" s="292">
        <f t="shared" si="0"/>
        <v>114.32737529044867</v>
      </c>
      <c r="D26" s="299">
        <f t="shared" si="1"/>
        <v>61.366899972079068</v>
      </c>
      <c r="E26" s="292">
        <f t="shared" si="5"/>
        <v>150.47500130139935</v>
      </c>
      <c r="F26" s="300">
        <f t="shared" si="4"/>
        <v>326.1692765639271</v>
      </c>
      <c r="G26" s="294">
        <v>177637</v>
      </c>
    </row>
    <row r="27" spans="2:11" ht="16.5" customHeight="1">
      <c r="B27" s="296">
        <f t="shared" si="3"/>
        <v>46256</v>
      </c>
      <c r="C27" s="292">
        <f t="shared" si="0"/>
        <v>113.29761347019321</v>
      </c>
      <c r="D27" s="299">
        <f t="shared" si="1"/>
        <v>60.814160171500774</v>
      </c>
      <c r="E27" s="292">
        <f t="shared" si="5"/>
        <v>149.11965302326905</v>
      </c>
      <c r="F27" s="300">
        <f t="shared" si="4"/>
        <v>323.23142666496301</v>
      </c>
      <c r="G27" s="294">
        <v>176037</v>
      </c>
    </row>
    <row r="28" spans="2:11" ht="16.5" customHeight="1">
      <c r="B28" s="296">
        <f t="shared" si="3"/>
        <v>46257</v>
      </c>
      <c r="C28" s="292">
        <f t="shared" si="0"/>
        <v>112.83486425221592</v>
      </c>
      <c r="D28" s="299">
        <f t="shared" si="1"/>
        <v>60.565772723615908</v>
      </c>
      <c r="E28" s="292">
        <f t="shared" si="5"/>
        <v>148.51059339078421</v>
      </c>
      <c r="F28" s="300">
        <f t="shared" si="4"/>
        <v>321.91123036661605</v>
      </c>
      <c r="G28" s="294">
        <v>175318</v>
      </c>
    </row>
    <row r="29" spans="2:11" ht="16.5" customHeight="1">
      <c r="B29" s="296">
        <f>B28+1</f>
        <v>46258</v>
      </c>
      <c r="C29" s="292">
        <f t="shared" si="0"/>
        <v>103.92935531041924</v>
      </c>
      <c r="D29" s="299">
        <f t="shared" si="1"/>
        <v>55.785609835739741</v>
      </c>
      <c r="E29" s="292">
        <f t="shared" si="5"/>
        <v>136.78937206297826</v>
      </c>
      <c r="F29" s="300">
        <f t="shared" si="4"/>
        <v>296.50433720913725</v>
      </c>
      <c r="G29" s="294">
        <v>161481</v>
      </c>
    </row>
    <row r="30" spans="2:11" ht="16.5" customHeight="1">
      <c r="B30" s="296">
        <f t="shared" si="3"/>
        <v>46259</v>
      </c>
      <c r="C30" s="292">
        <f t="shared" si="0"/>
        <v>110.18901997529707</v>
      </c>
      <c r="D30" s="299">
        <f t="shared" si="1"/>
        <v>59.145576898505048</v>
      </c>
      <c r="E30" s="292">
        <f t="shared" si="5"/>
        <v>145.02819540866307</v>
      </c>
      <c r="F30" s="300">
        <f t="shared" si="4"/>
        <v>314.36279228246519</v>
      </c>
      <c r="G30" s="294">
        <v>171207</v>
      </c>
    </row>
    <row r="31" spans="2:11" ht="16.5" customHeight="1">
      <c r="B31" s="296">
        <f t="shared" si="3"/>
        <v>46260</v>
      </c>
      <c r="C31" s="292">
        <f t="shared" si="0"/>
        <v>122.36144829185419</v>
      </c>
      <c r="D31" s="299">
        <f t="shared" si="1"/>
        <v>65.679306803715846</v>
      </c>
      <c r="E31" s="292">
        <f t="shared" si="5"/>
        <v>161.04925914883751</v>
      </c>
      <c r="F31" s="300">
        <f t="shared" si="4"/>
        <v>349.09001424440754</v>
      </c>
      <c r="G31" s="294">
        <v>190120</v>
      </c>
    </row>
    <row r="32" spans="2:11" ht="16.5" customHeight="1">
      <c r="B32" s="296">
        <f t="shared" si="3"/>
        <v>46261</v>
      </c>
      <c r="C32" s="292">
        <f t="shared" si="0"/>
        <v>125.58009758129013</v>
      </c>
      <c r="D32" s="299">
        <f t="shared" si="1"/>
        <v>67.406964142898389</v>
      </c>
      <c r="E32" s="292">
        <f t="shared" si="5"/>
        <v>165.28556961066863</v>
      </c>
      <c r="F32" s="300">
        <f t="shared" si="4"/>
        <v>358.27263133485718</v>
      </c>
      <c r="G32" s="294">
        <v>195121</v>
      </c>
      <c r="K32" s="232"/>
    </row>
    <row r="33" spans="2:8" ht="16.5" customHeight="1">
      <c r="B33" s="296">
        <f t="shared" si="3"/>
        <v>46262</v>
      </c>
      <c r="C33" s="292">
        <f t="shared" si="0"/>
        <v>140.12419609012309</v>
      </c>
      <c r="D33" s="299">
        <f>F33*$K$9</f>
        <v>75.213722901316075</v>
      </c>
      <c r="E33" s="292">
        <f t="shared" si="5"/>
        <v>184.42816985391201</v>
      </c>
      <c r="F33" s="300">
        <f t="shared" si="4"/>
        <v>399.76608884535119</v>
      </c>
      <c r="G33" s="294">
        <v>217719</v>
      </c>
      <c r="H33"/>
    </row>
    <row r="34" spans="2:8" ht="16.5" customHeight="1">
      <c r="B34" s="296">
        <f t="shared" si="3"/>
        <v>46263</v>
      </c>
      <c r="C34" s="292">
        <f t="shared" si="0"/>
        <v>139.75927424507006</v>
      </c>
      <c r="D34" s="299">
        <f>F34*$K$9</f>
        <v>75.017845734486144</v>
      </c>
      <c r="E34" s="292">
        <f t="shared" si="5"/>
        <v>183.9478683078496</v>
      </c>
      <c r="F34" s="300">
        <f t="shared" si="4"/>
        <v>398.72498828740578</v>
      </c>
      <c r="G34" s="294">
        <v>217152</v>
      </c>
    </row>
    <row r="35" spans="2:8" ht="16.5" customHeight="1">
      <c r="B35" s="349">
        <f t="shared" si="3"/>
        <v>46264</v>
      </c>
      <c r="C35" s="292">
        <f t="shared" si="0"/>
        <v>139.39177799546638</v>
      </c>
      <c r="D35" s="299">
        <f>F35*$K$9</f>
        <v>74.820586718154757</v>
      </c>
      <c r="E35" s="292">
        <f t="shared" si="5"/>
        <v>183.46417839109182</v>
      </c>
      <c r="F35" s="300">
        <f t="shared" si="4"/>
        <v>397.67654310471295</v>
      </c>
      <c r="G35" s="350">
        <v>216581</v>
      </c>
    </row>
    <row r="36" spans="2:8" ht="16.5" customHeight="1">
      <c r="B36" s="318">
        <f t="shared" si="3"/>
        <v>46265</v>
      </c>
      <c r="C36" s="315">
        <v>144</v>
      </c>
      <c r="D36" s="315">
        <v>67</v>
      </c>
      <c r="E36" s="315">
        <v>170</v>
      </c>
      <c r="F36" s="316">
        <v>381</v>
      </c>
      <c r="G36" s="317">
        <v>207884</v>
      </c>
    </row>
    <row r="37" spans="2:8" ht="16.5" customHeight="1">
      <c r="B37" s="86" t="s">
        <v>287</v>
      </c>
      <c r="C37" s="239">
        <f>ROUND(AVERAGE(C6:C36),0)</f>
        <v>125</v>
      </c>
      <c r="D37" s="239">
        <f>ROUND(AVERAGE(D6:D36),0)</f>
        <v>67</v>
      </c>
      <c r="E37" s="239">
        <f>ROUND(AVERAGE(E6:E36),0)</f>
        <v>164</v>
      </c>
      <c r="F37" s="239">
        <f>ROUND(AVERAGE(F6:F36),0)</f>
        <v>356</v>
      </c>
      <c r="G37" s="240"/>
    </row>
    <row r="38" spans="2:8">
      <c r="C38" s="352"/>
      <c r="D38" s="352"/>
      <c r="E38" s="352"/>
      <c r="F38" s="352"/>
      <c r="G38" s="367"/>
    </row>
  </sheetData>
  <mergeCells count="2">
    <mergeCell ref="B2:G2"/>
    <mergeCell ref="I2:M2"/>
  </mergeCells>
  <phoneticPr fontId="2" type="noConversion"/>
  <pageMargins left="0.7" right="0.7" top="0.75" bottom="0.75" header="0.3" footer="0.3"/>
  <pageSetup paperSize="256" orientation="portrait" horizontalDpi="203" verticalDpi="203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/>
  <dimension ref="B1:H38"/>
  <sheetViews>
    <sheetView showGridLines="0" topLeftCell="A18" workbookViewId="0">
      <selection activeCell="H25" sqref="H25:H26"/>
    </sheetView>
  </sheetViews>
  <sheetFormatPr defaultRowHeight="16.5"/>
  <cols>
    <col min="1" max="1" width="4.375" style="2" customWidth="1"/>
    <col min="2" max="2" width="14" style="2" customWidth="1"/>
    <col min="3" max="3" width="12.125" style="2" customWidth="1"/>
    <col min="4" max="4" width="11.125" style="3" customWidth="1"/>
    <col min="5" max="5" width="11.125" style="2" customWidth="1"/>
    <col min="6" max="6" width="11.25" style="2" customWidth="1"/>
    <col min="7" max="7" width="13.75" style="2" customWidth="1"/>
    <col min="8" max="8" width="9.875" style="2" customWidth="1"/>
    <col min="9" max="252" width="9" style="2"/>
    <col min="253" max="253" width="1.875" style="2" customWidth="1"/>
    <col min="254" max="257" width="9.875" style="2" customWidth="1"/>
    <col min="258" max="258" width="12.125" style="2" bestFit="1" customWidth="1"/>
    <col min="259" max="263" width="9.875" style="2" customWidth="1"/>
    <col min="264" max="508" width="9" style="2"/>
    <col min="509" max="509" width="1.875" style="2" customWidth="1"/>
    <col min="510" max="513" width="9.875" style="2" customWidth="1"/>
    <col min="514" max="514" width="12.125" style="2" bestFit="1" customWidth="1"/>
    <col min="515" max="519" width="9.875" style="2" customWidth="1"/>
    <col min="520" max="764" width="9" style="2"/>
    <col min="765" max="765" width="1.875" style="2" customWidth="1"/>
    <col min="766" max="769" width="9.875" style="2" customWidth="1"/>
    <col min="770" max="770" width="12.125" style="2" bestFit="1" customWidth="1"/>
    <col min="771" max="775" width="9.875" style="2" customWidth="1"/>
    <col min="776" max="1020" width="9" style="2"/>
    <col min="1021" max="1021" width="1.875" style="2" customWidth="1"/>
    <col min="1022" max="1025" width="9.875" style="2" customWidth="1"/>
    <col min="1026" max="1026" width="12.125" style="2" bestFit="1" customWidth="1"/>
    <col min="1027" max="1031" width="9.875" style="2" customWidth="1"/>
    <col min="1032" max="1276" width="9" style="2"/>
    <col min="1277" max="1277" width="1.875" style="2" customWidth="1"/>
    <col min="1278" max="1281" width="9.875" style="2" customWidth="1"/>
    <col min="1282" max="1282" width="12.125" style="2" bestFit="1" customWidth="1"/>
    <col min="1283" max="1287" width="9.875" style="2" customWidth="1"/>
    <col min="1288" max="1532" width="9" style="2"/>
    <col min="1533" max="1533" width="1.875" style="2" customWidth="1"/>
    <col min="1534" max="1537" width="9.875" style="2" customWidth="1"/>
    <col min="1538" max="1538" width="12.125" style="2" bestFit="1" customWidth="1"/>
    <col min="1539" max="1543" width="9.875" style="2" customWidth="1"/>
    <col min="1544" max="1788" width="9" style="2"/>
    <col min="1789" max="1789" width="1.875" style="2" customWidth="1"/>
    <col min="1790" max="1793" width="9.875" style="2" customWidth="1"/>
    <col min="1794" max="1794" width="12.125" style="2" bestFit="1" customWidth="1"/>
    <col min="1795" max="1799" width="9.875" style="2" customWidth="1"/>
    <col min="1800" max="2044" width="9" style="2"/>
    <col min="2045" max="2045" width="1.875" style="2" customWidth="1"/>
    <col min="2046" max="2049" width="9.875" style="2" customWidth="1"/>
    <col min="2050" max="2050" width="12.125" style="2" bestFit="1" customWidth="1"/>
    <col min="2051" max="2055" width="9.875" style="2" customWidth="1"/>
    <col min="2056" max="2300" width="9" style="2"/>
    <col min="2301" max="2301" width="1.875" style="2" customWidth="1"/>
    <col min="2302" max="2305" width="9.875" style="2" customWidth="1"/>
    <col min="2306" max="2306" width="12.125" style="2" bestFit="1" customWidth="1"/>
    <col min="2307" max="2311" width="9.875" style="2" customWidth="1"/>
    <col min="2312" max="2556" width="9" style="2"/>
    <col min="2557" max="2557" width="1.875" style="2" customWidth="1"/>
    <col min="2558" max="2561" width="9.875" style="2" customWidth="1"/>
    <col min="2562" max="2562" width="12.125" style="2" bestFit="1" customWidth="1"/>
    <col min="2563" max="2567" width="9.875" style="2" customWidth="1"/>
    <col min="2568" max="2812" width="9" style="2"/>
    <col min="2813" max="2813" width="1.875" style="2" customWidth="1"/>
    <col min="2814" max="2817" width="9.875" style="2" customWidth="1"/>
    <col min="2818" max="2818" width="12.125" style="2" bestFit="1" customWidth="1"/>
    <col min="2819" max="2823" width="9.875" style="2" customWidth="1"/>
    <col min="2824" max="3068" width="9" style="2"/>
    <col min="3069" max="3069" width="1.875" style="2" customWidth="1"/>
    <col min="3070" max="3073" width="9.875" style="2" customWidth="1"/>
    <col min="3074" max="3074" width="12.125" style="2" bestFit="1" customWidth="1"/>
    <col min="3075" max="3079" width="9.875" style="2" customWidth="1"/>
    <col min="3080" max="3324" width="9" style="2"/>
    <col min="3325" max="3325" width="1.875" style="2" customWidth="1"/>
    <col min="3326" max="3329" width="9.875" style="2" customWidth="1"/>
    <col min="3330" max="3330" width="12.125" style="2" bestFit="1" customWidth="1"/>
    <col min="3331" max="3335" width="9.875" style="2" customWidth="1"/>
    <col min="3336" max="3580" width="9" style="2"/>
    <col min="3581" max="3581" width="1.875" style="2" customWidth="1"/>
    <col min="3582" max="3585" width="9.875" style="2" customWidth="1"/>
    <col min="3586" max="3586" width="12.125" style="2" bestFit="1" customWidth="1"/>
    <col min="3587" max="3591" width="9.875" style="2" customWidth="1"/>
    <col min="3592" max="3836" width="9" style="2"/>
    <col min="3837" max="3837" width="1.875" style="2" customWidth="1"/>
    <col min="3838" max="3841" width="9.875" style="2" customWidth="1"/>
    <col min="3842" max="3842" width="12.125" style="2" bestFit="1" customWidth="1"/>
    <col min="3843" max="3847" width="9.875" style="2" customWidth="1"/>
    <col min="3848" max="4092" width="9" style="2"/>
    <col min="4093" max="4093" width="1.875" style="2" customWidth="1"/>
    <col min="4094" max="4097" width="9.875" style="2" customWidth="1"/>
    <col min="4098" max="4098" width="12.125" style="2" bestFit="1" customWidth="1"/>
    <col min="4099" max="4103" width="9.875" style="2" customWidth="1"/>
    <col min="4104" max="4348" width="9" style="2"/>
    <col min="4349" max="4349" width="1.875" style="2" customWidth="1"/>
    <col min="4350" max="4353" width="9.875" style="2" customWidth="1"/>
    <col min="4354" max="4354" width="12.125" style="2" bestFit="1" customWidth="1"/>
    <col min="4355" max="4359" width="9.875" style="2" customWidth="1"/>
    <col min="4360" max="4604" width="9" style="2"/>
    <col min="4605" max="4605" width="1.875" style="2" customWidth="1"/>
    <col min="4606" max="4609" width="9.875" style="2" customWidth="1"/>
    <col min="4610" max="4610" width="12.125" style="2" bestFit="1" customWidth="1"/>
    <col min="4611" max="4615" width="9.875" style="2" customWidth="1"/>
    <col min="4616" max="4860" width="9" style="2"/>
    <col min="4861" max="4861" width="1.875" style="2" customWidth="1"/>
    <col min="4862" max="4865" width="9.875" style="2" customWidth="1"/>
    <col min="4866" max="4866" width="12.125" style="2" bestFit="1" customWidth="1"/>
    <col min="4867" max="4871" width="9.875" style="2" customWidth="1"/>
    <col min="4872" max="5116" width="9" style="2"/>
    <col min="5117" max="5117" width="1.875" style="2" customWidth="1"/>
    <col min="5118" max="5121" width="9.875" style="2" customWidth="1"/>
    <col min="5122" max="5122" width="12.125" style="2" bestFit="1" customWidth="1"/>
    <col min="5123" max="5127" width="9.875" style="2" customWidth="1"/>
    <col min="5128" max="5372" width="9" style="2"/>
    <col min="5373" max="5373" width="1.875" style="2" customWidth="1"/>
    <col min="5374" max="5377" width="9.875" style="2" customWidth="1"/>
    <col min="5378" max="5378" width="12.125" style="2" bestFit="1" customWidth="1"/>
    <col min="5379" max="5383" width="9.875" style="2" customWidth="1"/>
    <col min="5384" max="5628" width="9" style="2"/>
    <col min="5629" max="5629" width="1.875" style="2" customWidth="1"/>
    <col min="5630" max="5633" width="9.875" style="2" customWidth="1"/>
    <col min="5634" max="5634" width="12.125" style="2" bestFit="1" customWidth="1"/>
    <col min="5635" max="5639" width="9.875" style="2" customWidth="1"/>
    <col min="5640" max="5884" width="9" style="2"/>
    <col min="5885" max="5885" width="1.875" style="2" customWidth="1"/>
    <col min="5886" max="5889" width="9.875" style="2" customWidth="1"/>
    <col min="5890" max="5890" width="12.125" style="2" bestFit="1" customWidth="1"/>
    <col min="5891" max="5895" width="9.875" style="2" customWidth="1"/>
    <col min="5896" max="6140" width="9" style="2"/>
    <col min="6141" max="6141" width="1.875" style="2" customWidth="1"/>
    <col min="6142" max="6145" width="9.875" style="2" customWidth="1"/>
    <col min="6146" max="6146" width="12.125" style="2" bestFit="1" customWidth="1"/>
    <col min="6147" max="6151" width="9.875" style="2" customWidth="1"/>
    <col min="6152" max="6396" width="9" style="2"/>
    <col min="6397" max="6397" width="1.875" style="2" customWidth="1"/>
    <col min="6398" max="6401" width="9.875" style="2" customWidth="1"/>
    <col min="6402" max="6402" width="12.125" style="2" bestFit="1" customWidth="1"/>
    <col min="6403" max="6407" width="9.875" style="2" customWidth="1"/>
    <col min="6408" max="6652" width="9" style="2"/>
    <col min="6653" max="6653" width="1.875" style="2" customWidth="1"/>
    <col min="6654" max="6657" width="9.875" style="2" customWidth="1"/>
    <col min="6658" max="6658" width="12.125" style="2" bestFit="1" customWidth="1"/>
    <col min="6659" max="6663" width="9.875" style="2" customWidth="1"/>
    <col min="6664" max="6908" width="9" style="2"/>
    <col min="6909" max="6909" width="1.875" style="2" customWidth="1"/>
    <col min="6910" max="6913" width="9.875" style="2" customWidth="1"/>
    <col min="6914" max="6914" width="12.125" style="2" bestFit="1" customWidth="1"/>
    <col min="6915" max="6919" width="9.875" style="2" customWidth="1"/>
    <col min="6920" max="7164" width="9" style="2"/>
    <col min="7165" max="7165" width="1.875" style="2" customWidth="1"/>
    <col min="7166" max="7169" width="9.875" style="2" customWidth="1"/>
    <col min="7170" max="7170" width="12.125" style="2" bestFit="1" customWidth="1"/>
    <col min="7171" max="7175" width="9.875" style="2" customWidth="1"/>
    <col min="7176" max="7420" width="9" style="2"/>
    <col min="7421" max="7421" width="1.875" style="2" customWidth="1"/>
    <col min="7422" max="7425" width="9.875" style="2" customWidth="1"/>
    <col min="7426" max="7426" width="12.125" style="2" bestFit="1" customWidth="1"/>
    <col min="7427" max="7431" width="9.875" style="2" customWidth="1"/>
    <col min="7432" max="7676" width="9" style="2"/>
    <col min="7677" max="7677" width="1.875" style="2" customWidth="1"/>
    <col min="7678" max="7681" width="9.875" style="2" customWidth="1"/>
    <col min="7682" max="7682" width="12.125" style="2" bestFit="1" customWidth="1"/>
    <col min="7683" max="7687" width="9.875" style="2" customWidth="1"/>
    <col min="7688" max="7932" width="9" style="2"/>
    <col min="7933" max="7933" width="1.875" style="2" customWidth="1"/>
    <col min="7934" max="7937" width="9.875" style="2" customWidth="1"/>
    <col min="7938" max="7938" width="12.125" style="2" bestFit="1" customWidth="1"/>
    <col min="7939" max="7943" width="9.875" style="2" customWidth="1"/>
    <col min="7944" max="8188" width="9" style="2"/>
    <col min="8189" max="8189" width="1.875" style="2" customWidth="1"/>
    <col min="8190" max="8193" width="9.875" style="2" customWidth="1"/>
    <col min="8194" max="8194" width="12.125" style="2" bestFit="1" customWidth="1"/>
    <col min="8195" max="8199" width="9.875" style="2" customWidth="1"/>
    <col min="8200" max="8444" width="9" style="2"/>
    <col min="8445" max="8445" width="1.875" style="2" customWidth="1"/>
    <col min="8446" max="8449" width="9.875" style="2" customWidth="1"/>
    <col min="8450" max="8450" width="12.125" style="2" bestFit="1" customWidth="1"/>
    <col min="8451" max="8455" width="9.875" style="2" customWidth="1"/>
    <col min="8456" max="8700" width="9" style="2"/>
    <col min="8701" max="8701" width="1.875" style="2" customWidth="1"/>
    <col min="8702" max="8705" width="9.875" style="2" customWidth="1"/>
    <col min="8706" max="8706" width="12.125" style="2" bestFit="1" customWidth="1"/>
    <col min="8707" max="8711" width="9.875" style="2" customWidth="1"/>
    <col min="8712" max="8956" width="9" style="2"/>
    <col min="8957" max="8957" width="1.875" style="2" customWidth="1"/>
    <col min="8958" max="8961" width="9.875" style="2" customWidth="1"/>
    <col min="8962" max="8962" width="12.125" style="2" bestFit="1" customWidth="1"/>
    <col min="8963" max="8967" width="9.875" style="2" customWidth="1"/>
    <col min="8968" max="9212" width="9" style="2"/>
    <col min="9213" max="9213" width="1.875" style="2" customWidth="1"/>
    <col min="9214" max="9217" width="9.875" style="2" customWidth="1"/>
    <col min="9218" max="9218" width="12.125" style="2" bestFit="1" customWidth="1"/>
    <col min="9219" max="9223" width="9.875" style="2" customWidth="1"/>
    <col min="9224" max="9468" width="9" style="2"/>
    <col min="9469" max="9469" width="1.875" style="2" customWidth="1"/>
    <col min="9470" max="9473" width="9.875" style="2" customWidth="1"/>
    <col min="9474" max="9474" width="12.125" style="2" bestFit="1" customWidth="1"/>
    <col min="9475" max="9479" width="9.875" style="2" customWidth="1"/>
    <col min="9480" max="9724" width="9" style="2"/>
    <col min="9725" max="9725" width="1.875" style="2" customWidth="1"/>
    <col min="9726" max="9729" width="9.875" style="2" customWidth="1"/>
    <col min="9730" max="9730" width="12.125" style="2" bestFit="1" customWidth="1"/>
    <col min="9731" max="9735" width="9.875" style="2" customWidth="1"/>
    <col min="9736" max="9980" width="9" style="2"/>
    <col min="9981" max="9981" width="1.875" style="2" customWidth="1"/>
    <col min="9982" max="9985" width="9.875" style="2" customWidth="1"/>
    <col min="9986" max="9986" width="12.125" style="2" bestFit="1" customWidth="1"/>
    <col min="9987" max="9991" width="9.875" style="2" customWidth="1"/>
    <col min="9992" max="10236" width="9" style="2"/>
    <col min="10237" max="10237" width="1.875" style="2" customWidth="1"/>
    <col min="10238" max="10241" width="9.875" style="2" customWidth="1"/>
    <col min="10242" max="10242" width="12.125" style="2" bestFit="1" customWidth="1"/>
    <col min="10243" max="10247" width="9.875" style="2" customWidth="1"/>
    <col min="10248" max="10492" width="9" style="2"/>
    <col min="10493" max="10493" width="1.875" style="2" customWidth="1"/>
    <col min="10494" max="10497" width="9.875" style="2" customWidth="1"/>
    <col min="10498" max="10498" width="12.125" style="2" bestFit="1" customWidth="1"/>
    <col min="10499" max="10503" width="9.875" style="2" customWidth="1"/>
    <col min="10504" max="10748" width="9" style="2"/>
    <col min="10749" max="10749" width="1.875" style="2" customWidth="1"/>
    <col min="10750" max="10753" width="9.875" style="2" customWidth="1"/>
    <col min="10754" max="10754" width="12.125" style="2" bestFit="1" customWidth="1"/>
    <col min="10755" max="10759" width="9.875" style="2" customWidth="1"/>
    <col min="10760" max="11004" width="9" style="2"/>
    <col min="11005" max="11005" width="1.875" style="2" customWidth="1"/>
    <col min="11006" max="11009" width="9.875" style="2" customWidth="1"/>
    <col min="11010" max="11010" width="12.125" style="2" bestFit="1" customWidth="1"/>
    <col min="11011" max="11015" width="9.875" style="2" customWidth="1"/>
    <col min="11016" max="11260" width="9" style="2"/>
    <col min="11261" max="11261" width="1.875" style="2" customWidth="1"/>
    <col min="11262" max="11265" width="9.875" style="2" customWidth="1"/>
    <col min="11266" max="11266" width="12.125" style="2" bestFit="1" customWidth="1"/>
    <col min="11267" max="11271" width="9.875" style="2" customWidth="1"/>
    <col min="11272" max="11516" width="9" style="2"/>
    <col min="11517" max="11517" width="1.875" style="2" customWidth="1"/>
    <col min="11518" max="11521" width="9.875" style="2" customWidth="1"/>
    <col min="11522" max="11522" width="12.125" style="2" bestFit="1" customWidth="1"/>
    <col min="11523" max="11527" width="9.875" style="2" customWidth="1"/>
    <col min="11528" max="11772" width="9" style="2"/>
    <col min="11773" max="11773" width="1.875" style="2" customWidth="1"/>
    <col min="11774" max="11777" width="9.875" style="2" customWidth="1"/>
    <col min="11778" max="11778" width="12.125" style="2" bestFit="1" customWidth="1"/>
    <col min="11779" max="11783" width="9.875" style="2" customWidth="1"/>
    <col min="11784" max="12028" width="9" style="2"/>
    <col min="12029" max="12029" width="1.875" style="2" customWidth="1"/>
    <col min="12030" max="12033" width="9.875" style="2" customWidth="1"/>
    <col min="12034" max="12034" width="12.125" style="2" bestFit="1" customWidth="1"/>
    <col min="12035" max="12039" width="9.875" style="2" customWidth="1"/>
    <col min="12040" max="12284" width="9" style="2"/>
    <col min="12285" max="12285" width="1.875" style="2" customWidth="1"/>
    <col min="12286" max="12289" width="9.875" style="2" customWidth="1"/>
    <col min="12290" max="12290" width="12.125" style="2" bestFit="1" customWidth="1"/>
    <col min="12291" max="12295" width="9.875" style="2" customWidth="1"/>
    <col min="12296" max="12540" width="9" style="2"/>
    <col min="12541" max="12541" width="1.875" style="2" customWidth="1"/>
    <col min="12542" max="12545" width="9.875" style="2" customWidth="1"/>
    <col min="12546" max="12546" width="12.125" style="2" bestFit="1" customWidth="1"/>
    <col min="12547" max="12551" width="9.875" style="2" customWidth="1"/>
    <col min="12552" max="12796" width="9" style="2"/>
    <col min="12797" max="12797" width="1.875" style="2" customWidth="1"/>
    <col min="12798" max="12801" width="9.875" style="2" customWidth="1"/>
    <col min="12802" max="12802" width="12.125" style="2" bestFit="1" customWidth="1"/>
    <col min="12803" max="12807" width="9.875" style="2" customWidth="1"/>
    <col min="12808" max="13052" width="9" style="2"/>
    <col min="13053" max="13053" width="1.875" style="2" customWidth="1"/>
    <col min="13054" max="13057" width="9.875" style="2" customWidth="1"/>
    <col min="13058" max="13058" width="12.125" style="2" bestFit="1" customWidth="1"/>
    <col min="13059" max="13063" width="9.875" style="2" customWidth="1"/>
    <col min="13064" max="13308" width="9" style="2"/>
    <col min="13309" max="13309" width="1.875" style="2" customWidth="1"/>
    <col min="13310" max="13313" width="9.875" style="2" customWidth="1"/>
    <col min="13314" max="13314" width="12.125" style="2" bestFit="1" customWidth="1"/>
    <col min="13315" max="13319" width="9.875" style="2" customWidth="1"/>
    <col min="13320" max="13564" width="9" style="2"/>
    <col min="13565" max="13565" width="1.875" style="2" customWidth="1"/>
    <col min="13566" max="13569" width="9.875" style="2" customWidth="1"/>
    <col min="13570" max="13570" width="12.125" style="2" bestFit="1" customWidth="1"/>
    <col min="13571" max="13575" width="9.875" style="2" customWidth="1"/>
    <col min="13576" max="13820" width="9" style="2"/>
    <col min="13821" max="13821" width="1.875" style="2" customWidth="1"/>
    <col min="13822" max="13825" width="9.875" style="2" customWidth="1"/>
    <col min="13826" max="13826" width="12.125" style="2" bestFit="1" customWidth="1"/>
    <col min="13827" max="13831" width="9.875" style="2" customWidth="1"/>
    <col min="13832" max="14076" width="9" style="2"/>
    <col min="14077" max="14077" width="1.875" style="2" customWidth="1"/>
    <col min="14078" max="14081" width="9.875" style="2" customWidth="1"/>
    <col min="14082" max="14082" width="12.125" style="2" bestFit="1" customWidth="1"/>
    <col min="14083" max="14087" width="9.875" style="2" customWidth="1"/>
    <col min="14088" max="14332" width="9" style="2"/>
    <col min="14333" max="14333" width="1.875" style="2" customWidth="1"/>
    <col min="14334" max="14337" width="9.875" style="2" customWidth="1"/>
    <col min="14338" max="14338" width="12.125" style="2" bestFit="1" customWidth="1"/>
    <col min="14339" max="14343" width="9.875" style="2" customWidth="1"/>
    <col min="14344" max="14588" width="9" style="2"/>
    <col min="14589" max="14589" width="1.875" style="2" customWidth="1"/>
    <col min="14590" max="14593" width="9.875" style="2" customWidth="1"/>
    <col min="14594" max="14594" width="12.125" style="2" bestFit="1" customWidth="1"/>
    <col min="14595" max="14599" width="9.875" style="2" customWidth="1"/>
    <col min="14600" max="14844" width="9" style="2"/>
    <col min="14845" max="14845" width="1.875" style="2" customWidth="1"/>
    <col min="14846" max="14849" width="9.875" style="2" customWidth="1"/>
    <col min="14850" max="14850" width="12.125" style="2" bestFit="1" customWidth="1"/>
    <col min="14851" max="14855" width="9.875" style="2" customWidth="1"/>
    <col min="14856" max="15100" width="9" style="2"/>
    <col min="15101" max="15101" width="1.875" style="2" customWidth="1"/>
    <col min="15102" max="15105" width="9.875" style="2" customWidth="1"/>
    <col min="15106" max="15106" width="12.125" style="2" bestFit="1" customWidth="1"/>
    <col min="15107" max="15111" width="9.875" style="2" customWidth="1"/>
    <col min="15112" max="15356" width="9" style="2"/>
    <col min="15357" max="15357" width="1.875" style="2" customWidth="1"/>
    <col min="15358" max="15361" width="9.875" style="2" customWidth="1"/>
    <col min="15362" max="15362" width="12.125" style="2" bestFit="1" customWidth="1"/>
    <col min="15363" max="15367" width="9.875" style="2" customWidth="1"/>
    <col min="15368" max="15612" width="9" style="2"/>
    <col min="15613" max="15613" width="1.875" style="2" customWidth="1"/>
    <col min="15614" max="15617" width="9.875" style="2" customWidth="1"/>
    <col min="15618" max="15618" width="12.125" style="2" bestFit="1" customWidth="1"/>
    <col min="15619" max="15623" width="9.875" style="2" customWidth="1"/>
    <col min="15624" max="15868" width="9" style="2"/>
    <col min="15869" max="15869" width="1.875" style="2" customWidth="1"/>
    <col min="15870" max="15873" width="9.875" style="2" customWidth="1"/>
    <col min="15874" max="15874" width="12.125" style="2" bestFit="1" customWidth="1"/>
    <col min="15875" max="15879" width="9.875" style="2" customWidth="1"/>
    <col min="15880" max="16124" width="9" style="2"/>
    <col min="16125" max="16125" width="1.875" style="2" customWidth="1"/>
    <col min="16126" max="16129" width="9.875" style="2" customWidth="1"/>
    <col min="16130" max="16130" width="12.125" style="2" bestFit="1" customWidth="1"/>
    <col min="16131" max="16135" width="9.875" style="2" customWidth="1"/>
    <col min="16136" max="16384" width="9" style="2"/>
  </cols>
  <sheetData>
    <row r="1" spans="2:8">
      <c r="B1" s="367"/>
      <c r="C1" s="367"/>
      <c r="D1" s="367"/>
    </row>
    <row r="2" spans="2:8" ht="26.25">
      <c r="B2" s="467" t="s">
        <v>291</v>
      </c>
      <c r="C2" s="467"/>
      <c r="D2" s="467"/>
      <c r="F2" s="467" t="s">
        <v>292</v>
      </c>
      <c r="G2" s="467"/>
    </row>
    <row r="3" spans="2:8" ht="17.25">
      <c r="B3" s="84"/>
      <c r="C3" s="84"/>
      <c r="D3" s="367"/>
    </row>
    <row r="4" spans="2:8" ht="17.25">
      <c r="B4" s="84" t="s">
        <v>280</v>
      </c>
      <c r="C4" s="85"/>
      <c r="D4" s="367"/>
      <c r="F4" s="84" t="s">
        <v>280</v>
      </c>
      <c r="G4" s="85"/>
    </row>
    <row r="5" spans="2:8" ht="16.5" customHeight="1">
      <c r="B5" s="86" t="s">
        <v>282</v>
      </c>
      <c r="C5" s="86" t="s">
        <v>283</v>
      </c>
      <c r="D5" s="86" t="s">
        <v>286</v>
      </c>
      <c r="F5" s="86" t="s">
        <v>282</v>
      </c>
      <c r="G5" s="86" t="s">
        <v>283</v>
      </c>
    </row>
    <row r="6" spans="2:8" ht="16.5" customHeight="1">
      <c r="B6" s="204">
        <v>46235</v>
      </c>
      <c r="C6" s="321">
        <v>9</v>
      </c>
      <c r="D6" s="321">
        <v>10471</v>
      </c>
      <c r="F6" s="223">
        <v>46249</v>
      </c>
      <c r="G6" s="170">
        <f>C20</f>
        <v>19</v>
      </c>
      <c r="H6" s="274"/>
    </row>
    <row r="7" spans="2:8" ht="16.5" customHeight="1">
      <c r="B7" s="204">
        <f>B6+1</f>
        <v>46236</v>
      </c>
      <c r="C7" s="321">
        <v>9</v>
      </c>
      <c r="D7" s="321">
        <v>9846</v>
      </c>
      <c r="F7" s="223">
        <v>46265</v>
      </c>
      <c r="G7" s="354">
        <f>C36</f>
        <v>13</v>
      </c>
      <c r="H7" s="274"/>
    </row>
    <row r="8" spans="2:8" ht="16.5" customHeight="1">
      <c r="B8" s="204">
        <f t="shared" ref="B8:B36" si="0">B7+1</f>
        <v>46237</v>
      </c>
      <c r="C8" s="321">
        <v>11</v>
      </c>
      <c r="D8" s="321">
        <v>13573</v>
      </c>
      <c r="F8" s="86"/>
      <c r="G8" s="320">
        <f>ROUNDUP(SUM(G6:G7)/2,0)</f>
        <v>16</v>
      </c>
    </row>
    <row r="9" spans="2:8" ht="16.5" customHeight="1">
      <c r="B9" s="204">
        <f t="shared" si="0"/>
        <v>46238</v>
      </c>
      <c r="C9" s="321">
        <v>11</v>
      </c>
      <c r="D9" s="321">
        <v>13085</v>
      </c>
      <c r="F9" s="367"/>
      <c r="G9" s="237"/>
    </row>
    <row r="10" spans="2:8" ht="16.5" customHeight="1">
      <c r="B10" s="204">
        <f>B9+1</f>
        <v>46239</v>
      </c>
      <c r="C10" s="321">
        <v>10</v>
      </c>
      <c r="D10" s="321">
        <v>12625</v>
      </c>
      <c r="F10" s="238" t="s">
        <v>289</v>
      </c>
      <c r="G10" s="367" t="s">
        <v>290</v>
      </c>
    </row>
    <row r="11" spans="2:8" ht="16.5" customHeight="1">
      <c r="B11" s="204">
        <f t="shared" si="0"/>
        <v>46240</v>
      </c>
      <c r="C11" s="321">
        <v>9</v>
      </c>
      <c r="D11" s="321">
        <v>10427</v>
      </c>
      <c r="F11" s="351">
        <f>(D20+D36)/2</f>
        <v>19307</v>
      </c>
      <c r="G11" s="367">
        <f>G8</f>
        <v>16</v>
      </c>
    </row>
    <row r="12" spans="2:8" ht="16.5" customHeight="1">
      <c r="B12" s="204">
        <f t="shared" si="0"/>
        <v>46241</v>
      </c>
      <c r="C12" s="321">
        <v>21</v>
      </c>
      <c r="D12" s="321">
        <v>22589</v>
      </c>
    </row>
    <row r="13" spans="2:8" ht="16.5" customHeight="1">
      <c r="B13" s="204">
        <f t="shared" si="0"/>
        <v>46242</v>
      </c>
      <c r="C13" s="321">
        <v>21</v>
      </c>
      <c r="D13" s="321">
        <v>22086</v>
      </c>
    </row>
    <row r="14" spans="2:8" ht="16.5" customHeight="1">
      <c r="B14" s="204">
        <f t="shared" si="0"/>
        <v>46243</v>
      </c>
      <c r="C14" s="321">
        <v>21</v>
      </c>
      <c r="D14" s="321">
        <v>21732</v>
      </c>
    </row>
    <row r="15" spans="2:8" ht="16.5" customHeight="1">
      <c r="B15" s="204">
        <f t="shared" si="0"/>
        <v>46244</v>
      </c>
      <c r="C15" s="321">
        <v>27</v>
      </c>
      <c r="D15" s="321">
        <v>32657</v>
      </c>
    </row>
    <row r="16" spans="2:8" ht="16.5" customHeight="1">
      <c r="B16" s="204">
        <f t="shared" si="0"/>
        <v>46245</v>
      </c>
      <c r="C16" s="321">
        <v>27</v>
      </c>
      <c r="D16" s="321">
        <v>34763</v>
      </c>
    </row>
    <row r="17" spans="2:5" ht="16.5" customHeight="1">
      <c r="B17" s="204">
        <f t="shared" si="0"/>
        <v>46246</v>
      </c>
      <c r="C17" s="321">
        <v>22</v>
      </c>
      <c r="D17" s="321">
        <v>26591</v>
      </c>
    </row>
    <row r="18" spans="2:5" ht="16.5" customHeight="1">
      <c r="B18" s="296">
        <f t="shared" si="0"/>
        <v>46247</v>
      </c>
      <c r="C18" s="322">
        <v>19</v>
      </c>
      <c r="D18" s="322">
        <v>23945</v>
      </c>
    </row>
    <row r="19" spans="2:5" ht="16.5" customHeight="1">
      <c r="B19" s="296">
        <f t="shared" si="0"/>
        <v>46248</v>
      </c>
      <c r="C19" s="322">
        <v>19</v>
      </c>
      <c r="D19" s="322">
        <v>23945</v>
      </c>
    </row>
    <row r="20" spans="2:5" ht="16.5" customHeight="1">
      <c r="B20" s="318">
        <f t="shared" si="0"/>
        <v>46249</v>
      </c>
      <c r="C20" s="323">
        <v>19</v>
      </c>
      <c r="D20" s="323">
        <v>23945</v>
      </c>
      <c r="E20"/>
    </row>
    <row r="21" spans="2:5" ht="16.5" customHeight="1">
      <c r="B21" s="296">
        <f t="shared" si="0"/>
        <v>46250</v>
      </c>
      <c r="C21" s="322">
        <v>14</v>
      </c>
      <c r="D21" s="322">
        <v>20021</v>
      </c>
    </row>
    <row r="22" spans="2:5" ht="16.5" customHeight="1">
      <c r="B22" s="296">
        <f t="shared" si="0"/>
        <v>46251</v>
      </c>
      <c r="C22" s="322">
        <v>14</v>
      </c>
      <c r="D22" s="322">
        <v>19214</v>
      </c>
    </row>
    <row r="23" spans="2:5" ht="16.5" customHeight="1">
      <c r="B23" s="296">
        <f t="shared" si="0"/>
        <v>46252</v>
      </c>
      <c r="C23" s="322">
        <v>11</v>
      </c>
      <c r="D23" s="322">
        <v>13880</v>
      </c>
    </row>
    <row r="24" spans="2:5" ht="16.5" customHeight="1">
      <c r="B24" s="296">
        <f t="shared" si="0"/>
        <v>46253</v>
      </c>
      <c r="C24" s="322">
        <v>11</v>
      </c>
      <c r="D24" s="322">
        <v>13811</v>
      </c>
    </row>
    <row r="25" spans="2:5" ht="16.5" customHeight="1">
      <c r="B25" s="296">
        <f t="shared" si="0"/>
        <v>46254</v>
      </c>
      <c r="C25" s="322">
        <v>11</v>
      </c>
      <c r="D25" s="322">
        <v>13210</v>
      </c>
    </row>
    <row r="26" spans="2:5" ht="16.5" customHeight="1">
      <c r="B26" s="296">
        <f t="shared" si="0"/>
        <v>46255</v>
      </c>
      <c r="C26" s="322">
        <v>10</v>
      </c>
      <c r="D26" s="322">
        <v>12813</v>
      </c>
    </row>
    <row r="27" spans="2:5" ht="16.5" customHeight="1">
      <c r="B27" s="296">
        <f t="shared" si="0"/>
        <v>46256</v>
      </c>
      <c r="C27" s="322">
        <v>10</v>
      </c>
      <c r="D27" s="322">
        <v>12429</v>
      </c>
    </row>
    <row r="28" spans="2:5" ht="16.5" customHeight="1">
      <c r="B28" s="296">
        <f t="shared" si="0"/>
        <v>46257</v>
      </c>
      <c r="C28" s="322">
        <v>10</v>
      </c>
      <c r="D28" s="322">
        <v>12185</v>
      </c>
    </row>
    <row r="29" spans="2:5" ht="16.5" customHeight="1">
      <c r="B29" s="296">
        <f>B28+1</f>
        <v>46258</v>
      </c>
      <c r="C29" s="322">
        <v>12</v>
      </c>
      <c r="D29" s="322">
        <v>16546</v>
      </c>
    </row>
    <row r="30" spans="2:5" ht="16.5" customHeight="1">
      <c r="B30" s="296">
        <f t="shared" si="0"/>
        <v>46259</v>
      </c>
      <c r="C30" s="322">
        <v>11</v>
      </c>
      <c r="D30" s="322">
        <v>14924</v>
      </c>
    </row>
    <row r="31" spans="2:5" ht="16.5" customHeight="1">
      <c r="B31" s="296">
        <f t="shared" si="0"/>
        <v>46260</v>
      </c>
      <c r="C31" s="322">
        <v>12</v>
      </c>
      <c r="D31" s="322">
        <v>14873</v>
      </c>
    </row>
    <row r="32" spans="2:5" ht="16.5" customHeight="1">
      <c r="B32" s="296">
        <f t="shared" si="0"/>
        <v>46261</v>
      </c>
      <c r="C32" s="322">
        <v>11</v>
      </c>
      <c r="D32" s="322">
        <v>13255</v>
      </c>
    </row>
    <row r="33" spans="2:4" ht="16.5" customHeight="1">
      <c r="B33" s="296">
        <f t="shared" si="0"/>
        <v>46262</v>
      </c>
      <c r="C33" s="322">
        <v>12</v>
      </c>
      <c r="D33" s="322">
        <v>14384</v>
      </c>
    </row>
    <row r="34" spans="2:4" ht="16.5" customHeight="1">
      <c r="B34" s="296">
        <f t="shared" si="0"/>
        <v>46263</v>
      </c>
      <c r="C34" s="322">
        <v>11</v>
      </c>
      <c r="D34" s="322">
        <v>14185</v>
      </c>
    </row>
    <row r="35" spans="2:4" ht="16.5" customHeight="1">
      <c r="B35" s="349">
        <f t="shared" si="0"/>
        <v>46264</v>
      </c>
      <c r="C35" s="322">
        <v>10</v>
      </c>
      <c r="D35" s="322">
        <v>14102</v>
      </c>
    </row>
    <row r="36" spans="2:4" ht="16.5" customHeight="1">
      <c r="B36" s="318">
        <f t="shared" si="0"/>
        <v>46265</v>
      </c>
      <c r="C36" s="315">
        <v>13</v>
      </c>
      <c r="D36" s="324">
        <v>14669</v>
      </c>
    </row>
    <row r="37" spans="2:4" ht="16.5" customHeight="1">
      <c r="B37" s="86" t="s">
        <v>287</v>
      </c>
      <c r="C37" s="320">
        <f>ROUND(AVERAGE(C6:C36),0)</f>
        <v>14</v>
      </c>
      <c r="D37" s="320">
        <f>ROUND(AVERAGE(D6:D36),0)</f>
        <v>17316</v>
      </c>
    </row>
    <row r="38" spans="2:4">
      <c r="C38" s="352"/>
      <c r="D38" s="353"/>
    </row>
  </sheetData>
  <mergeCells count="2">
    <mergeCell ref="B2:D2"/>
    <mergeCell ref="F2:G2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1:N38"/>
  <sheetViews>
    <sheetView showGridLines="0" zoomScaleNormal="100" workbookViewId="0">
      <pane ySplit="6" topLeftCell="A7" activePane="bottomLeft" state="frozen"/>
      <selection pane="bottomLeft" activeCell="I20" sqref="I20"/>
      <selection activeCell="I27" sqref="I27"/>
    </sheetView>
  </sheetViews>
  <sheetFormatPr defaultRowHeight="16.5" customHeight="1"/>
  <cols>
    <col min="1" max="1" width="4.375" style="2" customWidth="1"/>
    <col min="2" max="3" width="14" style="2" customWidth="1"/>
    <col min="4" max="6" width="12.125" style="2" customWidth="1"/>
    <col min="7" max="7" width="11.125" style="3" customWidth="1"/>
    <col min="8" max="8" width="11.125" style="2" customWidth="1"/>
    <col min="9" max="9" width="8.875" style="2" bestFit="1" customWidth="1"/>
    <col min="10" max="10" width="12" style="2" customWidth="1"/>
    <col min="11" max="11" width="11" style="2" customWidth="1"/>
    <col min="12" max="12" width="11.75" style="2" customWidth="1"/>
    <col min="13" max="13" width="13.75" style="2" customWidth="1"/>
    <col min="14" max="14" width="9.875" style="2" customWidth="1"/>
    <col min="15" max="258" width="9" style="2"/>
    <col min="259" max="259" width="1.875" style="2" customWidth="1"/>
    <col min="260" max="263" width="9.875" style="2" customWidth="1"/>
    <col min="264" max="264" width="12.125" style="2" bestFit="1" customWidth="1"/>
    <col min="265" max="269" width="9.875" style="2" customWidth="1"/>
    <col min="270" max="514" width="9" style="2"/>
    <col min="515" max="515" width="1.875" style="2" customWidth="1"/>
    <col min="516" max="519" width="9.875" style="2" customWidth="1"/>
    <col min="520" max="520" width="12.125" style="2" bestFit="1" customWidth="1"/>
    <col min="521" max="525" width="9.875" style="2" customWidth="1"/>
    <col min="526" max="770" width="9" style="2"/>
    <col min="771" max="771" width="1.875" style="2" customWidth="1"/>
    <col min="772" max="775" width="9.875" style="2" customWidth="1"/>
    <col min="776" max="776" width="12.125" style="2" bestFit="1" customWidth="1"/>
    <col min="777" max="781" width="9.875" style="2" customWidth="1"/>
    <col min="782" max="1026" width="9" style="2"/>
    <col min="1027" max="1027" width="1.875" style="2" customWidth="1"/>
    <col min="1028" max="1031" width="9.875" style="2" customWidth="1"/>
    <col min="1032" max="1032" width="12.125" style="2" bestFit="1" customWidth="1"/>
    <col min="1033" max="1037" width="9.875" style="2" customWidth="1"/>
    <col min="1038" max="1282" width="9" style="2"/>
    <col min="1283" max="1283" width="1.875" style="2" customWidth="1"/>
    <col min="1284" max="1287" width="9.875" style="2" customWidth="1"/>
    <col min="1288" max="1288" width="12.125" style="2" bestFit="1" customWidth="1"/>
    <col min="1289" max="1293" width="9.875" style="2" customWidth="1"/>
    <col min="1294" max="1538" width="9" style="2"/>
    <col min="1539" max="1539" width="1.875" style="2" customWidth="1"/>
    <col min="1540" max="1543" width="9.875" style="2" customWidth="1"/>
    <col min="1544" max="1544" width="12.125" style="2" bestFit="1" customWidth="1"/>
    <col min="1545" max="1549" width="9.875" style="2" customWidth="1"/>
    <col min="1550" max="1794" width="9" style="2"/>
    <col min="1795" max="1795" width="1.875" style="2" customWidth="1"/>
    <col min="1796" max="1799" width="9.875" style="2" customWidth="1"/>
    <col min="1800" max="1800" width="12.125" style="2" bestFit="1" customWidth="1"/>
    <col min="1801" max="1805" width="9.875" style="2" customWidth="1"/>
    <col min="1806" max="2050" width="9" style="2"/>
    <col min="2051" max="2051" width="1.875" style="2" customWidth="1"/>
    <col min="2052" max="2055" width="9.875" style="2" customWidth="1"/>
    <col min="2056" max="2056" width="12.125" style="2" bestFit="1" customWidth="1"/>
    <col min="2057" max="2061" width="9.875" style="2" customWidth="1"/>
    <col min="2062" max="2306" width="9" style="2"/>
    <col min="2307" max="2307" width="1.875" style="2" customWidth="1"/>
    <col min="2308" max="2311" width="9.875" style="2" customWidth="1"/>
    <col min="2312" max="2312" width="12.125" style="2" bestFit="1" customWidth="1"/>
    <col min="2313" max="2317" width="9.875" style="2" customWidth="1"/>
    <col min="2318" max="2562" width="9" style="2"/>
    <col min="2563" max="2563" width="1.875" style="2" customWidth="1"/>
    <col min="2564" max="2567" width="9.875" style="2" customWidth="1"/>
    <col min="2568" max="2568" width="12.125" style="2" bestFit="1" customWidth="1"/>
    <col min="2569" max="2573" width="9.875" style="2" customWidth="1"/>
    <col min="2574" max="2818" width="9" style="2"/>
    <col min="2819" max="2819" width="1.875" style="2" customWidth="1"/>
    <col min="2820" max="2823" width="9.875" style="2" customWidth="1"/>
    <col min="2824" max="2824" width="12.125" style="2" bestFit="1" customWidth="1"/>
    <col min="2825" max="2829" width="9.875" style="2" customWidth="1"/>
    <col min="2830" max="3074" width="9" style="2"/>
    <col min="3075" max="3075" width="1.875" style="2" customWidth="1"/>
    <col min="3076" max="3079" width="9.875" style="2" customWidth="1"/>
    <col min="3080" max="3080" width="12.125" style="2" bestFit="1" customWidth="1"/>
    <col min="3081" max="3085" width="9.875" style="2" customWidth="1"/>
    <col min="3086" max="3330" width="9" style="2"/>
    <col min="3331" max="3331" width="1.875" style="2" customWidth="1"/>
    <col min="3332" max="3335" width="9.875" style="2" customWidth="1"/>
    <col min="3336" max="3336" width="12.125" style="2" bestFit="1" customWidth="1"/>
    <col min="3337" max="3341" width="9.875" style="2" customWidth="1"/>
    <col min="3342" max="3586" width="9" style="2"/>
    <col min="3587" max="3587" width="1.875" style="2" customWidth="1"/>
    <col min="3588" max="3591" width="9.875" style="2" customWidth="1"/>
    <col min="3592" max="3592" width="12.125" style="2" bestFit="1" customWidth="1"/>
    <col min="3593" max="3597" width="9.875" style="2" customWidth="1"/>
    <col min="3598" max="3842" width="9" style="2"/>
    <col min="3843" max="3843" width="1.875" style="2" customWidth="1"/>
    <col min="3844" max="3847" width="9.875" style="2" customWidth="1"/>
    <col min="3848" max="3848" width="12.125" style="2" bestFit="1" customWidth="1"/>
    <col min="3849" max="3853" width="9.875" style="2" customWidth="1"/>
    <col min="3854" max="4098" width="9" style="2"/>
    <col min="4099" max="4099" width="1.875" style="2" customWidth="1"/>
    <col min="4100" max="4103" width="9.875" style="2" customWidth="1"/>
    <col min="4104" max="4104" width="12.125" style="2" bestFit="1" customWidth="1"/>
    <col min="4105" max="4109" width="9.875" style="2" customWidth="1"/>
    <col min="4110" max="4354" width="9" style="2"/>
    <col min="4355" max="4355" width="1.875" style="2" customWidth="1"/>
    <col min="4356" max="4359" width="9.875" style="2" customWidth="1"/>
    <col min="4360" max="4360" width="12.125" style="2" bestFit="1" customWidth="1"/>
    <col min="4361" max="4365" width="9.875" style="2" customWidth="1"/>
    <col min="4366" max="4610" width="9" style="2"/>
    <col min="4611" max="4611" width="1.875" style="2" customWidth="1"/>
    <col min="4612" max="4615" width="9.875" style="2" customWidth="1"/>
    <col min="4616" max="4616" width="12.125" style="2" bestFit="1" customWidth="1"/>
    <col min="4617" max="4621" width="9.875" style="2" customWidth="1"/>
    <col min="4622" max="4866" width="9" style="2"/>
    <col min="4867" max="4867" width="1.875" style="2" customWidth="1"/>
    <col min="4868" max="4871" width="9.875" style="2" customWidth="1"/>
    <col min="4872" max="4872" width="12.125" style="2" bestFit="1" customWidth="1"/>
    <col min="4873" max="4877" width="9.875" style="2" customWidth="1"/>
    <col min="4878" max="5122" width="9" style="2"/>
    <col min="5123" max="5123" width="1.875" style="2" customWidth="1"/>
    <col min="5124" max="5127" width="9.875" style="2" customWidth="1"/>
    <col min="5128" max="5128" width="12.125" style="2" bestFit="1" customWidth="1"/>
    <col min="5129" max="5133" width="9.875" style="2" customWidth="1"/>
    <col min="5134" max="5378" width="9" style="2"/>
    <col min="5379" max="5379" width="1.875" style="2" customWidth="1"/>
    <col min="5380" max="5383" width="9.875" style="2" customWidth="1"/>
    <col min="5384" max="5384" width="12.125" style="2" bestFit="1" customWidth="1"/>
    <col min="5385" max="5389" width="9.875" style="2" customWidth="1"/>
    <col min="5390" max="5634" width="9" style="2"/>
    <col min="5635" max="5635" width="1.875" style="2" customWidth="1"/>
    <col min="5636" max="5639" width="9.875" style="2" customWidth="1"/>
    <col min="5640" max="5640" width="12.125" style="2" bestFit="1" customWidth="1"/>
    <col min="5641" max="5645" width="9.875" style="2" customWidth="1"/>
    <col min="5646" max="5890" width="9" style="2"/>
    <col min="5891" max="5891" width="1.875" style="2" customWidth="1"/>
    <col min="5892" max="5895" width="9.875" style="2" customWidth="1"/>
    <col min="5896" max="5896" width="12.125" style="2" bestFit="1" customWidth="1"/>
    <col min="5897" max="5901" width="9.875" style="2" customWidth="1"/>
    <col min="5902" max="6146" width="9" style="2"/>
    <col min="6147" max="6147" width="1.875" style="2" customWidth="1"/>
    <col min="6148" max="6151" width="9.875" style="2" customWidth="1"/>
    <col min="6152" max="6152" width="12.125" style="2" bestFit="1" customWidth="1"/>
    <col min="6153" max="6157" width="9.875" style="2" customWidth="1"/>
    <col min="6158" max="6402" width="9" style="2"/>
    <col min="6403" max="6403" width="1.875" style="2" customWidth="1"/>
    <col min="6404" max="6407" width="9.875" style="2" customWidth="1"/>
    <col min="6408" max="6408" width="12.125" style="2" bestFit="1" customWidth="1"/>
    <col min="6409" max="6413" width="9.875" style="2" customWidth="1"/>
    <col min="6414" max="6658" width="9" style="2"/>
    <col min="6659" max="6659" width="1.875" style="2" customWidth="1"/>
    <col min="6660" max="6663" width="9.875" style="2" customWidth="1"/>
    <col min="6664" max="6664" width="12.125" style="2" bestFit="1" customWidth="1"/>
    <col min="6665" max="6669" width="9.875" style="2" customWidth="1"/>
    <col min="6670" max="6914" width="9" style="2"/>
    <col min="6915" max="6915" width="1.875" style="2" customWidth="1"/>
    <col min="6916" max="6919" width="9.875" style="2" customWidth="1"/>
    <col min="6920" max="6920" width="12.125" style="2" bestFit="1" customWidth="1"/>
    <col min="6921" max="6925" width="9.875" style="2" customWidth="1"/>
    <col min="6926" max="7170" width="9" style="2"/>
    <col min="7171" max="7171" width="1.875" style="2" customWidth="1"/>
    <col min="7172" max="7175" width="9.875" style="2" customWidth="1"/>
    <col min="7176" max="7176" width="12.125" style="2" bestFit="1" customWidth="1"/>
    <col min="7177" max="7181" width="9.875" style="2" customWidth="1"/>
    <col min="7182" max="7426" width="9" style="2"/>
    <col min="7427" max="7427" width="1.875" style="2" customWidth="1"/>
    <col min="7428" max="7431" width="9.875" style="2" customWidth="1"/>
    <col min="7432" max="7432" width="12.125" style="2" bestFit="1" customWidth="1"/>
    <col min="7433" max="7437" width="9.875" style="2" customWidth="1"/>
    <col min="7438" max="7682" width="9" style="2"/>
    <col min="7683" max="7683" width="1.875" style="2" customWidth="1"/>
    <col min="7684" max="7687" width="9.875" style="2" customWidth="1"/>
    <col min="7688" max="7688" width="12.125" style="2" bestFit="1" customWidth="1"/>
    <col min="7689" max="7693" width="9.875" style="2" customWidth="1"/>
    <col min="7694" max="7938" width="9" style="2"/>
    <col min="7939" max="7939" width="1.875" style="2" customWidth="1"/>
    <col min="7940" max="7943" width="9.875" style="2" customWidth="1"/>
    <col min="7944" max="7944" width="12.125" style="2" bestFit="1" customWidth="1"/>
    <col min="7945" max="7949" width="9.875" style="2" customWidth="1"/>
    <col min="7950" max="8194" width="9" style="2"/>
    <col min="8195" max="8195" width="1.875" style="2" customWidth="1"/>
    <col min="8196" max="8199" width="9.875" style="2" customWidth="1"/>
    <col min="8200" max="8200" width="12.125" style="2" bestFit="1" customWidth="1"/>
    <col min="8201" max="8205" width="9.875" style="2" customWidth="1"/>
    <col min="8206" max="8450" width="9" style="2"/>
    <col min="8451" max="8451" width="1.875" style="2" customWidth="1"/>
    <col min="8452" max="8455" width="9.875" style="2" customWidth="1"/>
    <col min="8456" max="8456" width="12.125" style="2" bestFit="1" customWidth="1"/>
    <col min="8457" max="8461" width="9.875" style="2" customWidth="1"/>
    <col min="8462" max="8706" width="9" style="2"/>
    <col min="8707" max="8707" width="1.875" style="2" customWidth="1"/>
    <col min="8708" max="8711" width="9.875" style="2" customWidth="1"/>
    <col min="8712" max="8712" width="12.125" style="2" bestFit="1" customWidth="1"/>
    <col min="8713" max="8717" width="9.875" style="2" customWidth="1"/>
    <col min="8718" max="8962" width="9" style="2"/>
    <col min="8963" max="8963" width="1.875" style="2" customWidth="1"/>
    <col min="8964" max="8967" width="9.875" style="2" customWidth="1"/>
    <col min="8968" max="8968" width="12.125" style="2" bestFit="1" customWidth="1"/>
    <col min="8969" max="8973" width="9.875" style="2" customWidth="1"/>
    <col min="8974" max="9218" width="9" style="2"/>
    <col min="9219" max="9219" width="1.875" style="2" customWidth="1"/>
    <col min="9220" max="9223" width="9.875" style="2" customWidth="1"/>
    <col min="9224" max="9224" width="12.125" style="2" bestFit="1" customWidth="1"/>
    <col min="9225" max="9229" width="9.875" style="2" customWidth="1"/>
    <col min="9230" max="9474" width="9" style="2"/>
    <col min="9475" max="9475" width="1.875" style="2" customWidth="1"/>
    <col min="9476" max="9479" width="9.875" style="2" customWidth="1"/>
    <col min="9480" max="9480" width="12.125" style="2" bestFit="1" customWidth="1"/>
    <col min="9481" max="9485" width="9.875" style="2" customWidth="1"/>
    <col min="9486" max="9730" width="9" style="2"/>
    <col min="9731" max="9731" width="1.875" style="2" customWidth="1"/>
    <col min="9732" max="9735" width="9.875" style="2" customWidth="1"/>
    <col min="9736" max="9736" width="12.125" style="2" bestFit="1" customWidth="1"/>
    <col min="9737" max="9741" width="9.875" style="2" customWidth="1"/>
    <col min="9742" max="9986" width="9" style="2"/>
    <col min="9987" max="9987" width="1.875" style="2" customWidth="1"/>
    <col min="9988" max="9991" width="9.875" style="2" customWidth="1"/>
    <col min="9992" max="9992" width="12.125" style="2" bestFit="1" customWidth="1"/>
    <col min="9993" max="9997" width="9.875" style="2" customWidth="1"/>
    <col min="9998" max="10242" width="9" style="2"/>
    <col min="10243" max="10243" width="1.875" style="2" customWidth="1"/>
    <col min="10244" max="10247" width="9.875" style="2" customWidth="1"/>
    <col min="10248" max="10248" width="12.125" style="2" bestFit="1" customWidth="1"/>
    <col min="10249" max="10253" width="9.875" style="2" customWidth="1"/>
    <col min="10254" max="10498" width="9" style="2"/>
    <col min="10499" max="10499" width="1.875" style="2" customWidth="1"/>
    <col min="10500" max="10503" width="9.875" style="2" customWidth="1"/>
    <col min="10504" max="10504" width="12.125" style="2" bestFit="1" customWidth="1"/>
    <col min="10505" max="10509" width="9.875" style="2" customWidth="1"/>
    <col min="10510" max="10754" width="9" style="2"/>
    <col min="10755" max="10755" width="1.875" style="2" customWidth="1"/>
    <col min="10756" max="10759" width="9.875" style="2" customWidth="1"/>
    <col min="10760" max="10760" width="12.125" style="2" bestFit="1" customWidth="1"/>
    <col min="10761" max="10765" width="9.875" style="2" customWidth="1"/>
    <col min="10766" max="11010" width="9" style="2"/>
    <col min="11011" max="11011" width="1.875" style="2" customWidth="1"/>
    <col min="11012" max="11015" width="9.875" style="2" customWidth="1"/>
    <col min="11016" max="11016" width="12.125" style="2" bestFit="1" customWidth="1"/>
    <col min="11017" max="11021" width="9.875" style="2" customWidth="1"/>
    <col min="11022" max="11266" width="9" style="2"/>
    <col min="11267" max="11267" width="1.875" style="2" customWidth="1"/>
    <col min="11268" max="11271" width="9.875" style="2" customWidth="1"/>
    <col min="11272" max="11272" width="12.125" style="2" bestFit="1" customWidth="1"/>
    <col min="11273" max="11277" width="9.875" style="2" customWidth="1"/>
    <col min="11278" max="11522" width="9" style="2"/>
    <col min="11523" max="11523" width="1.875" style="2" customWidth="1"/>
    <col min="11524" max="11527" width="9.875" style="2" customWidth="1"/>
    <col min="11528" max="11528" width="12.125" style="2" bestFit="1" customWidth="1"/>
    <col min="11529" max="11533" width="9.875" style="2" customWidth="1"/>
    <col min="11534" max="11778" width="9" style="2"/>
    <col min="11779" max="11779" width="1.875" style="2" customWidth="1"/>
    <col min="11780" max="11783" width="9.875" style="2" customWidth="1"/>
    <col min="11784" max="11784" width="12.125" style="2" bestFit="1" customWidth="1"/>
    <col min="11785" max="11789" width="9.875" style="2" customWidth="1"/>
    <col min="11790" max="12034" width="9" style="2"/>
    <col min="12035" max="12035" width="1.875" style="2" customWidth="1"/>
    <col min="12036" max="12039" width="9.875" style="2" customWidth="1"/>
    <col min="12040" max="12040" width="12.125" style="2" bestFit="1" customWidth="1"/>
    <col min="12041" max="12045" width="9.875" style="2" customWidth="1"/>
    <col min="12046" max="12290" width="9" style="2"/>
    <col min="12291" max="12291" width="1.875" style="2" customWidth="1"/>
    <col min="12292" max="12295" width="9.875" style="2" customWidth="1"/>
    <col min="12296" max="12296" width="12.125" style="2" bestFit="1" customWidth="1"/>
    <col min="12297" max="12301" width="9.875" style="2" customWidth="1"/>
    <col min="12302" max="12546" width="9" style="2"/>
    <col min="12547" max="12547" width="1.875" style="2" customWidth="1"/>
    <col min="12548" max="12551" width="9.875" style="2" customWidth="1"/>
    <col min="12552" max="12552" width="12.125" style="2" bestFit="1" customWidth="1"/>
    <col min="12553" max="12557" width="9.875" style="2" customWidth="1"/>
    <col min="12558" max="12802" width="9" style="2"/>
    <col min="12803" max="12803" width="1.875" style="2" customWidth="1"/>
    <col min="12804" max="12807" width="9.875" style="2" customWidth="1"/>
    <col min="12808" max="12808" width="12.125" style="2" bestFit="1" customWidth="1"/>
    <col min="12809" max="12813" width="9.875" style="2" customWidth="1"/>
    <col min="12814" max="13058" width="9" style="2"/>
    <col min="13059" max="13059" width="1.875" style="2" customWidth="1"/>
    <col min="13060" max="13063" width="9.875" style="2" customWidth="1"/>
    <col min="13064" max="13064" width="12.125" style="2" bestFit="1" customWidth="1"/>
    <col min="13065" max="13069" width="9.875" style="2" customWidth="1"/>
    <col min="13070" max="13314" width="9" style="2"/>
    <col min="13315" max="13315" width="1.875" style="2" customWidth="1"/>
    <col min="13316" max="13319" width="9.875" style="2" customWidth="1"/>
    <col min="13320" max="13320" width="12.125" style="2" bestFit="1" customWidth="1"/>
    <col min="13321" max="13325" width="9.875" style="2" customWidth="1"/>
    <col min="13326" max="13570" width="9" style="2"/>
    <col min="13571" max="13571" width="1.875" style="2" customWidth="1"/>
    <col min="13572" max="13575" width="9.875" style="2" customWidth="1"/>
    <col min="13576" max="13576" width="12.125" style="2" bestFit="1" customWidth="1"/>
    <col min="13577" max="13581" width="9.875" style="2" customWidth="1"/>
    <col min="13582" max="13826" width="9" style="2"/>
    <col min="13827" max="13827" width="1.875" style="2" customWidth="1"/>
    <col min="13828" max="13831" width="9.875" style="2" customWidth="1"/>
    <col min="13832" max="13832" width="12.125" style="2" bestFit="1" customWidth="1"/>
    <col min="13833" max="13837" width="9.875" style="2" customWidth="1"/>
    <col min="13838" max="14082" width="9" style="2"/>
    <col min="14083" max="14083" width="1.875" style="2" customWidth="1"/>
    <col min="14084" max="14087" width="9.875" style="2" customWidth="1"/>
    <col min="14088" max="14088" width="12.125" style="2" bestFit="1" customWidth="1"/>
    <col min="14089" max="14093" width="9.875" style="2" customWidth="1"/>
    <col min="14094" max="14338" width="9" style="2"/>
    <col min="14339" max="14339" width="1.875" style="2" customWidth="1"/>
    <col min="14340" max="14343" width="9.875" style="2" customWidth="1"/>
    <col min="14344" max="14344" width="12.125" style="2" bestFit="1" customWidth="1"/>
    <col min="14345" max="14349" width="9.875" style="2" customWidth="1"/>
    <col min="14350" max="14594" width="9" style="2"/>
    <col min="14595" max="14595" width="1.875" style="2" customWidth="1"/>
    <col min="14596" max="14599" width="9.875" style="2" customWidth="1"/>
    <col min="14600" max="14600" width="12.125" style="2" bestFit="1" customWidth="1"/>
    <col min="14601" max="14605" width="9.875" style="2" customWidth="1"/>
    <col min="14606" max="14850" width="9" style="2"/>
    <col min="14851" max="14851" width="1.875" style="2" customWidth="1"/>
    <col min="14852" max="14855" width="9.875" style="2" customWidth="1"/>
    <col min="14856" max="14856" width="12.125" style="2" bestFit="1" customWidth="1"/>
    <col min="14857" max="14861" width="9.875" style="2" customWidth="1"/>
    <col min="14862" max="15106" width="9" style="2"/>
    <col min="15107" max="15107" width="1.875" style="2" customWidth="1"/>
    <col min="15108" max="15111" width="9.875" style="2" customWidth="1"/>
    <col min="15112" max="15112" width="12.125" style="2" bestFit="1" customWidth="1"/>
    <col min="15113" max="15117" width="9.875" style="2" customWidth="1"/>
    <col min="15118" max="15362" width="9" style="2"/>
    <col min="15363" max="15363" width="1.875" style="2" customWidth="1"/>
    <col min="15364" max="15367" width="9.875" style="2" customWidth="1"/>
    <col min="15368" max="15368" width="12.125" style="2" bestFit="1" customWidth="1"/>
    <col min="15369" max="15373" width="9.875" style="2" customWidth="1"/>
    <col min="15374" max="15618" width="9" style="2"/>
    <col min="15619" max="15619" width="1.875" style="2" customWidth="1"/>
    <col min="15620" max="15623" width="9.875" style="2" customWidth="1"/>
    <col min="15624" max="15624" width="12.125" style="2" bestFit="1" customWidth="1"/>
    <col min="15625" max="15629" width="9.875" style="2" customWidth="1"/>
    <col min="15630" max="15874" width="9" style="2"/>
    <col min="15875" max="15875" width="1.875" style="2" customWidth="1"/>
    <col min="15876" max="15879" width="9.875" style="2" customWidth="1"/>
    <col min="15880" max="15880" width="12.125" style="2" bestFit="1" customWidth="1"/>
    <col min="15881" max="15885" width="9.875" style="2" customWidth="1"/>
    <col min="15886" max="16130" width="9" style="2"/>
    <col min="16131" max="16131" width="1.875" style="2" customWidth="1"/>
    <col min="16132" max="16135" width="9.875" style="2" customWidth="1"/>
    <col min="16136" max="16136" width="12.125" style="2" bestFit="1" customWidth="1"/>
    <col min="16137" max="16141" width="9.875" style="2" customWidth="1"/>
    <col min="16142" max="16384" width="9" style="2"/>
  </cols>
  <sheetData>
    <row r="1" spans="2:14">
      <c r="B1" s="367"/>
      <c r="C1" s="367"/>
      <c r="D1" s="367"/>
      <c r="E1" s="367"/>
      <c r="F1" s="367"/>
      <c r="G1" s="367"/>
    </row>
    <row r="2" spans="2:14" ht="26.25">
      <c r="B2" s="467" t="s">
        <v>278</v>
      </c>
      <c r="C2" s="467"/>
      <c r="D2" s="467"/>
      <c r="E2" s="467"/>
      <c r="F2" s="467"/>
      <c r="G2" s="467"/>
      <c r="I2" s="467" t="s">
        <v>279</v>
      </c>
      <c r="J2" s="467"/>
      <c r="K2" s="467"/>
      <c r="L2" s="467"/>
      <c r="M2" s="467"/>
    </row>
    <row r="3" spans="2:14" ht="16.5" customHeight="1">
      <c r="B3" s="84"/>
      <c r="C3" s="84"/>
      <c r="D3" s="84"/>
      <c r="E3" s="84"/>
      <c r="F3" s="84"/>
      <c r="G3" s="367"/>
      <c r="L3" s="328"/>
      <c r="M3" s="328"/>
      <c r="N3" s="328"/>
    </row>
    <row r="4" spans="2:14" ht="16.5" customHeight="1">
      <c r="B4" s="84" t="s">
        <v>280</v>
      </c>
      <c r="C4" s="84"/>
      <c r="D4" s="85"/>
      <c r="E4" s="22"/>
      <c r="F4" s="22" t="s">
        <v>281</v>
      </c>
      <c r="G4" s="367"/>
      <c r="I4" s="84" t="s">
        <v>280</v>
      </c>
      <c r="J4" s="84"/>
      <c r="K4" s="85"/>
      <c r="L4" s="328"/>
      <c r="M4" s="331" t="s">
        <v>281</v>
      </c>
      <c r="N4" s="328"/>
    </row>
    <row r="5" spans="2:14" ht="16.5" customHeight="1">
      <c r="B5" s="86" t="s">
        <v>282</v>
      </c>
      <c r="C5" s="86" t="s">
        <v>174</v>
      </c>
      <c r="D5" s="86" t="s">
        <v>283</v>
      </c>
      <c r="E5" s="86" t="s">
        <v>284</v>
      </c>
      <c r="F5" s="203" t="s">
        <v>285</v>
      </c>
      <c r="G5" s="86" t="s">
        <v>286</v>
      </c>
      <c r="I5" s="86" t="s">
        <v>282</v>
      </c>
      <c r="J5" s="86" t="s">
        <v>174</v>
      </c>
      <c r="K5" s="86" t="s">
        <v>283</v>
      </c>
      <c r="L5" s="330" t="s">
        <v>284</v>
      </c>
      <c r="M5" s="330" t="s">
        <v>285</v>
      </c>
    </row>
    <row r="6" spans="2:14" ht="16.5" customHeight="1">
      <c r="B6" s="204">
        <v>46235</v>
      </c>
      <c r="C6" s="205">
        <f>F6*$J$9</f>
        <v>109.20431189239348</v>
      </c>
      <c r="D6" s="205">
        <f>F6*$K$9</f>
        <v>71.464586458992784</v>
      </c>
      <c r="E6" s="205">
        <f>F6-D6</f>
        <v>252.93645769194077</v>
      </c>
      <c r="F6" s="236">
        <f>G6*$L$11/$K$11</f>
        <v>324.40104415093356</v>
      </c>
      <c r="G6" s="170">
        <f>'보관료_주력품목 제외'!G6+보관료_주력품목만!D6</f>
        <v>185180</v>
      </c>
      <c r="I6" s="223">
        <v>46249</v>
      </c>
      <c r="J6" s="224">
        <f>'보관료_주력품목 제외'!J6</f>
        <v>127</v>
      </c>
      <c r="K6" s="224">
        <f>보관료_주력품목만!G6+'보관료_주력품목 제외'!K6</f>
        <v>98</v>
      </c>
      <c r="L6" s="224">
        <f>'보관료_주력품목 제외'!L6</f>
        <v>187</v>
      </c>
      <c r="M6" s="224">
        <f>K6+L6+J6</f>
        <v>412</v>
      </c>
    </row>
    <row r="7" spans="2:14" ht="16.5" customHeight="1">
      <c r="B7" s="204">
        <f>B6+1</f>
        <v>46236</v>
      </c>
      <c r="C7" s="205">
        <f t="shared" ref="C7:C19" si="0">F7*$J$9</f>
        <v>107.15739447918202</v>
      </c>
      <c r="D7" s="205">
        <f t="shared" ref="D7:D35" si="1">F7*$K$9</f>
        <v>70.125059622405871</v>
      </c>
      <c r="E7" s="205">
        <f t="shared" ref="E7:E19" si="2">F7*$L$9</f>
        <v>141.03804126304104</v>
      </c>
      <c r="F7" s="236">
        <f>G7*$L$11/$K$11</f>
        <v>318.32049536462893</v>
      </c>
      <c r="G7" s="170">
        <f>'보관료_주력품목 제외'!G7+보관료_주력품목만!D7</f>
        <v>181709</v>
      </c>
      <c r="I7" s="223">
        <v>46265</v>
      </c>
      <c r="J7" s="224">
        <f>'보관료_주력품목 제외'!J7</f>
        <v>144</v>
      </c>
      <c r="K7" s="224">
        <f>보관료_주력품목만!G7+'보관료_주력품목 제외'!K7</f>
        <v>80</v>
      </c>
      <c r="L7" s="224">
        <f>'보관료_주력품목 제외'!L7</f>
        <v>170</v>
      </c>
      <c r="M7" s="224">
        <f>K7+L7+J7</f>
        <v>394</v>
      </c>
    </row>
    <row r="8" spans="2:14" ht="16.5" customHeight="1">
      <c r="B8" s="204">
        <f t="shared" ref="B8:B35" si="3">B7+1</f>
        <v>46237</v>
      </c>
      <c r="C8" s="205">
        <f t="shared" si="0"/>
        <v>112.92957184608314</v>
      </c>
      <c r="D8" s="205">
        <f t="shared" si="1"/>
        <v>73.90244039927498</v>
      </c>
      <c r="E8" s="205">
        <f t="shared" si="2"/>
        <v>148.63524529741824</v>
      </c>
      <c r="F8" s="236">
        <f t="shared" ref="F8:F32" si="4">G8*$L$11/$K$11</f>
        <v>335.46725754277634</v>
      </c>
      <c r="G8" s="170">
        <f>'보관료_주력품목 제외'!G8+보관료_주력품목만!D8</f>
        <v>191497</v>
      </c>
      <c r="I8" s="86" t="s">
        <v>287</v>
      </c>
      <c r="J8" s="86">
        <f>ROUNDUP(SUM(J6:J7)/2,0)</f>
        <v>136</v>
      </c>
      <c r="K8" s="86">
        <f>ROUNDUP(SUM(K6:K7)/2,0)</f>
        <v>89</v>
      </c>
      <c r="L8" s="86">
        <f>ROUNDUP(SUM(L6:L7)/2,0)</f>
        <v>179</v>
      </c>
      <c r="M8" s="86">
        <f>K8+L8+J8</f>
        <v>404</v>
      </c>
    </row>
    <row r="9" spans="2:14" ht="16.5" customHeight="1">
      <c r="B9" s="204">
        <f t="shared" si="3"/>
        <v>46238</v>
      </c>
      <c r="C9" s="205">
        <f t="shared" si="0"/>
        <v>115.89114466346948</v>
      </c>
      <c r="D9" s="205">
        <f t="shared" si="1"/>
        <v>75.840528493005749</v>
      </c>
      <c r="E9" s="205">
        <f t="shared" si="2"/>
        <v>152.53319775559584</v>
      </c>
      <c r="F9" s="236">
        <f>G9*$L$11/$K$11</f>
        <v>344.26487091207105</v>
      </c>
      <c r="G9" s="170">
        <f>'보관료_주력품목 제외'!G9+보관료_주력품목만!D9</f>
        <v>196519</v>
      </c>
      <c r="I9" s="367" t="s">
        <v>288</v>
      </c>
      <c r="J9" s="237">
        <f t="shared" ref="J9:K9" si="5">J8/($K$8+$L$8+$J$8)</f>
        <v>0.33663366336633666</v>
      </c>
      <c r="K9" s="237">
        <f t="shared" si="5"/>
        <v>0.2202970297029703</v>
      </c>
      <c r="L9" s="237">
        <f>L8/($K$8+$L$8+$J$8)</f>
        <v>0.44306930693069307</v>
      </c>
      <c r="M9" s="237">
        <f>K9+L9+J9</f>
        <v>1</v>
      </c>
    </row>
    <row r="10" spans="2:14" ht="16.5" customHeight="1">
      <c r="B10" s="204">
        <f>B9+1</f>
        <v>46239</v>
      </c>
      <c r="C10" s="205">
        <f t="shared" si="0"/>
        <v>139.3437112454362</v>
      </c>
      <c r="D10" s="205">
        <f t="shared" si="1"/>
        <v>91.188163976792794</v>
      </c>
      <c r="E10" s="205">
        <f t="shared" si="2"/>
        <v>183.40091406568439</v>
      </c>
      <c r="F10" s="236">
        <f t="shared" si="4"/>
        <v>413.93278928791335</v>
      </c>
      <c r="G10" s="170">
        <f>'보관료_주력품목 제외'!G10+보관료_주력품목만!D10</f>
        <v>236288</v>
      </c>
      <c r="K10" s="238" t="s">
        <v>289</v>
      </c>
      <c r="L10" s="367" t="s">
        <v>290</v>
      </c>
    </row>
    <row r="11" spans="2:14" ht="16.5" customHeight="1">
      <c r="B11" s="204">
        <f t="shared" si="3"/>
        <v>46240</v>
      </c>
      <c r="C11" s="205">
        <f t="shared" si="0"/>
        <v>138.63427833039921</v>
      </c>
      <c r="D11" s="205">
        <f t="shared" si="1"/>
        <v>90.723902730923001</v>
      </c>
      <c r="E11" s="205">
        <f t="shared" si="2"/>
        <v>182.46717515545188</v>
      </c>
      <c r="F11" s="236">
        <f t="shared" si="4"/>
        <v>411.82535621677408</v>
      </c>
      <c r="G11" s="170">
        <f>'보관료_주력품목 제외'!G11+보관료_주력품목만!D11</f>
        <v>235085</v>
      </c>
      <c r="K11" s="351">
        <f>(G20+G36)/2</f>
        <v>230618</v>
      </c>
      <c r="L11" s="367">
        <f>M8</f>
        <v>404</v>
      </c>
    </row>
    <row r="12" spans="2:14" ht="16.5" customHeight="1">
      <c r="B12" s="204">
        <f t="shared" si="3"/>
        <v>46241</v>
      </c>
      <c r="C12" s="205">
        <f t="shared" si="0"/>
        <v>143.39036848814925</v>
      </c>
      <c r="D12" s="205">
        <f t="shared" si="1"/>
        <v>93.836344084156494</v>
      </c>
      <c r="E12" s="205">
        <f t="shared" si="2"/>
        <v>188.72702911307877</v>
      </c>
      <c r="F12" s="236">
        <f>G12*$L$11/$K$11</f>
        <v>425.9537416853845</v>
      </c>
      <c r="G12" s="170">
        <f>'보관료_주력품목 제외'!G12+보관료_주력품목만!D12</f>
        <v>243150</v>
      </c>
    </row>
    <row r="13" spans="2:14" ht="16.5" customHeight="1">
      <c r="B13" s="204">
        <f t="shared" si="3"/>
        <v>46242</v>
      </c>
      <c r="C13" s="205">
        <f t="shared" si="0"/>
        <v>141.57108291633784</v>
      </c>
      <c r="D13" s="205">
        <f t="shared" si="1"/>
        <v>92.645782202603442</v>
      </c>
      <c r="E13" s="205">
        <f t="shared" si="2"/>
        <v>186.33252825017996</v>
      </c>
      <c r="F13" s="236">
        <f t="shared" si="4"/>
        <v>420.54939336912122</v>
      </c>
      <c r="G13" s="170">
        <f>'보관료_주력품목 제외'!G13+보관료_주력품목만!D13</f>
        <v>240065</v>
      </c>
    </row>
    <row r="14" spans="2:14" ht="16.5" customHeight="1">
      <c r="B14" s="204">
        <f t="shared" si="3"/>
        <v>46243</v>
      </c>
      <c r="C14" s="205">
        <f t="shared" si="0"/>
        <v>140.67234994666507</v>
      </c>
      <c r="D14" s="205">
        <f t="shared" si="1"/>
        <v>92.057640773920511</v>
      </c>
      <c r="E14" s="205">
        <f t="shared" si="2"/>
        <v>185.14963706215474</v>
      </c>
      <c r="F14" s="236">
        <f t="shared" si="4"/>
        <v>417.87962778274027</v>
      </c>
      <c r="G14" s="170">
        <f>'보관료_주력품목 제외'!G14+보관료_주력품목만!D14</f>
        <v>238541</v>
      </c>
    </row>
    <row r="15" spans="2:14" ht="16.5" customHeight="1">
      <c r="B15" s="204">
        <f t="shared" si="3"/>
        <v>46244</v>
      </c>
      <c r="C15" s="205">
        <f t="shared" si="0"/>
        <v>136.30134681594674</v>
      </c>
      <c r="D15" s="205">
        <f t="shared" si="1"/>
        <v>89.197204901612196</v>
      </c>
      <c r="E15" s="205">
        <f t="shared" si="2"/>
        <v>179.39662558863577</v>
      </c>
      <c r="F15" s="236">
        <f t="shared" si="4"/>
        <v>404.89517730619468</v>
      </c>
      <c r="G15" s="170">
        <f>'보관료_주력품목 제외'!G15+보관료_주력품목만!D15</f>
        <v>231129</v>
      </c>
    </row>
    <row r="16" spans="2:14" ht="16.5" customHeight="1">
      <c r="B16" s="204">
        <f t="shared" si="3"/>
        <v>46245</v>
      </c>
      <c r="C16" s="205">
        <f t="shared" si="0"/>
        <v>124.59304997875275</v>
      </c>
      <c r="D16" s="205">
        <f t="shared" si="1"/>
        <v>81.535157706683776</v>
      </c>
      <c r="E16" s="205">
        <f t="shared" si="2"/>
        <v>163.9864407808584</v>
      </c>
      <c r="F16" s="236">
        <f t="shared" si="4"/>
        <v>370.11464846629491</v>
      </c>
      <c r="G16" s="170">
        <f>'보관료_주력품목 제외'!G16+보관료_주력품목만!D16</f>
        <v>211275</v>
      </c>
    </row>
    <row r="17" spans="2:11" ht="16.5" customHeight="1">
      <c r="B17" s="204">
        <f t="shared" si="3"/>
        <v>46246</v>
      </c>
      <c r="C17" s="205">
        <f t="shared" si="0"/>
        <v>117.15609362669004</v>
      </c>
      <c r="D17" s="205">
        <f t="shared" si="1"/>
        <v>76.668325976289807</v>
      </c>
      <c r="E17" s="205">
        <f t="shared" si="2"/>
        <v>154.19809381748175</v>
      </c>
      <c r="F17" s="236">
        <f t="shared" si="4"/>
        <v>348.02251342046156</v>
      </c>
      <c r="G17" s="170">
        <f>'보관료_주력품목 제외'!G17+보관료_주력품목만!D17</f>
        <v>198664</v>
      </c>
    </row>
    <row r="18" spans="2:11" ht="16.5" customHeight="1">
      <c r="B18" s="296">
        <f t="shared" si="3"/>
        <v>46247</v>
      </c>
      <c r="C18" s="205">
        <f t="shared" si="0"/>
        <v>112.53328014292033</v>
      </c>
      <c r="D18" s="205">
        <f t="shared" si="1"/>
        <v>73.643102446469925</v>
      </c>
      <c r="E18" s="297">
        <f t="shared" si="2"/>
        <v>148.11365548222602</v>
      </c>
      <c r="F18" s="298">
        <f t="shared" si="4"/>
        <v>334.29003807161627</v>
      </c>
      <c r="G18" s="170">
        <f>'보관료_주력품목 제외'!G18+보관료_주력품목만!D18</f>
        <v>190825</v>
      </c>
    </row>
    <row r="19" spans="2:11" ht="16.5" customHeight="1">
      <c r="B19" s="296">
        <f t="shared" si="3"/>
        <v>46248</v>
      </c>
      <c r="C19" s="205">
        <f t="shared" si="0"/>
        <v>140.75609015775004</v>
      </c>
      <c r="D19" s="205">
        <f t="shared" si="1"/>
        <v>92.112441353233478</v>
      </c>
      <c r="E19" s="297">
        <f t="shared" si="2"/>
        <v>185.25985395762689</v>
      </c>
      <c r="F19" s="298">
        <f t="shared" si="4"/>
        <v>418.12838546861042</v>
      </c>
      <c r="G19" s="170">
        <f>'보관료_주력품목 제외'!G19+보관료_주력품목만!D19</f>
        <v>238683</v>
      </c>
    </row>
    <row r="20" spans="2:11" ht="16.5" customHeight="1">
      <c r="B20" s="318">
        <f t="shared" si="3"/>
        <v>46249</v>
      </c>
      <c r="C20" s="325">
        <v>127</v>
      </c>
      <c r="D20" s="325">
        <v>98</v>
      </c>
      <c r="E20" s="325">
        <v>187</v>
      </c>
      <c r="F20" s="326">
        <v>412</v>
      </c>
      <c r="G20" s="324">
        <f>'보관료_주력품목 제외'!G20+보관료_주력품목만!D20</f>
        <v>238683</v>
      </c>
    </row>
    <row r="21" spans="2:11" ht="16.5" customHeight="1">
      <c r="B21" s="296">
        <f t="shared" si="3"/>
        <v>46250</v>
      </c>
      <c r="C21" s="205">
        <f t="shared" ref="C21:C35" si="6">F21*$J$9</f>
        <v>134.3641172848607</v>
      </c>
      <c r="D21" s="205">
        <f t="shared" si="1"/>
        <v>87.929459105533823</v>
      </c>
      <c r="E21" s="297">
        <f t="shared" ref="E21:E35" si="7">F21*$L$9</f>
        <v>176.84688966169162</v>
      </c>
      <c r="F21" s="298">
        <f t="shared" si="4"/>
        <v>399.14046605208614</v>
      </c>
      <c r="G21" s="282">
        <f>'보관료_주력품목 제외'!G21+보관료_주력품목만!D21</f>
        <v>227844</v>
      </c>
    </row>
    <row r="22" spans="2:11" ht="16.5" customHeight="1">
      <c r="B22" s="296">
        <f t="shared" si="3"/>
        <v>46251</v>
      </c>
      <c r="C22" s="205">
        <f t="shared" si="6"/>
        <v>126.37518320339262</v>
      </c>
      <c r="D22" s="205">
        <f t="shared" si="1"/>
        <v>82.70140665516135</v>
      </c>
      <c r="E22" s="297">
        <f t="shared" si="7"/>
        <v>166.33204259858294</v>
      </c>
      <c r="F22" s="298">
        <f t="shared" si="4"/>
        <v>375.40863245713689</v>
      </c>
      <c r="G22" s="282">
        <f>'보관료_주력품목 제외'!G22+보관료_주력품목만!D22</f>
        <v>214297</v>
      </c>
    </row>
    <row r="23" spans="2:11" ht="16.5" customHeight="1">
      <c r="B23" s="296">
        <f t="shared" si="3"/>
        <v>46252</v>
      </c>
      <c r="C23" s="205">
        <f t="shared" si="6"/>
        <v>115.12922668655527</v>
      </c>
      <c r="D23" s="205">
        <f t="shared" si="1"/>
        <v>75.341920405172189</v>
      </c>
      <c r="E23" s="297">
        <f t="shared" si="7"/>
        <v>151.53037924186316</v>
      </c>
      <c r="F23" s="298">
        <f t="shared" si="4"/>
        <v>342.00152633359062</v>
      </c>
      <c r="G23" s="282">
        <f>'보관료_주력품목 제외'!G23+보관료_주력품목만!D23</f>
        <v>195227</v>
      </c>
    </row>
    <row r="24" spans="2:11" ht="16.5" customHeight="1">
      <c r="B24" s="296">
        <f t="shared" si="3"/>
        <v>46253</v>
      </c>
      <c r="C24" s="205">
        <f t="shared" si="6"/>
        <v>117.47277315734246</v>
      </c>
      <c r="D24" s="205">
        <f t="shared" si="1"/>
        <v>76.875564786790278</v>
      </c>
      <c r="E24" s="297">
        <f t="shared" si="7"/>
        <v>154.61489996444337</v>
      </c>
      <c r="F24" s="298">
        <f t="shared" si="4"/>
        <v>348.9632379085761</v>
      </c>
      <c r="G24" s="282">
        <f>'보관료_주력품목 제외'!G24+보관료_주력품목만!D24</f>
        <v>199201</v>
      </c>
    </row>
    <row r="25" spans="2:11" ht="16.5" customHeight="1">
      <c r="B25" s="296">
        <f t="shared" si="3"/>
        <v>46254</v>
      </c>
      <c r="C25" s="205">
        <f t="shared" si="6"/>
        <v>112.70017084529397</v>
      </c>
      <c r="D25" s="205">
        <f t="shared" si="1"/>
        <v>73.752317685523252</v>
      </c>
      <c r="E25" s="297">
        <f t="shared" si="7"/>
        <v>148.33331309785012</v>
      </c>
      <c r="F25" s="298">
        <f t="shared" si="4"/>
        <v>334.78580162866734</v>
      </c>
      <c r="G25" s="282">
        <f>'보관료_주력품목 제외'!G25+보관료_주력품목만!D25</f>
        <v>191108</v>
      </c>
    </row>
    <row r="26" spans="2:11" ht="16.5" customHeight="1">
      <c r="B26" s="296">
        <f t="shared" si="3"/>
        <v>46255</v>
      </c>
      <c r="C26" s="205">
        <f t="shared" si="6"/>
        <v>112.31213521928038</v>
      </c>
      <c r="D26" s="205">
        <f t="shared" si="1"/>
        <v>73.49838260673495</v>
      </c>
      <c r="E26" s="297">
        <f t="shared" si="7"/>
        <v>147.82258973714107</v>
      </c>
      <c r="F26" s="298">
        <f t="shared" si="4"/>
        <v>333.63310756315639</v>
      </c>
      <c r="G26" s="282">
        <f>'보관료_주력품목 제외'!G26+보관료_주력품목만!D26</f>
        <v>190450</v>
      </c>
    </row>
    <row r="27" spans="2:11" ht="16.5" customHeight="1">
      <c r="B27" s="296">
        <f t="shared" si="3"/>
        <v>46256</v>
      </c>
      <c r="C27" s="205">
        <f t="shared" si="6"/>
        <v>111.14213114327589</v>
      </c>
      <c r="D27" s="205">
        <f t="shared" si="1"/>
        <v>72.732718174643779</v>
      </c>
      <c r="E27" s="297">
        <f t="shared" si="7"/>
        <v>146.28265790181166</v>
      </c>
      <c r="F27" s="298">
        <f t="shared" si="4"/>
        <v>330.15750721973131</v>
      </c>
      <c r="G27" s="282">
        <f>'보관료_주력품목 제외'!G27+보관료_주력품목만!D27</f>
        <v>188466</v>
      </c>
    </row>
    <row r="28" spans="2:11" ht="16.5" customHeight="1">
      <c r="B28" s="296">
        <f t="shared" si="3"/>
        <v>46257</v>
      </c>
      <c r="C28" s="205">
        <f t="shared" si="6"/>
        <v>110.57423097936849</v>
      </c>
      <c r="D28" s="205">
        <f t="shared" si="1"/>
        <v>72.361077626204377</v>
      </c>
      <c r="E28" s="297">
        <f t="shared" si="7"/>
        <v>145.53520106843354</v>
      </c>
      <c r="F28" s="298">
        <f t="shared" si="4"/>
        <v>328.47050967400639</v>
      </c>
      <c r="G28" s="282">
        <f>'보관료_주력품목 제외'!G28+보관료_주력품목만!D28</f>
        <v>187503</v>
      </c>
    </row>
    <row r="29" spans="2:11" ht="16.5" customHeight="1">
      <c r="B29" s="296">
        <f>B28+1</f>
        <v>46258</v>
      </c>
      <c r="C29" s="205">
        <f t="shared" si="6"/>
        <v>104.98604618893582</v>
      </c>
      <c r="D29" s="205">
        <f t="shared" si="1"/>
        <v>68.704103755994765</v>
      </c>
      <c r="E29" s="297">
        <f t="shared" si="7"/>
        <v>138.18016373396699</v>
      </c>
      <c r="F29" s="298">
        <f t="shared" si="4"/>
        <v>311.87031367889756</v>
      </c>
      <c r="G29" s="282">
        <f>'보관료_주력품목 제외'!G29+보관료_주력품목만!D29</f>
        <v>178027</v>
      </c>
    </row>
    <row r="30" spans="2:11" ht="16.5" customHeight="1">
      <c r="B30" s="296">
        <f t="shared" si="3"/>
        <v>46259</v>
      </c>
      <c r="C30" s="205">
        <f t="shared" si="6"/>
        <v>109.76513541874444</v>
      </c>
      <c r="D30" s="205">
        <f t="shared" si="1"/>
        <v>71.831595972560692</v>
      </c>
      <c r="E30" s="297">
        <f t="shared" si="7"/>
        <v>144.47028852908275</v>
      </c>
      <c r="F30" s="298">
        <f t="shared" si="4"/>
        <v>326.06701992038785</v>
      </c>
      <c r="G30" s="282">
        <f>'보관료_주력품목 제외'!G30+보관료_주력품목만!D30</f>
        <v>186131</v>
      </c>
    </row>
    <row r="31" spans="2:11" ht="16.5" customHeight="1">
      <c r="B31" s="296">
        <f t="shared" si="3"/>
        <v>46260</v>
      </c>
      <c r="C31" s="205">
        <f t="shared" si="6"/>
        <v>120.88843021793616</v>
      </c>
      <c r="D31" s="205">
        <f t="shared" si="1"/>
        <v>79.110810951443511</v>
      </c>
      <c r="E31" s="297">
        <f t="shared" si="7"/>
        <v>159.11050741919539</v>
      </c>
      <c r="F31" s="298">
        <f t="shared" si="4"/>
        <v>359.10974858857503</v>
      </c>
      <c r="G31" s="282">
        <f>'보관료_주력품목 제외'!G31+보관료_주력품목만!D31</f>
        <v>204993</v>
      </c>
    </row>
    <row r="32" spans="2:11" ht="16.5" customHeight="1">
      <c r="B32" s="296">
        <f t="shared" si="3"/>
        <v>46261</v>
      </c>
      <c r="C32" s="205">
        <f t="shared" si="6"/>
        <v>122.88345228906678</v>
      </c>
      <c r="D32" s="205">
        <f t="shared" si="1"/>
        <v>80.416376865639293</v>
      </c>
      <c r="E32" s="297">
        <f t="shared" si="7"/>
        <v>161.73630852752171</v>
      </c>
      <c r="F32" s="298">
        <f t="shared" si="4"/>
        <v>365.03613768222777</v>
      </c>
      <c r="G32" s="282">
        <f>'보관료_주력품목 제외'!G32+보관료_주력품목만!D32</f>
        <v>208376</v>
      </c>
      <c r="K32" s="232"/>
    </row>
    <row r="33" spans="2:7" ht="16.5" customHeight="1">
      <c r="B33" s="296">
        <f t="shared" si="3"/>
        <v>46262</v>
      </c>
      <c r="C33" s="205">
        <f t="shared" si="6"/>
        <v>136.87573389761425</v>
      </c>
      <c r="D33" s="205">
        <f t="shared" si="1"/>
        <v>89.573090565350498</v>
      </c>
      <c r="E33" s="297">
        <f t="shared" si="7"/>
        <v>180.15262035053638</v>
      </c>
      <c r="F33" s="298">
        <f>G33*$L$11/$K$11</f>
        <v>406.60144481350113</v>
      </c>
      <c r="G33" s="282">
        <f>'보관료_주력품목 제외'!G33+보관료_주력품목만!D33</f>
        <v>232103</v>
      </c>
    </row>
    <row r="34" spans="2:7" ht="16.5" customHeight="1">
      <c r="B34" s="296">
        <f t="shared" si="3"/>
        <v>46263</v>
      </c>
      <c r="C34" s="205">
        <f t="shared" si="6"/>
        <v>136.42400853359234</v>
      </c>
      <c r="D34" s="205">
        <f t="shared" si="1"/>
        <v>89.277476172718522</v>
      </c>
      <c r="E34" s="297">
        <f t="shared" si="7"/>
        <v>179.55807005524287</v>
      </c>
      <c r="F34" s="298">
        <f t="shared" ref="F34:F35" si="8">G34*$L$11/$K$11</f>
        <v>405.25955476155372</v>
      </c>
      <c r="G34" s="282">
        <f>'보관료_주력품목 제외'!G34+보관료_주력품목만!D34</f>
        <v>231337</v>
      </c>
    </row>
    <row r="35" spans="2:7" ht="16.5" customHeight="1">
      <c r="B35" s="349">
        <f t="shared" si="3"/>
        <v>46264</v>
      </c>
      <c r="C35" s="297">
        <f t="shared" si="6"/>
        <v>136.03833178676427</v>
      </c>
      <c r="D35" s="297">
        <f t="shared" si="1"/>
        <v>89.025084772220737</v>
      </c>
      <c r="E35" s="297">
        <f t="shared" si="7"/>
        <v>179.05045139581475</v>
      </c>
      <c r="F35" s="298">
        <f t="shared" si="8"/>
        <v>404.11386795479973</v>
      </c>
      <c r="G35" s="282">
        <f>'보관료_주력품목 제외'!G35+보관료_주력품목만!D35</f>
        <v>230683</v>
      </c>
    </row>
    <row r="36" spans="2:7" ht="16.5" customHeight="1">
      <c r="B36" s="318">
        <f>B35+1</f>
        <v>46265</v>
      </c>
      <c r="C36" s="325">
        <v>144</v>
      </c>
      <c r="D36" s="325">
        <v>80</v>
      </c>
      <c r="E36" s="325">
        <v>170</v>
      </c>
      <c r="F36" s="326">
        <v>394</v>
      </c>
      <c r="G36" s="324">
        <f>'보관료_주력품목 제외'!G36+보관료_주력품목만!D36</f>
        <v>222553</v>
      </c>
    </row>
    <row r="37" spans="2:7" ht="16.5" customHeight="1">
      <c r="B37" s="86" t="s">
        <v>287</v>
      </c>
      <c r="C37" s="239">
        <f>ROUND(AVERAGE(C6:C36),0)</f>
        <v>124</v>
      </c>
      <c r="D37" s="239">
        <f>ROUND(AVERAGE(D6:D36),0)</f>
        <v>81</v>
      </c>
      <c r="E37" s="239">
        <f>ROUND(AVERAGE(E6:E36),0)</f>
        <v>167</v>
      </c>
      <c r="F37" s="239">
        <f>ROUND(AVERAGE(F6:F36),0)</f>
        <v>370</v>
      </c>
      <c r="G37" s="240"/>
    </row>
    <row r="38" spans="2:7" ht="16.5" customHeight="1">
      <c r="C38" s="352"/>
      <c r="D38" s="352"/>
      <c r="E38" s="352"/>
      <c r="F38" s="352"/>
      <c r="G38" s="367"/>
    </row>
  </sheetData>
  <mergeCells count="2">
    <mergeCell ref="B2:G2"/>
    <mergeCell ref="I2:M2"/>
  </mergeCells>
  <phoneticPr fontId="2" type="noConversion"/>
  <pageMargins left="0.7" right="0.7" top="0.75" bottom="0.75" header="0.3" footer="0.3"/>
  <pageSetup paperSize="9" orientation="portrait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H249"/>
  <sheetViews>
    <sheetView showGridLines="0" zoomScale="85" zoomScaleNormal="85" workbookViewId="0">
      <pane ySplit="1" topLeftCell="A115" activePane="bottomLeft" state="frozen"/>
      <selection pane="bottomLeft" activeCell="J155" sqref="J155"/>
      <selection activeCell="L28" sqref="L28"/>
    </sheetView>
  </sheetViews>
  <sheetFormatPr defaultRowHeight="16.5"/>
  <cols>
    <col min="1" max="1" width="4.125" bestFit="1" customWidth="1"/>
    <col min="2" max="2" width="13.625" style="53" bestFit="1" customWidth="1"/>
    <col min="3" max="3" width="20" bestFit="1" customWidth="1"/>
    <col min="4" max="4" width="33.75" bestFit="1" customWidth="1"/>
    <col min="5" max="5" width="9.75" style="53" customWidth="1"/>
    <col min="6" max="6" width="45.75" bestFit="1" customWidth="1"/>
    <col min="7" max="7" width="8" bestFit="1" customWidth="1"/>
    <col min="8" max="8" width="10.5" style="1" bestFit="1" customWidth="1"/>
  </cols>
  <sheetData>
    <row r="1" spans="1:8">
      <c r="A1" s="40" t="s">
        <v>293</v>
      </c>
      <c r="B1" s="135" t="s">
        <v>294</v>
      </c>
      <c r="C1" s="40" t="s">
        <v>295</v>
      </c>
      <c r="D1" s="40" t="s">
        <v>296</v>
      </c>
      <c r="E1" s="135" t="s">
        <v>297</v>
      </c>
      <c r="F1" s="40" t="s">
        <v>70</v>
      </c>
      <c r="G1" s="40" t="s">
        <v>298</v>
      </c>
      <c r="H1" s="136" t="s">
        <v>299</v>
      </c>
    </row>
    <row r="2" spans="1:8">
      <c r="A2" s="17">
        <v>1</v>
      </c>
      <c r="B2" s="92">
        <v>302053287515</v>
      </c>
      <c r="C2" s="17" t="s">
        <v>300</v>
      </c>
      <c r="D2" s="17" t="s">
        <v>301</v>
      </c>
      <c r="E2" s="92">
        <v>20260802</v>
      </c>
      <c r="F2" s="17" t="s">
        <v>302</v>
      </c>
      <c r="G2" s="17" t="s">
        <v>303</v>
      </c>
      <c r="H2" s="137">
        <v>3000</v>
      </c>
    </row>
    <row r="3" spans="1:8">
      <c r="A3" s="17">
        <f>A2+1</f>
        <v>2</v>
      </c>
      <c r="B3" s="92">
        <v>302053289265</v>
      </c>
      <c r="C3" s="17" t="s">
        <v>304</v>
      </c>
      <c r="D3" s="17" t="s">
        <v>305</v>
      </c>
      <c r="E3" s="92">
        <v>20260802</v>
      </c>
      <c r="F3" s="17" t="s">
        <v>306</v>
      </c>
      <c r="G3" s="17" t="s">
        <v>303</v>
      </c>
      <c r="H3" s="137">
        <v>3000</v>
      </c>
    </row>
    <row r="4" spans="1:8">
      <c r="A4" s="17">
        <f t="shared" ref="A4:A67" si="0">A3+1</f>
        <v>3</v>
      </c>
      <c r="B4" s="92">
        <v>302053289910</v>
      </c>
      <c r="C4" s="17" t="s">
        <v>307</v>
      </c>
      <c r="D4" s="17" t="s">
        <v>308</v>
      </c>
      <c r="E4" s="92">
        <v>20260802</v>
      </c>
      <c r="F4" s="17" t="s">
        <v>309</v>
      </c>
      <c r="G4" s="17" t="s">
        <v>303</v>
      </c>
      <c r="H4" s="137">
        <v>3000</v>
      </c>
    </row>
    <row r="5" spans="1:8">
      <c r="A5" s="17">
        <f t="shared" si="0"/>
        <v>4</v>
      </c>
      <c r="B5" s="92">
        <v>302053290326</v>
      </c>
      <c r="C5" s="17" t="s">
        <v>310</v>
      </c>
      <c r="D5" s="17" t="s">
        <v>311</v>
      </c>
      <c r="E5" s="92">
        <v>20260802</v>
      </c>
      <c r="F5" s="17" t="s">
        <v>312</v>
      </c>
      <c r="G5" s="17" t="s">
        <v>303</v>
      </c>
      <c r="H5" s="137">
        <v>3000</v>
      </c>
    </row>
    <row r="6" spans="1:8">
      <c r="A6" s="17">
        <f t="shared" si="0"/>
        <v>5</v>
      </c>
      <c r="B6" s="92">
        <v>302053334415</v>
      </c>
      <c r="C6" s="17" t="s">
        <v>313</v>
      </c>
      <c r="D6" s="17" t="s">
        <v>314</v>
      </c>
      <c r="E6" s="92">
        <v>20260804</v>
      </c>
      <c r="F6" s="17" t="s">
        <v>315</v>
      </c>
      <c r="G6" s="17" t="s">
        <v>303</v>
      </c>
      <c r="H6" s="137">
        <v>3000</v>
      </c>
    </row>
    <row r="7" spans="1:8">
      <c r="A7" s="17">
        <f t="shared" si="0"/>
        <v>6</v>
      </c>
      <c r="B7" s="92">
        <v>302053339680</v>
      </c>
      <c r="C7" s="17" t="s">
        <v>316</v>
      </c>
      <c r="D7" s="17" t="s">
        <v>317</v>
      </c>
      <c r="E7" s="92">
        <v>20260804</v>
      </c>
      <c r="F7" s="17" t="s">
        <v>302</v>
      </c>
      <c r="G7" s="17" t="s">
        <v>303</v>
      </c>
      <c r="H7" s="137">
        <v>3000</v>
      </c>
    </row>
    <row r="8" spans="1:8">
      <c r="A8" s="17">
        <f t="shared" si="0"/>
        <v>7</v>
      </c>
      <c r="B8" s="92">
        <v>302053347612</v>
      </c>
      <c r="C8" s="17" t="s">
        <v>307</v>
      </c>
      <c r="D8" s="17" t="s">
        <v>308</v>
      </c>
      <c r="E8" s="92">
        <v>20260804</v>
      </c>
      <c r="F8" s="17" t="s">
        <v>318</v>
      </c>
      <c r="G8" s="17" t="s">
        <v>303</v>
      </c>
      <c r="H8" s="137">
        <v>3000</v>
      </c>
    </row>
    <row r="9" spans="1:8">
      <c r="A9" s="17">
        <f t="shared" si="0"/>
        <v>8</v>
      </c>
      <c r="B9" s="92">
        <v>302053368380</v>
      </c>
      <c r="C9" s="17" t="s">
        <v>319</v>
      </c>
      <c r="D9" s="17" t="s">
        <v>308</v>
      </c>
      <c r="E9" s="92">
        <v>20260804</v>
      </c>
      <c r="F9" s="17" t="s">
        <v>318</v>
      </c>
      <c r="G9" s="17" t="s">
        <v>303</v>
      </c>
      <c r="H9" s="137">
        <v>3000</v>
      </c>
    </row>
    <row r="10" spans="1:8">
      <c r="A10" s="17">
        <f t="shared" si="0"/>
        <v>9</v>
      </c>
      <c r="B10" s="92">
        <v>302053397824</v>
      </c>
      <c r="C10" s="17" t="s">
        <v>320</v>
      </c>
      <c r="D10" s="17" t="s">
        <v>321</v>
      </c>
      <c r="E10" s="92">
        <v>20260805</v>
      </c>
      <c r="F10" s="17" t="s">
        <v>322</v>
      </c>
      <c r="G10" s="17" t="s">
        <v>323</v>
      </c>
      <c r="H10" s="137">
        <v>5000</v>
      </c>
    </row>
    <row r="11" spans="1:8">
      <c r="A11" s="17">
        <f t="shared" si="0"/>
        <v>10</v>
      </c>
      <c r="B11" s="92">
        <v>302053418640</v>
      </c>
      <c r="C11" s="17" t="s">
        <v>324</v>
      </c>
      <c r="D11" s="17" t="s">
        <v>325</v>
      </c>
      <c r="E11" s="92">
        <v>20260806</v>
      </c>
      <c r="F11" s="17" t="s">
        <v>302</v>
      </c>
      <c r="G11" s="17" t="s">
        <v>323</v>
      </c>
      <c r="H11" s="137">
        <v>5000</v>
      </c>
    </row>
    <row r="12" spans="1:8">
      <c r="A12" s="17">
        <f t="shared" si="0"/>
        <v>11</v>
      </c>
      <c r="B12" s="92">
        <v>302053434714</v>
      </c>
      <c r="C12" s="17" t="s">
        <v>326</v>
      </c>
      <c r="D12" s="17" t="s">
        <v>327</v>
      </c>
      <c r="E12" s="92">
        <v>20260807</v>
      </c>
      <c r="F12" s="17" t="s">
        <v>306</v>
      </c>
      <c r="G12" s="17" t="s">
        <v>303</v>
      </c>
      <c r="H12" s="137">
        <v>3000</v>
      </c>
    </row>
    <row r="13" spans="1:8">
      <c r="A13" s="17">
        <f t="shared" si="0"/>
        <v>12</v>
      </c>
      <c r="B13" s="92">
        <v>302053441423</v>
      </c>
      <c r="C13" s="17" t="s">
        <v>328</v>
      </c>
      <c r="D13" s="17" t="s">
        <v>329</v>
      </c>
      <c r="E13" s="92">
        <v>20260807</v>
      </c>
      <c r="F13" s="17" t="s">
        <v>330</v>
      </c>
      <c r="G13" s="17" t="s">
        <v>323</v>
      </c>
      <c r="H13" s="137">
        <v>4000</v>
      </c>
    </row>
    <row r="14" spans="1:8">
      <c r="A14" s="17">
        <f t="shared" si="0"/>
        <v>13</v>
      </c>
      <c r="B14" s="92">
        <v>302053451702</v>
      </c>
      <c r="C14" s="17" t="s">
        <v>331</v>
      </c>
      <c r="D14" s="17" t="s">
        <v>332</v>
      </c>
      <c r="E14" s="92">
        <v>20260808</v>
      </c>
      <c r="F14" s="17" t="s">
        <v>306</v>
      </c>
      <c r="G14" s="17" t="s">
        <v>303</v>
      </c>
      <c r="H14" s="137">
        <v>3000</v>
      </c>
    </row>
    <row r="15" spans="1:8">
      <c r="A15" s="17">
        <f t="shared" si="0"/>
        <v>14</v>
      </c>
      <c r="B15" s="92">
        <v>302053469390</v>
      </c>
      <c r="C15" s="17" t="s">
        <v>333</v>
      </c>
      <c r="D15" s="17" t="s">
        <v>334</v>
      </c>
      <c r="E15" s="92">
        <v>20260808</v>
      </c>
      <c r="F15" s="17" t="s">
        <v>306</v>
      </c>
      <c r="G15" s="17" t="s">
        <v>303</v>
      </c>
      <c r="H15" s="137">
        <v>3000</v>
      </c>
    </row>
    <row r="16" spans="1:8">
      <c r="A16" s="17">
        <f t="shared" si="0"/>
        <v>15</v>
      </c>
      <c r="B16" s="92">
        <v>302053489561</v>
      </c>
      <c r="C16" s="17" t="s">
        <v>335</v>
      </c>
      <c r="D16" s="17" t="s">
        <v>336</v>
      </c>
      <c r="E16" s="92">
        <v>20260809</v>
      </c>
      <c r="F16" s="17" t="s">
        <v>322</v>
      </c>
      <c r="G16" s="17" t="s">
        <v>303</v>
      </c>
      <c r="H16" s="137">
        <v>3000</v>
      </c>
    </row>
    <row r="17" spans="1:8">
      <c r="A17" s="17">
        <f t="shared" si="0"/>
        <v>16</v>
      </c>
      <c r="B17" s="92">
        <v>302053489900</v>
      </c>
      <c r="C17" s="17" t="s">
        <v>337</v>
      </c>
      <c r="D17" s="17" t="s">
        <v>338</v>
      </c>
      <c r="E17" s="92">
        <v>20260809</v>
      </c>
      <c r="F17" s="17" t="s">
        <v>339</v>
      </c>
      <c r="G17" s="17" t="s">
        <v>303</v>
      </c>
      <c r="H17" s="137">
        <v>3000</v>
      </c>
    </row>
    <row r="18" spans="1:8">
      <c r="A18" s="17">
        <f t="shared" si="0"/>
        <v>17</v>
      </c>
      <c r="B18" s="92">
        <v>302053489911</v>
      </c>
      <c r="C18" s="17" t="s">
        <v>340</v>
      </c>
      <c r="D18" s="17" t="s">
        <v>341</v>
      </c>
      <c r="E18" s="92">
        <v>20260809</v>
      </c>
      <c r="F18" s="17" t="s">
        <v>342</v>
      </c>
      <c r="G18" s="17" t="s">
        <v>303</v>
      </c>
      <c r="H18" s="137">
        <v>3000</v>
      </c>
    </row>
    <row r="19" spans="1:8">
      <c r="A19" s="17">
        <f t="shared" si="0"/>
        <v>18</v>
      </c>
      <c r="B19" s="92">
        <v>302053521223</v>
      </c>
      <c r="C19" s="17" t="s">
        <v>343</v>
      </c>
      <c r="D19" s="17" t="s">
        <v>308</v>
      </c>
      <c r="E19" s="92">
        <v>20260811</v>
      </c>
      <c r="F19" s="17" t="s">
        <v>344</v>
      </c>
      <c r="G19" s="17" t="s">
        <v>303</v>
      </c>
      <c r="H19" s="137">
        <v>3000</v>
      </c>
    </row>
    <row r="20" spans="1:8">
      <c r="A20" s="17">
        <f t="shared" si="0"/>
        <v>19</v>
      </c>
      <c r="B20" s="92">
        <v>302053522085</v>
      </c>
      <c r="C20" s="17" t="s">
        <v>310</v>
      </c>
      <c r="D20" s="17" t="s">
        <v>311</v>
      </c>
      <c r="E20" s="92">
        <v>20260811</v>
      </c>
      <c r="F20" s="17" t="s">
        <v>312</v>
      </c>
      <c r="G20" s="17" t="s">
        <v>303</v>
      </c>
      <c r="H20" s="137">
        <v>3000</v>
      </c>
    </row>
    <row r="21" spans="1:8">
      <c r="A21" s="17">
        <f t="shared" si="0"/>
        <v>20</v>
      </c>
      <c r="B21" s="92">
        <v>302053556750</v>
      </c>
      <c r="C21" s="17" t="s">
        <v>345</v>
      </c>
      <c r="D21" s="17" t="s">
        <v>346</v>
      </c>
      <c r="E21" s="92">
        <v>20260811</v>
      </c>
      <c r="F21" s="17" t="s">
        <v>302</v>
      </c>
      <c r="G21" s="17" t="s">
        <v>303</v>
      </c>
      <c r="H21" s="137">
        <v>3000</v>
      </c>
    </row>
    <row r="22" spans="1:8">
      <c r="A22" s="17">
        <f t="shared" si="0"/>
        <v>21</v>
      </c>
      <c r="B22" s="92">
        <v>302053558765</v>
      </c>
      <c r="C22" s="17" t="s">
        <v>347</v>
      </c>
      <c r="D22" s="17" t="s">
        <v>348</v>
      </c>
      <c r="E22" s="92">
        <v>20260811</v>
      </c>
      <c r="F22" s="17" t="s">
        <v>344</v>
      </c>
      <c r="G22" s="17" t="s">
        <v>303</v>
      </c>
      <c r="H22" s="137">
        <v>3000</v>
      </c>
    </row>
    <row r="23" spans="1:8">
      <c r="A23" s="17">
        <f t="shared" si="0"/>
        <v>22</v>
      </c>
      <c r="B23" s="92">
        <v>302053558791</v>
      </c>
      <c r="C23" s="17" t="s">
        <v>349</v>
      </c>
      <c r="D23" s="17" t="s">
        <v>350</v>
      </c>
      <c r="E23" s="92">
        <v>20260811</v>
      </c>
      <c r="F23" s="17" t="s">
        <v>351</v>
      </c>
      <c r="G23" s="17" t="s">
        <v>323</v>
      </c>
      <c r="H23" s="137">
        <v>6000</v>
      </c>
    </row>
    <row r="24" spans="1:8">
      <c r="A24" s="17">
        <f t="shared" si="0"/>
        <v>23</v>
      </c>
      <c r="B24" s="92">
        <v>302053559620</v>
      </c>
      <c r="C24" s="17" t="s">
        <v>352</v>
      </c>
      <c r="D24" s="17" t="s">
        <v>353</v>
      </c>
      <c r="E24" s="92">
        <v>20260811</v>
      </c>
      <c r="F24" s="17" t="s">
        <v>306</v>
      </c>
      <c r="G24" s="17" t="s">
        <v>303</v>
      </c>
      <c r="H24" s="137">
        <v>3000</v>
      </c>
    </row>
    <row r="25" spans="1:8">
      <c r="A25" s="17">
        <f t="shared" si="0"/>
        <v>24</v>
      </c>
      <c r="B25" s="92">
        <v>302053570153</v>
      </c>
      <c r="C25" s="17" t="s">
        <v>354</v>
      </c>
      <c r="D25" s="17" t="s">
        <v>355</v>
      </c>
      <c r="E25" s="92">
        <v>20260812</v>
      </c>
      <c r="F25" s="17" t="s">
        <v>356</v>
      </c>
      <c r="G25" s="17" t="s">
        <v>303</v>
      </c>
      <c r="H25" s="137">
        <v>3000</v>
      </c>
    </row>
    <row r="26" spans="1:8">
      <c r="A26" s="17">
        <f t="shared" si="0"/>
        <v>25</v>
      </c>
      <c r="B26" s="92">
        <v>302053570164</v>
      </c>
      <c r="C26" s="17" t="s">
        <v>354</v>
      </c>
      <c r="D26" s="17" t="s">
        <v>355</v>
      </c>
      <c r="E26" s="92">
        <v>20260812</v>
      </c>
      <c r="F26" s="17" t="s">
        <v>344</v>
      </c>
      <c r="G26" s="17" t="s">
        <v>303</v>
      </c>
      <c r="H26" s="137">
        <v>3000</v>
      </c>
    </row>
    <row r="27" spans="1:8">
      <c r="A27" s="17">
        <f t="shared" si="0"/>
        <v>26</v>
      </c>
      <c r="B27" s="92">
        <v>302053570175</v>
      </c>
      <c r="C27" s="17" t="s">
        <v>354</v>
      </c>
      <c r="D27" s="17" t="s">
        <v>355</v>
      </c>
      <c r="E27" s="92">
        <v>20260812</v>
      </c>
      <c r="F27" s="17" t="s">
        <v>357</v>
      </c>
      <c r="G27" s="17" t="s">
        <v>303</v>
      </c>
      <c r="H27" s="137">
        <v>3000</v>
      </c>
    </row>
    <row r="28" spans="1:8">
      <c r="A28" s="17">
        <f t="shared" si="0"/>
        <v>27</v>
      </c>
      <c r="B28" s="92">
        <v>302053581084</v>
      </c>
      <c r="C28" s="17" t="s">
        <v>358</v>
      </c>
      <c r="D28" s="17" t="s">
        <v>359</v>
      </c>
      <c r="E28" s="92">
        <v>20260813</v>
      </c>
      <c r="F28" s="17" t="s">
        <v>344</v>
      </c>
      <c r="G28" s="17" t="s">
        <v>303</v>
      </c>
      <c r="H28" s="137">
        <v>3000</v>
      </c>
    </row>
    <row r="29" spans="1:8">
      <c r="A29" s="17">
        <f t="shared" si="0"/>
        <v>28</v>
      </c>
      <c r="B29" s="92">
        <v>302053582241</v>
      </c>
      <c r="C29" s="17" t="s">
        <v>360</v>
      </c>
      <c r="D29" s="17" t="s">
        <v>361</v>
      </c>
      <c r="E29" s="92">
        <v>20260813</v>
      </c>
      <c r="F29" s="17" t="s">
        <v>302</v>
      </c>
      <c r="G29" s="17" t="s">
        <v>303</v>
      </c>
      <c r="H29" s="137">
        <v>3000</v>
      </c>
    </row>
    <row r="30" spans="1:8">
      <c r="A30" s="17">
        <f t="shared" si="0"/>
        <v>29</v>
      </c>
      <c r="B30" s="92">
        <v>302053582753</v>
      </c>
      <c r="C30" s="17" t="s">
        <v>362</v>
      </c>
      <c r="D30" s="17" t="s">
        <v>363</v>
      </c>
      <c r="E30" s="92">
        <v>20260813</v>
      </c>
      <c r="F30" s="17" t="s">
        <v>344</v>
      </c>
      <c r="G30" s="17" t="s">
        <v>303</v>
      </c>
      <c r="H30" s="137">
        <v>3000</v>
      </c>
    </row>
    <row r="31" spans="1:8">
      <c r="A31" s="17">
        <f t="shared" si="0"/>
        <v>30</v>
      </c>
      <c r="B31" s="92">
        <v>302053584260</v>
      </c>
      <c r="C31" s="17" t="s">
        <v>364</v>
      </c>
      <c r="D31" s="17" t="s">
        <v>365</v>
      </c>
      <c r="E31" s="92">
        <v>20260813</v>
      </c>
      <c r="F31" s="17" t="s">
        <v>302</v>
      </c>
      <c r="G31" s="17" t="s">
        <v>303</v>
      </c>
      <c r="H31" s="137">
        <v>3000</v>
      </c>
    </row>
    <row r="32" spans="1:8">
      <c r="A32" s="17">
        <f t="shared" si="0"/>
        <v>31</v>
      </c>
      <c r="B32" s="92">
        <v>302053585354</v>
      </c>
      <c r="C32" s="17" t="s">
        <v>366</v>
      </c>
      <c r="D32" s="17" t="s">
        <v>367</v>
      </c>
      <c r="E32" s="92">
        <v>20260813</v>
      </c>
      <c r="F32" s="17" t="s">
        <v>302</v>
      </c>
      <c r="G32" s="17" t="s">
        <v>303</v>
      </c>
      <c r="H32" s="137">
        <v>3000</v>
      </c>
    </row>
    <row r="33" spans="1:8">
      <c r="A33" s="17">
        <f t="shared" si="0"/>
        <v>32</v>
      </c>
      <c r="B33" s="92">
        <v>302053586010</v>
      </c>
      <c r="C33" s="17" t="s">
        <v>368</v>
      </c>
      <c r="D33" s="17" t="s">
        <v>369</v>
      </c>
      <c r="E33" s="92">
        <v>20260813</v>
      </c>
      <c r="F33" s="17" t="s">
        <v>302</v>
      </c>
      <c r="G33" s="17" t="s">
        <v>303</v>
      </c>
      <c r="H33" s="137">
        <v>3000</v>
      </c>
    </row>
    <row r="34" spans="1:8">
      <c r="A34" s="17">
        <f t="shared" si="0"/>
        <v>33</v>
      </c>
      <c r="B34" s="92">
        <v>302053589753</v>
      </c>
      <c r="C34" s="17" t="s">
        <v>370</v>
      </c>
      <c r="D34" s="17" t="s">
        <v>371</v>
      </c>
      <c r="E34" s="92">
        <v>20260813</v>
      </c>
      <c r="F34" s="17" t="s">
        <v>302</v>
      </c>
      <c r="G34" s="17" t="s">
        <v>303</v>
      </c>
      <c r="H34" s="137">
        <v>3000</v>
      </c>
    </row>
    <row r="35" spans="1:8">
      <c r="A35" s="17">
        <f t="shared" si="0"/>
        <v>34</v>
      </c>
      <c r="B35" s="92">
        <v>302053605665</v>
      </c>
      <c r="C35" s="17" t="s">
        <v>372</v>
      </c>
      <c r="D35" s="17" t="s">
        <v>314</v>
      </c>
      <c r="E35" s="92">
        <v>20260813</v>
      </c>
      <c r="F35" s="17" t="s">
        <v>302</v>
      </c>
      <c r="G35" s="17" t="s">
        <v>303</v>
      </c>
      <c r="H35" s="137">
        <v>3000</v>
      </c>
    </row>
    <row r="36" spans="1:8">
      <c r="A36" s="17">
        <f t="shared" si="0"/>
        <v>35</v>
      </c>
      <c r="B36" s="92">
        <v>302053608266</v>
      </c>
      <c r="C36" s="17" t="s">
        <v>373</v>
      </c>
      <c r="D36" s="17" t="s">
        <v>374</v>
      </c>
      <c r="E36" s="92">
        <v>20260813</v>
      </c>
      <c r="F36" s="17" t="s">
        <v>306</v>
      </c>
      <c r="G36" s="17" t="s">
        <v>303</v>
      </c>
      <c r="H36" s="137">
        <v>3000</v>
      </c>
    </row>
    <row r="37" spans="1:8">
      <c r="A37" s="17">
        <f t="shared" si="0"/>
        <v>36</v>
      </c>
      <c r="B37" s="92">
        <v>302053610591</v>
      </c>
      <c r="C37" s="17" t="s">
        <v>375</v>
      </c>
      <c r="D37" s="17" t="s">
        <v>376</v>
      </c>
      <c r="E37" s="92">
        <v>20260813</v>
      </c>
      <c r="F37" s="17" t="s">
        <v>302</v>
      </c>
      <c r="G37" s="17" t="s">
        <v>303</v>
      </c>
      <c r="H37" s="137">
        <v>3000</v>
      </c>
    </row>
    <row r="38" spans="1:8">
      <c r="A38" s="17">
        <f t="shared" si="0"/>
        <v>37</v>
      </c>
      <c r="B38" s="92">
        <v>302053610845</v>
      </c>
      <c r="C38" s="17" t="s">
        <v>377</v>
      </c>
      <c r="D38" s="17" t="s">
        <v>363</v>
      </c>
      <c r="E38" s="92">
        <v>20260813</v>
      </c>
      <c r="F38" s="17" t="s">
        <v>344</v>
      </c>
      <c r="G38" s="17" t="s">
        <v>303</v>
      </c>
      <c r="H38" s="137">
        <v>3000</v>
      </c>
    </row>
    <row r="39" spans="1:8">
      <c r="A39" s="17">
        <f t="shared" si="0"/>
        <v>38</v>
      </c>
      <c r="B39" s="92">
        <v>302053623375</v>
      </c>
      <c r="C39" s="17" t="s">
        <v>378</v>
      </c>
      <c r="D39" s="17" t="s">
        <v>379</v>
      </c>
      <c r="E39" s="92">
        <v>20260813</v>
      </c>
      <c r="F39" s="17" t="s">
        <v>380</v>
      </c>
      <c r="G39" s="17" t="s">
        <v>323</v>
      </c>
      <c r="H39" s="137">
        <v>6000</v>
      </c>
    </row>
    <row r="40" spans="1:8">
      <c r="A40" s="17">
        <f t="shared" si="0"/>
        <v>39</v>
      </c>
      <c r="B40" s="92">
        <v>302053726986</v>
      </c>
      <c r="C40" s="17" t="s">
        <v>381</v>
      </c>
      <c r="D40" s="17" t="s">
        <v>382</v>
      </c>
      <c r="E40" s="92">
        <v>20260817</v>
      </c>
      <c r="F40" s="17" t="s">
        <v>383</v>
      </c>
      <c r="G40" s="17" t="s">
        <v>303</v>
      </c>
      <c r="H40" s="137">
        <v>3000</v>
      </c>
    </row>
    <row r="41" spans="1:8">
      <c r="A41" s="17">
        <f t="shared" si="0"/>
        <v>40</v>
      </c>
      <c r="B41" s="92">
        <v>302053727292</v>
      </c>
      <c r="C41" s="17" t="s">
        <v>328</v>
      </c>
      <c r="D41" s="17" t="s">
        <v>329</v>
      </c>
      <c r="E41" s="92">
        <v>20260817</v>
      </c>
      <c r="F41" s="17" t="s">
        <v>330</v>
      </c>
      <c r="G41" s="17" t="s">
        <v>323</v>
      </c>
      <c r="H41" s="137">
        <v>4000</v>
      </c>
    </row>
    <row r="42" spans="1:8">
      <c r="A42" s="17">
        <f t="shared" si="0"/>
        <v>41</v>
      </c>
      <c r="B42" s="92">
        <v>302053728482</v>
      </c>
      <c r="C42" s="17" t="s">
        <v>349</v>
      </c>
      <c r="D42" s="17" t="s">
        <v>350</v>
      </c>
      <c r="E42" s="92">
        <v>20260817</v>
      </c>
      <c r="F42" s="17" t="s">
        <v>351</v>
      </c>
      <c r="G42" s="17" t="s">
        <v>323</v>
      </c>
      <c r="H42" s="137">
        <v>6000</v>
      </c>
    </row>
    <row r="43" spans="1:8">
      <c r="A43" s="17">
        <f t="shared" si="0"/>
        <v>42</v>
      </c>
      <c r="B43" s="92">
        <v>302053728810</v>
      </c>
      <c r="C43" s="17" t="s">
        <v>384</v>
      </c>
      <c r="D43" s="17" t="s">
        <v>385</v>
      </c>
      <c r="E43" s="92">
        <v>20260817</v>
      </c>
      <c r="F43" s="17" t="s">
        <v>386</v>
      </c>
      <c r="G43" s="17" t="s">
        <v>303</v>
      </c>
      <c r="H43" s="137">
        <v>3000</v>
      </c>
    </row>
    <row r="44" spans="1:8">
      <c r="A44" s="17">
        <f t="shared" si="0"/>
        <v>43</v>
      </c>
      <c r="B44" s="92">
        <v>302053729510</v>
      </c>
      <c r="C44" s="17" t="s">
        <v>347</v>
      </c>
      <c r="D44" s="17" t="s">
        <v>348</v>
      </c>
      <c r="E44" s="92">
        <v>20260817</v>
      </c>
      <c r="F44" s="17" t="s">
        <v>387</v>
      </c>
      <c r="G44" s="17" t="s">
        <v>303</v>
      </c>
      <c r="H44" s="137">
        <v>3000</v>
      </c>
    </row>
    <row r="45" spans="1:8">
      <c r="A45" s="17">
        <f t="shared" si="0"/>
        <v>44</v>
      </c>
      <c r="B45" s="92">
        <v>302053731013</v>
      </c>
      <c r="C45" s="17" t="s">
        <v>388</v>
      </c>
      <c r="D45" s="17" t="s">
        <v>389</v>
      </c>
      <c r="E45" s="92">
        <v>20260817</v>
      </c>
      <c r="F45" s="17" t="s">
        <v>315</v>
      </c>
      <c r="G45" s="17" t="s">
        <v>303</v>
      </c>
      <c r="H45" s="137">
        <v>3000</v>
      </c>
    </row>
    <row r="46" spans="1:8">
      <c r="A46" s="17">
        <f t="shared" si="0"/>
        <v>45</v>
      </c>
      <c r="B46" s="92">
        <v>302053731120</v>
      </c>
      <c r="C46" s="17" t="s">
        <v>390</v>
      </c>
      <c r="D46" s="17" t="s">
        <v>369</v>
      </c>
      <c r="E46" s="92">
        <v>20260817</v>
      </c>
      <c r="F46" s="17" t="s">
        <v>315</v>
      </c>
      <c r="G46" s="17" t="s">
        <v>303</v>
      </c>
      <c r="H46" s="137">
        <v>3000</v>
      </c>
    </row>
    <row r="47" spans="1:8">
      <c r="A47" s="17">
        <f t="shared" si="0"/>
        <v>46</v>
      </c>
      <c r="B47" s="92">
        <v>302053731444</v>
      </c>
      <c r="C47" s="17" t="s">
        <v>349</v>
      </c>
      <c r="D47" s="17" t="s">
        <v>350</v>
      </c>
      <c r="E47" s="92">
        <v>20260817</v>
      </c>
      <c r="F47" s="17" t="s">
        <v>351</v>
      </c>
      <c r="G47" s="17" t="s">
        <v>323</v>
      </c>
      <c r="H47" s="137">
        <v>6000</v>
      </c>
    </row>
    <row r="48" spans="1:8">
      <c r="A48" s="17">
        <f t="shared" si="0"/>
        <v>47</v>
      </c>
      <c r="B48" s="92">
        <v>302053732030</v>
      </c>
      <c r="C48" s="17" t="s">
        <v>391</v>
      </c>
      <c r="D48" s="17" t="s">
        <v>392</v>
      </c>
      <c r="E48" s="92">
        <v>20260817</v>
      </c>
      <c r="F48" s="17" t="s">
        <v>315</v>
      </c>
      <c r="G48" s="17" t="s">
        <v>303</v>
      </c>
      <c r="H48" s="137">
        <v>3000</v>
      </c>
    </row>
    <row r="49" spans="1:8">
      <c r="A49" s="17">
        <f t="shared" si="0"/>
        <v>48</v>
      </c>
      <c r="B49" s="92">
        <v>302053732332</v>
      </c>
      <c r="C49" s="17" t="s">
        <v>393</v>
      </c>
      <c r="D49" s="17" t="s">
        <v>308</v>
      </c>
      <c r="E49" s="92">
        <v>20260817</v>
      </c>
      <c r="F49" s="17" t="s">
        <v>315</v>
      </c>
      <c r="G49" s="17" t="s">
        <v>303</v>
      </c>
      <c r="H49" s="137">
        <v>3000</v>
      </c>
    </row>
    <row r="50" spans="1:8">
      <c r="A50" s="17">
        <f t="shared" si="0"/>
        <v>49</v>
      </c>
      <c r="B50" s="92">
        <v>302053732741</v>
      </c>
      <c r="C50" s="17" t="s">
        <v>368</v>
      </c>
      <c r="D50" s="17" t="s">
        <v>369</v>
      </c>
      <c r="E50" s="92">
        <v>20260817</v>
      </c>
      <c r="F50" s="17" t="s">
        <v>315</v>
      </c>
      <c r="G50" s="17" t="s">
        <v>303</v>
      </c>
      <c r="H50" s="137">
        <v>3000</v>
      </c>
    </row>
    <row r="51" spans="1:8">
      <c r="A51" s="17">
        <f t="shared" si="0"/>
        <v>50</v>
      </c>
      <c r="B51" s="92">
        <v>302053747662</v>
      </c>
      <c r="C51" s="17" t="s">
        <v>394</v>
      </c>
      <c r="D51" s="17" t="s">
        <v>395</v>
      </c>
      <c r="E51" s="92">
        <v>20260817</v>
      </c>
      <c r="F51" s="17" t="s">
        <v>306</v>
      </c>
      <c r="G51" s="17" t="s">
        <v>303</v>
      </c>
      <c r="H51" s="137">
        <v>3000</v>
      </c>
    </row>
    <row r="52" spans="1:8">
      <c r="A52" s="17">
        <f t="shared" si="0"/>
        <v>51</v>
      </c>
      <c r="B52" s="92">
        <v>302053754345</v>
      </c>
      <c r="C52" s="17" t="s">
        <v>396</v>
      </c>
      <c r="D52" s="17" t="s">
        <v>397</v>
      </c>
      <c r="E52" s="92">
        <v>20260819</v>
      </c>
      <c r="F52" s="17" t="s">
        <v>398</v>
      </c>
      <c r="G52" s="17" t="s">
        <v>323</v>
      </c>
      <c r="H52" s="137">
        <v>5000</v>
      </c>
    </row>
    <row r="53" spans="1:8">
      <c r="A53" s="17">
        <f t="shared" si="0"/>
        <v>52</v>
      </c>
      <c r="B53" s="92">
        <v>302053755314</v>
      </c>
      <c r="C53" s="17" t="s">
        <v>393</v>
      </c>
      <c r="D53" s="17" t="s">
        <v>308</v>
      </c>
      <c r="E53" s="92">
        <v>20260819</v>
      </c>
      <c r="F53" s="17" t="s">
        <v>306</v>
      </c>
      <c r="G53" s="17" t="s">
        <v>303</v>
      </c>
      <c r="H53" s="137">
        <v>3000</v>
      </c>
    </row>
    <row r="54" spans="1:8">
      <c r="A54" s="17">
        <f t="shared" si="0"/>
        <v>53</v>
      </c>
      <c r="B54" s="92">
        <v>302053755351</v>
      </c>
      <c r="C54" s="17" t="s">
        <v>393</v>
      </c>
      <c r="D54" s="17" t="s">
        <v>308</v>
      </c>
      <c r="E54" s="92">
        <v>20260819</v>
      </c>
      <c r="F54" s="17" t="s">
        <v>398</v>
      </c>
      <c r="G54" s="17" t="s">
        <v>303</v>
      </c>
      <c r="H54" s="137">
        <v>3000</v>
      </c>
    </row>
    <row r="55" spans="1:8">
      <c r="A55" s="17">
        <f t="shared" si="0"/>
        <v>54</v>
      </c>
      <c r="B55" s="92">
        <v>302053788984</v>
      </c>
      <c r="C55" s="17" t="s">
        <v>372</v>
      </c>
      <c r="D55" s="17" t="s">
        <v>314</v>
      </c>
      <c r="E55" s="92">
        <v>20260819</v>
      </c>
      <c r="F55" s="17" t="s">
        <v>302</v>
      </c>
      <c r="G55" s="17" t="s">
        <v>303</v>
      </c>
      <c r="H55" s="137">
        <v>3000</v>
      </c>
    </row>
    <row r="56" spans="1:8">
      <c r="A56" s="17">
        <f t="shared" si="0"/>
        <v>55</v>
      </c>
      <c r="B56" s="92">
        <v>302053805331</v>
      </c>
      <c r="C56" s="17" t="s">
        <v>320</v>
      </c>
      <c r="D56" s="17" t="s">
        <v>321</v>
      </c>
      <c r="E56" s="92">
        <v>20260820</v>
      </c>
      <c r="F56" s="17" t="s">
        <v>322</v>
      </c>
      <c r="G56" s="17" t="s">
        <v>323</v>
      </c>
      <c r="H56" s="137">
        <v>5000</v>
      </c>
    </row>
    <row r="57" spans="1:8">
      <c r="A57" s="17">
        <f t="shared" si="0"/>
        <v>56</v>
      </c>
      <c r="B57" s="92">
        <v>302053807921</v>
      </c>
      <c r="C57" s="17" t="s">
        <v>399</v>
      </c>
      <c r="D57" s="17" t="s">
        <v>400</v>
      </c>
      <c r="E57" s="92">
        <v>20260820</v>
      </c>
      <c r="F57" s="17" t="s">
        <v>401</v>
      </c>
      <c r="G57" s="17" t="s">
        <v>303</v>
      </c>
      <c r="H57" s="137">
        <v>3000</v>
      </c>
    </row>
    <row r="58" spans="1:8">
      <c r="A58" s="17">
        <f t="shared" si="0"/>
        <v>57</v>
      </c>
      <c r="B58" s="92">
        <v>302053826585</v>
      </c>
      <c r="C58" s="17" t="s">
        <v>402</v>
      </c>
      <c r="D58" s="17" t="s">
        <v>403</v>
      </c>
      <c r="E58" s="92">
        <v>20260820</v>
      </c>
      <c r="F58" s="17" t="s">
        <v>302</v>
      </c>
      <c r="G58" s="17" t="s">
        <v>303</v>
      </c>
      <c r="H58" s="137">
        <v>3000</v>
      </c>
    </row>
    <row r="59" spans="1:8">
      <c r="A59" s="17">
        <f t="shared" si="0"/>
        <v>58</v>
      </c>
      <c r="B59" s="92">
        <v>302053826600</v>
      </c>
      <c r="C59" s="17" t="s">
        <v>393</v>
      </c>
      <c r="D59" s="17" t="s">
        <v>308</v>
      </c>
      <c r="E59" s="92">
        <v>20260820</v>
      </c>
      <c r="F59" s="17" t="s">
        <v>404</v>
      </c>
      <c r="G59" s="17" t="s">
        <v>303</v>
      </c>
      <c r="H59" s="137">
        <v>3000</v>
      </c>
    </row>
    <row r="60" spans="1:8">
      <c r="A60" s="17">
        <f t="shared" si="0"/>
        <v>59</v>
      </c>
      <c r="B60" s="92">
        <v>302053826806</v>
      </c>
      <c r="C60" s="17" t="s">
        <v>405</v>
      </c>
      <c r="D60" s="17" t="s">
        <v>406</v>
      </c>
      <c r="E60" s="92">
        <v>20260820</v>
      </c>
      <c r="F60" s="17" t="s">
        <v>306</v>
      </c>
      <c r="G60" s="17" t="s">
        <v>303</v>
      </c>
      <c r="H60" s="137">
        <v>3000</v>
      </c>
    </row>
    <row r="61" spans="1:8">
      <c r="A61" s="17">
        <f t="shared" si="0"/>
        <v>60</v>
      </c>
      <c r="B61" s="92">
        <v>302053827252</v>
      </c>
      <c r="C61" s="17" t="s">
        <v>343</v>
      </c>
      <c r="D61" s="17" t="s">
        <v>308</v>
      </c>
      <c r="E61" s="92">
        <v>20260820</v>
      </c>
      <c r="F61" s="17" t="s">
        <v>407</v>
      </c>
      <c r="G61" s="17" t="s">
        <v>303</v>
      </c>
      <c r="H61" s="137">
        <v>3000</v>
      </c>
    </row>
    <row r="62" spans="1:8">
      <c r="A62" s="17">
        <f t="shared" si="0"/>
        <v>61</v>
      </c>
      <c r="B62" s="92">
        <v>302053835976</v>
      </c>
      <c r="C62" s="17" t="s">
        <v>408</v>
      </c>
      <c r="D62" s="17" t="s">
        <v>409</v>
      </c>
      <c r="E62" s="92">
        <v>20260820</v>
      </c>
      <c r="F62" s="17" t="s">
        <v>315</v>
      </c>
      <c r="G62" s="17" t="s">
        <v>303</v>
      </c>
      <c r="H62" s="137">
        <v>3000</v>
      </c>
    </row>
    <row r="63" spans="1:8">
      <c r="A63" s="17">
        <f t="shared" si="0"/>
        <v>62</v>
      </c>
      <c r="B63" s="92">
        <v>302053843433</v>
      </c>
      <c r="C63" s="17" t="s">
        <v>410</v>
      </c>
      <c r="D63" s="17" t="s">
        <v>308</v>
      </c>
      <c r="E63" s="92">
        <v>20260820</v>
      </c>
      <c r="F63" s="17" t="s">
        <v>342</v>
      </c>
      <c r="G63" s="17" t="s">
        <v>303</v>
      </c>
      <c r="H63" s="137">
        <v>3000</v>
      </c>
    </row>
    <row r="64" spans="1:8">
      <c r="A64" s="17">
        <f t="shared" si="0"/>
        <v>63</v>
      </c>
      <c r="B64" s="92">
        <v>302053855215</v>
      </c>
      <c r="C64" s="17" t="s">
        <v>411</v>
      </c>
      <c r="D64" s="17" t="s">
        <v>363</v>
      </c>
      <c r="E64" s="92">
        <v>20260821</v>
      </c>
      <c r="F64" s="17" t="s">
        <v>412</v>
      </c>
      <c r="G64" s="17" t="s">
        <v>303</v>
      </c>
      <c r="H64" s="137">
        <v>3000</v>
      </c>
    </row>
    <row r="65" spans="1:8">
      <c r="A65" s="17">
        <f t="shared" si="0"/>
        <v>64</v>
      </c>
      <c r="B65" s="92">
        <v>302053870173</v>
      </c>
      <c r="C65" s="17" t="s">
        <v>413</v>
      </c>
      <c r="D65" s="17" t="s">
        <v>414</v>
      </c>
      <c r="E65" s="92">
        <v>20260822</v>
      </c>
      <c r="F65" s="17" t="s">
        <v>302</v>
      </c>
      <c r="G65" s="17" t="s">
        <v>303</v>
      </c>
      <c r="H65" s="137">
        <v>3000</v>
      </c>
    </row>
    <row r="66" spans="1:8">
      <c r="A66" s="17">
        <f t="shared" si="0"/>
        <v>65</v>
      </c>
      <c r="B66" s="92">
        <v>302053910235</v>
      </c>
      <c r="C66" s="17" t="s">
        <v>393</v>
      </c>
      <c r="D66" s="17" t="s">
        <v>308</v>
      </c>
      <c r="E66" s="92">
        <v>20260823</v>
      </c>
      <c r="F66" s="17" t="s">
        <v>404</v>
      </c>
      <c r="G66" s="17" t="s">
        <v>303</v>
      </c>
      <c r="H66" s="137">
        <v>3000</v>
      </c>
    </row>
    <row r="67" spans="1:8">
      <c r="A67" s="17">
        <f t="shared" si="0"/>
        <v>66</v>
      </c>
      <c r="B67" s="92">
        <v>302053919151</v>
      </c>
      <c r="C67" s="17" t="s">
        <v>415</v>
      </c>
      <c r="D67" s="17" t="s">
        <v>403</v>
      </c>
      <c r="E67" s="92">
        <v>20260824</v>
      </c>
      <c r="F67" s="17" t="s">
        <v>407</v>
      </c>
      <c r="G67" s="17" t="s">
        <v>303</v>
      </c>
      <c r="H67" s="137">
        <v>3000</v>
      </c>
    </row>
    <row r="68" spans="1:8">
      <c r="A68" s="17">
        <f t="shared" ref="A68:A145" si="1">A67+1</f>
        <v>67</v>
      </c>
      <c r="B68" s="92">
        <v>302054000620</v>
      </c>
      <c r="C68" s="17" t="s">
        <v>416</v>
      </c>
      <c r="D68" s="17" t="s">
        <v>417</v>
      </c>
      <c r="E68" s="92">
        <v>20260826</v>
      </c>
      <c r="F68" s="17" t="s">
        <v>302</v>
      </c>
      <c r="G68" s="17" t="s">
        <v>303</v>
      </c>
      <c r="H68" s="137">
        <v>3000</v>
      </c>
    </row>
    <row r="69" spans="1:8">
      <c r="A69" s="17">
        <f t="shared" si="1"/>
        <v>68</v>
      </c>
      <c r="B69" s="92">
        <v>302054103225</v>
      </c>
      <c r="C69" s="17" t="s">
        <v>418</v>
      </c>
      <c r="D69" s="17" t="s">
        <v>419</v>
      </c>
      <c r="E69" s="92">
        <v>20260828</v>
      </c>
      <c r="F69" s="17" t="s">
        <v>420</v>
      </c>
      <c r="G69" s="17" t="s">
        <v>303</v>
      </c>
      <c r="H69" s="137">
        <v>3000</v>
      </c>
    </row>
    <row r="70" spans="1:8">
      <c r="A70" s="17">
        <f t="shared" si="1"/>
        <v>69</v>
      </c>
      <c r="B70" s="92">
        <v>302054110645</v>
      </c>
      <c r="C70" s="17" t="s">
        <v>421</v>
      </c>
      <c r="D70" s="17" t="s">
        <v>422</v>
      </c>
      <c r="E70" s="92">
        <v>20260828</v>
      </c>
      <c r="F70" s="17" t="s">
        <v>306</v>
      </c>
      <c r="G70" s="17" t="s">
        <v>303</v>
      </c>
      <c r="H70" s="137">
        <v>3000</v>
      </c>
    </row>
    <row r="71" spans="1:8">
      <c r="A71" s="17">
        <f t="shared" si="1"/>
        <v>70</v>
      </c>
      <c r="B71" s="92">
        <v>302054116621</v>
      </c>
      <c r="C71" s="17" t="s">
        <v>364</v>
      </c>
      <c r="D71" s="17" t="s">
        <v>365</v>
      </c>
      <c r="E71" s="92">
        <v>20260828</v>
      </c>
      <c r="F71" s="17" t="s">
        <v>306</v>
      </c>
      <c r="G71" s="17" t="s">
        <v>303</v>
      </c>
      <c r="H71" s="137">
        <v>3000</v>
      </c>
    </row>
    <row r="72" spans="1:8">
      <c r="A72" s="17">
        <f t="shared" si="1"/>
        <v>71</v>
      </c>
      <c r="B72" s="92">
        <v>302054163241</v>
      </c>
      <c r="C72" s="17" t="s">
        <v>423</v>
      </c>
      <c r="D72" s="17" t="s">
        <v>403</v>
      </c>
      <c r="E72" s="92">
        <v>20260828</v>
      </c>
      <c r="F72" s="17" t="s">
        <v>315</v>
      </c>
      <c r="G72" s="17" t="s">
        <v>303</v>
      </c>
      <c r="H72" s="137">
        <v>3000</v>
      </c>
    </row>
    <row r="73" spans="1:8">
      <c r="A73" s="17">
        <f t="shared" si="1"/>
        <v>72</v>
      </c>
      <c r="B73" s="92">
        <v>302054178803</v>
      </c>
      <c r="C73" s="17" t="s">
        <v>424</v>
      </c>
      <c r="D73" s="17" t="s">
        <v>425</v>
      </c>
      <c r="E73" s="92">
        <v>20260829</v>
      </c>
      <c r="F73" s="17" t="s">
        <v>426</v>
      </c>
      <c r="G73" s="17" t="s">
        <v>303</v>
      </c>
      <c r="H73" s="137">
        <v>3000</v>
      </c>
    </row>
    <row r="74" spans="1:8">
      <c r="A74" s="17">
        <f t="shared" si="1"/>
        <v>73</v>
      </c>
      <c r="B74" s="92">
        <v>302054211854</v>
      </c>
      <c r="C74" s="17" t="s">
        <v>427</v>
      </c>
      <c r="D74" s="17" t="s">
        <v>403</v>
      </c>
      <c r="E74" s="92">
        <v>20260831</v>
      </c>
      <c r="F74" s="17" t="s">
        <v>428</v>
      </c>
      <c r="G74" s="17" t="s">
        <v>303</v>
      </c>
      <c r="H74" s="137">
        <v>3000</v>
      </c>
    </row>
    <row r="75" spans="1:8">
      <c r="A75" s="17">
        <f t="shared" si="1"/>
        <v>74</v>
      </c>
      <c r="B75" s="92">
        <v>302054212020</v>
      </c>
      <c r="C75" s="17" t="s">
        <v>429</v>
      </c>
      <c r="D75" s="17" t="s">
        <v>430</v>
      </c>
      <c r="E75" s="92">
        <v>20260831</v>
      </c>
      <c r="F75" s="17" t="s">
        <v>306</v>
      </c>
      <c r="G75" s="17" t="s">
        <v>303</v>
      </c>
      <c r="H75" s="137">
        <v>3000</v>
      </c>
    </row>
    <row r="76" spans="1:8">
      <c r="A76" s="17">
        <f t="shared" si="1"/>
        <v>75</v>
      </c>
      <c r="B76" s="92">
        <v>302054213000</v>
      </c>
      <c r="C76" s="17" t="s">
        <v>431</v>
      </c>
      <c r="D76" s="17" t="s">
        <v>432</v>
      </c>
      <c r="E76" s="92">
        <v>20260831</v>
      </c>
      <c r="F76" s="17" t="s">
        <v>407</v>
      </c>
      <c r="G76" s="17" t="s">
        <v>303</v>
      </c>
      <c r="H76" s="137">
        <v>3000</v>
      </c>
    </row>
    <row r="77" spans="1:8">
      <c r="A77" s="17">
        <f t="shared" si="1"/>
        <v>76</v>
      </c>
      <c r="B77" s="92">
        <v>302054259270</v>
      </c>
      <c r="C77" s="17" t="s">
        <v>393</v>
      </c>
      <c r="D77" s="17" t="s">
        <v>308</v>
      </c>
      <c r="E77" s="92">
        <v>20260831</v>
      </c>
      <c r="F77" s="17" t="s">
        <v>309</v>
      </c>
      <c r="G77" s="17" t="s">
        <v>303</v>
      </c>
      <c r="H77" s="137">
        <v>3000</v>
      </c>
    </row>
    <row r="78" spans="1:8">
      <c r="A78" s="17">
        <f t="shared" si="1"/>
        <v>77</v>
      </c>
      <c r="B78" s="92">
        <v>302054260283</v>
      </c>
      <c r="C78" s="17" t="s">
        <v>433</v>
      </c>
      <c r="D78" s="17" t="s">
        <v>434</v>
      </c>
      <c r="E78" s="92">
        <v>20260831</v>
      </c>
      <c r="F78" s="17" t="s">
        <v>435</v>
      </c>
      <c r="G78" s="17" t="s">
        <v>303</v>
      </c>
      <c r="H78" s="137">
        <v>3000</v>
      </c>
    </row>
    <row r="79" spans="1:8">
      <c r="A79" s="17">
        <f t="shared" si="1"/>
        <v>78</v>
      </c>
      <c r="B79" s="92">
        <v>302054274611</v>
      </c>
      <c r="C79" s="17" t="s">
        <v>436</v>
      </c>
      <c r="D79" s="17" t="s">
        <v>314</v>
      </c>
      <c r="E79" s="92">
        <v>20260901</v>
      </c>
      <c r="F79" s="17" t="s">
        <v>306</v>
      </c>
      <c r="G79" s="17" t="s">
        <v>303</v>
      </c>
      <c r="H79" s="137">
        <v>3000</v>
      </c>
    </row>
    <row r="80" spans="1:8">
      <c r="A80" s="17">
        <f t="shared" si="1"/>
        <v>79</v>
      </c>
      <c r="B80" s="92">
        <v>302039727336</v>
      </c>
      <c r="C80" s="17" t="s">
        <v>437</v>
      </c>
      <c r="D80" s="17" t="s">
        <v>308</v>
      </c>
      <c r="E80" s="92">
        <v>20260803</v>
      </c>
      <c r="F80" s="17" t="s">
        <v>438</v>
      </c>
      <c r="G80" s="17" t="s">
        <v>303</v>
      </c>
      <c r="H80" s="137">
        <v>3000</v>
      </c>
    </row>
    <row r="81" spans="1:8">
      <c r="A81" s="17">
        <f t="shared" si="1"/>
        <v>80</v>
      </c>
      <c r="B81" s="92">
        <v>302039758641</v>
      </c>
      <c r="C81" s="17" t="s">
        <v>439</v>
      </c>
      <c r="D81" s="17" t="s">
        <v>440</v>
      </c>
      <c r="E81" s="92">
        <v>20260803</v>
      </c>
      <c r="F81" s="17" t="s">
        <v>407</v>
      </c>
      <c r="G81" s="17" t="s">
        <v>303</v>
      </c>
      <c r="H81" s="137">
        <v>3000</v>
      </c>
    </row>
    <row r="82" spans="1:8">
      <c r="A82" s="17">
        <f t="shared" si="1"/>
        <v>81</v>
      </c>
      <c r="B82" s="92">
        <v>302039806882</v>
      </c>
      <c r="C82" s="17" t="s">
        <v>441</v>
      </c>
      <c r="D82" s="17" t="s">
        <v>442</v>
      </c>
      <c r="E82" s="92">
        <v>20260804</v>
      </c>
      <c r="F82" s="17" t="s">
        <v>315</v>
      </c>
      <c r="G82" s="17" t="s">
        <v>323</v>
      </c>
      <c r="H82" s="137">
        <v>7000</v>
      </c>
    </row>
    <row r="83" spans="1:8">
      <c r="A83" s="17">
        <f t="shared" si="1"/>
        <v>82</v>
      </c>
      <c r="B83" s="92">
        <v>302039873905</v>
      </c>
      <c r="C83" s="17" t="s">
        <v>443</v>
      </c>
      <c r="D83" s="17" t="s">
        <v>308</v>
      </c>
      <c r="E83" s="92">
        <v>20260805</v>
      </c>
      <c r="F83" s="17" t="s">
        <v>444</v>
      </c>
      <c r="G83" s="17" t="s">
        <v>303</v>
      </c>
      <c r="H83" s="137">
        <v>3000</v>
      </c>
    </row>
    <row r="84" spans="1:8">
      <c r="A84" s="17">
        <f t="shared" si="1"/>
        <v>83</v>
      </c>
      <c r="B84" s="92">
        <v>302040021701</v>
      </c>
      <c r="C84" s="17" t="s">
        <v>445</v>
      </c>
      <c r="D84" s="17" t="s">
        <v>446</v>
      </c>
      <c r="E84" s="92">
        <v>20260807</v>
      </c>
      <c r="F84" s="17" t="s">
        <v>447</v>
      </c>
      <c r="G84" s="17" t="s">
        <v>303</v>
      </c>
      <c r="H84" s="137">
        <v>3000</v>
      </c>
    </row>
    <row r="85" spans="1:8">
      <c r="A85" s="17">
        <f t="shared" si="1"/>
        <v>84</v>
      </c>
      <c r="B85" s="92">
        <v>302040088971</v>
      </c>
      <c r="C85" s="17" t="s">
        <v>448</v>
      </c>
      <c r="D85" s="17" t="s">
        <v>449</v>
      </c>
      <c r="E85" s="92">
        <v>20260810</v>
      </c>
      <c r="F85" s="17" t="s">
        <v>450</v>
      </c>
      <c r="G85" s="17" t="s">
        <v>303</v>
      </c>
      <c r="H85" s="137">
        <v>3000</v>
      </c>
    </row>
    <row r="86" spans="1:8">
      <c r="A86" s="17">
        <f t="shared" si="1"/>
        <v>85</v>
      </c>
      <c r="B86" s="92">
        <v>302040089052</v>
      </c>
      <c r="C86" s="17" t="s">
        <v>451</v>
      </c>
      <c r="D86" s="17" t="s">
        <v>452</v>
      </c>
      <c r="E86" s="92">
        <v>20260810</v>
      </c>
      <c r="F86" s="17" t="s">
        <v>450</v>
      </c>
      <c r="G86" s="17" t="s">
        <v>303</v>
      </c>
      <c r="H86" s="137">
        <v>3000</v>
      </c>
    </row>
    <row r="87" spans="1:8">
      <c r="A87" s="17">
        <f t="shared" si="1"/>
        <v>86</v>
      </c>
      <c r="B87" s="92">
        <v>302040090043</v>
      </c>
      <c r="C87" s="17" t="s">
        <v>431</v>
      </c>
      <c r="D87" s="17" t="s">
        <v>453</v>
      </c>
      <c r="E87" s="92">
        <v>20260810</v>
      </c>
      <c r="F87" s="17" t="s">
        <v>450</v>
      </c>
      <c r="G87" s="17" t="s">
        <v>303</v>
      </c>
      <c r="H87" s="137">
        <v>3000</v>
      </c>
    </row>
    <row r="88" spans="1:8">
      <c r="A88" s="17">
        <f t="shared" si="1"/>
        <v>87</v>
      </c>
      <c r="B88" s="92">
        <v>302040090135</v>
      </c>
      <c r="C88" s="17" t="s">
        <v>454</v>
      </c>
      <c r="D88" s="17" t="s">
        <v>385</v>
      </c>
      <c r="E88" s="92">
        <v>20260810</v>
      </c>
      <c r="F88" s="17" t="s">
        <v>450</v>
      </c>
      <c r="G88" s="17" t="s">
        <v>303</v>
      </c>
      <c r="H88" s="137">
        <v>3000</v>
      </c>
    </row>
    <row r="89" spans="1:8">
      <c r="A89" s="17">
        <f t="shared" si="1"/>
        <v>88</v>
      </c>
      <c r="B89" s="92">
        <v>302040090220</v>
      </c>
      <c r="C89" s="17" t="s">
        <v>455</v>
      </c>
      <c r="D89" s="17" t="s">
        <v>456</v>
      </c>
      <c r="E89" s="92">
        <v>20260810</v>
      </c>
      <c r="F89" s="17" t="s">
        <v>450</v>
      </c>
      <c r="G89" s="17" t="s">
        <v>303</v>
      </c>
      <c r="H89" s="137">
        <v>3000</v>
      </c>
    </row>
    <row r="90" spans="1:8">
      <c r="A90" s="17">
        <f t="shared" si="1"/>
        <v>89</v>
      </c>
      <c r="B90" s="92">
        <v>302040090264</v>
      </c>
      <c r="C90" s="17" t="s">
        <v>457</v>
      </c>
      <c r="D90" s="17" t="s">
        <v>301</v>
      </c>
      <c r="E90" s="92">
        <v>20260810</v>
      </c>
      <c r="F90" s="17" t="s">
        <v>450</v>
      </c>
      <c r="G90" s="17" t="s">
        <v>303</v>
      </c>
      <c r="H90" s="137">
        <v>3000</v>
      </c>
    </row>
    <row r="91" spans="1:8">
      <c r="A91" s="17">
        <f t="shared" si="1"/>
        <v>90</v>
      </c>
      <c r="B91" s="92">
        <v>302040090496</v>
      </c>
      <c r="C91" s="17" t="s">
        <v>458</v>
      </c>
      <c r="D91" s="17" t="s">
        <v>459</v>
      </c>
      <c r="E91" s="92">
        <v>20260810</v>
      </c>
      <c r="F91" s="17" t="s">
        <v>450</v>
      </c>
      <c r="G91" s="17" t="s">
        <v>303</v>
      </c>
      <c r="H91" s="137">
        <v>3000</v>
      </c>
    </row>
    <row r="92" spans="1:8">
      <c r="A92" s="17">
        <f t="shared" si="1"/>
        <v>91</v>
      </c>
      <c r="B92" s="92">
        <v>302040090566</v>
      </c>
      <c r="C92" s="17" t="s">
        <v>460</v>
      </c>
      <c r="D92" s="17" t="s">
        <v>461</v>
      </c>
      <c r="E92" s="92">
        <v>20260810</v>
      </c>
      <c r="F92" s="17" t="s">
        <v>450</v>
      </c>
      <c r="G92" s="17" t="s">
        <v>303</v>
      </c>
      <c r="H92" s="137">
        <v>3000</v>
      </c>
    </row>
    <row r="93" spans="1:8">
      <c r="A93" s="17">
        <f t="shared" si="1"/>
        <v>92</v>
      </c>
      <c r="B93" s="92">
        <v>302040091830</v>
      </c>
      <c r="C93" s="17" t="s">
        <v>462</v>
      </c>
      <c r="D93" s="17" t="s">
        <v>463</v>
      </c>
      <c r="E93" s="92">
        <v>20260810</v>
      </c>
      <c r="F93" s="17" t="s">
        <v>450</v>
      </c>
      <c r="G93" s="17" t="s">
        <v>303</v>
      </c>
      <c r="H93" s="137">
        <v>3000</v>
      </c>
    </row>
    <row r="94" spans="1:8">
      <c r="A94" s="17">
        <f t="shared" si="1"/>
        <v>93</v>
      </c>
      <c r="B94" s="92">
        <v>302040091922</v>
      </c>
      <c r="C94" s="17" t="s">
        <v>464</v>
      </c>
      <c r="D94" s="17" t="s">
        <v>465</v>
      </c>
      <c r="E94" s="92">
        <v>20260810</v>
      </c>
      <c r="F94" s="17" t="s">
        <v>450</v>
      </c>
      <c r="G94" s="17" t="s">
        <v>323</v>
      </c>
      <c r="H94" s="137">
        <v>5000</v>
      </c>
    </row>
    <row r="95" spans="1:8">
      <c r="A95" s="17">
        <f t="shared" si="1"/>
        <v>94</v>
      </c>
      <c r="B95" s="92">
        <v>302040092493</v>
      </c>
      <c r="C95" s="17" t="s">
        <v>466</v>
      </c>
      <c r="D95" s="17" t="s">
        <v>467</v>
      </c>
      <c r="E95" s="92">
        <v>20260810</v>
      </c>
      <c r="F95" s="17" t="s">
        <v>450</v>
      </c>
      <c r="G95" s="17" t="s">
        <v>303</v>
      </c>
      <c r="H95" s="137">
        <v>3000</v>
      </c>
    </row>
    <row r="96" spans="1:8">
      <c r="A96" s="17">
        <f t="shared" si="1"/>
        <v>95</v>
      </c>
      <c r="B96" s="92">
        <v>302040092703</v>
      </c>
      <c r="C96" s="17" t="s">
        <v>468</v>
      </c>
      <c r="D96" s="17" t="s">
        <v>469</v>
      </c>
      <c r="E96" s="92">
        <v>20260810</v>
      </c>
      <c r="F96" s="17" t="s">
        <v>450</v>
      </c>
      <c r="G96" s="17" t="s">
        <v>303</v>
      </c>
      <c r="H96" s="137">
        <v>3000</v>
      </c>
    </row>
    <row r="97" spans="1:8">
      <c r="A97" s="17">
        <f t="shared" si="1"/>
        <v>96</v>
      </c>
      <c r="B97" s="92">
        <v>302040093635</v>
      </c>
      <c r="C97" s="17" t="s">
        <v>470</v>
      </c>
      <c r="D97" s="17" t="s">
        <v>471</v>
      </c>
      <c r="E97" s="92">
        <v>20260810</v>
      </c>
      <c r="F97" s="17" t="s">
        <v>450</v>
      </c>
      <c r="G97" s="17" t="s">
        <v>303</v>
      </c>
      <c r="H97" s="137">
        <v>3000</v>
      </c>
    </row>
    <row r="98" spans="1:8">
      <c r="A98" s="17">
        <f t="shared" si="1"/>
        <v>97</v>
      </c>
      <c r="B98" s="92">
        <v>302040093646</v>
      </c>
      <c r="C98" s="17" t="s">
        <v>472</v>
      </c>
      <c r="D98" s="17" t="s">
        <v>430</v>
      </c>
      <c r="E98" s="92">
        <v>20260810</v>
      </c>
      <c r="F98" s="17" t="s">
        <v>450</v>
      </c>
      <c r="G98" s="17" t="s">
        <v>303</v>
      </c>
      <c r="H98" s="137">
        <v>3000</v>
      </c>
    </row>
    <row r="99" spans="1:8">
      <c r="A99" s="17">
        <f t="shared" si="1"/>
        <v>98</v>
      </c>
      <c r="B99" s="92">
        <v>302040093963</v>
      </c>
      <c r="C99" s="17" t="s">
        <v>473</v>
      </c>
      <c r="D99" s="17" t="s">
        <v>371</v>
      </c>
      <c r="E99" s="92">
        <v>20260810</v>
      </c>
      <c r="F99" s="17" t="s">
        <v>450</v>
      </c>
      <c r="G99" s="17" t="s">
        <v>303</v>
      </c>
      <c r="H99" s="137">
        <v>3000</v>
      </c>
    </row>
    <row r="100" spans="1:8">
      <c r="A100" s="17">
        <f t="shared" si="1"/>
        <v>99</v>
      </c>
      <c r="B100" s="92">
        <v>302040093974</v>
      </c>
      <c r="C100" s="17" t="s">
        <v>474</v>
      </c>
      <c r="D100" s="17" t="s">
        <v>475</v>
      </c>
      <c r="E100" s="92">
        <v>20260810</v>
      </c>
      <c r="F100" s="17" t="s">
        <v>450</v>
      </c>
      <c r="G100" s="17" t="s">
        <v>303</v>
      </c>
      <c r="H100" s="137">
        <v>3000</v>
      </c>
    </row>
    <row r="101" spans="1:8">
      <c r="A101" s="17">
        <f t="shared" si="1"/>
        <v>100</v>
      </c>
      <c r="B101" s="92">
        <v>302040094066</v>
      </c>
      <c r="C101" s="17" t="s">
        <v>476</v>
      </c>
      <c r="D101" s="17" t="s">
        <v>477</v>
      </c>
      <c r="E101" s="92">
        <v>20260810</v>
      </c>
      <c r="F101" s="17" t="s">
        <v>450</v>
      </c>
      <c r="G101" s="17" t="s">
        <v>303</v>
      </c>
      <c r="H101" s="137">
        <v>3000</v>
      </c>
    </row>
    <row r="102" spans="1:8">
      <c r="A102" s="17">
        <f t="shared" si="1"/>
        <v>101</v>
      </c>
      <c r="B102" s="92">
        <v>302040094792</v>
      </c>
      <c r="C102" s="17" t="s">
        <v>478</v>
      </c>
      <c r="D102" s="17" t="s">
        <v>479</v>
      </c>
      <c r="E102" s="92">
        <v>20260810</v>
      </c>
      <c r="F102" s="17" t="s">
        <v>450</v>
      </c>
      <c r="G102" s="17" t="s">
        <v>303</v>
      </c>
      <c r="H102" s="137">
        <v>3000</v>
      </c>
    </row>
    <row r="103" spans="1:8">
      <c r="A103" s="17">
        <f t="shared" si="1"/>
        <v>102</v>
      </c>
      <c r="B103" s="92">
        <v>302040094884</v>
      </c>
      <c r="C103" s="17" t="s">
        <v>480</v>
      </c>
      <c r="D103" s="17" t="s">
        <v>481</v>
      </c>
      <c r="E103" s="92">
        <v>20260810</v>
      </c>
      <c r="F103" s="17" t="s">
        <v>450</v>
      </c>
      <c r="G103" s="17" t="s">
        <v>303</v>
      </c>
      <c r="H103" s="137">
        <v>3000</v>
      </c>
    </row>
    <row r="104" spans="1:8">
      <c r="A104" s="17">
        <f t="shared" si="1"/>
        <v>103</v>
      </c>
      <c r="B104" s="92">
        <v>302040095352</v>
      </c>
      <c r="C104" s="17" t="s">
        <v>482</v>
      </c>
      <c r="D104" s="17" t="s">
        <v>483</v>
      </c>
      <c r="E104" s="92">
        <v>20260810</v>
      </c>
      <c r="F104" s="17" t="s">
        <v>450</v>
      </c>
      <c r="G104" s="17" t="s">
        <v>303</v>
      </c>
      <c r="H104" s="137">
        <v>3000</v>
      </c>
    </row>
    <row r="105" spans="1:8">
      <c r="A105" s="17">
        <f t="shared" si="1"/>
        <v>104</v>
      </c>
      <c r="B105" s="92">
        <v>302040095912</v>
      </c>
      <c r="C105" s="17" t="s">
        <v>484</v>
      </c>
      <c r="D105" s="17" t="s">
        <v>485</v>
      </c>
      <c r="E105" s="92">
        <v>20260810</v>
      </c>
      <c r="F105" s="17" t="s">
        <v>450</v>
      </c>
      <c r="G105" s="17" t="s">
        <v>303</v>
      </c>
      <c r="H105" s="137">
        <v>3000</v>
      </c>
    </row>
    <row r="106" spans="1:8">
      <c r="A106" s="17">
        <f t="shared" si="1"/>
        <v>105</v>
      </c>
      <c r="B106" s="92">
        <v>302040096026</v>
      </c>
      <c r="C106" s="17" t="s">
        <v>486</v>
      </c>
      <c r="D106" s="17" t="s">
        <v>487</v>
      </c>
      <c r="E106" s="92">
        <v>20260810</v>
      </c>
      <c r="F106" s="17" t="s">
        <v>450</v>
      </c>
      <c r="G106" s="17" t="s">
        <v>303</v>
      </c>
      <c r="H106" s="137">
        <v>3000</v>
      </c>
    </row>
    <row r="107" spans="1:8">
      <c r="A107" s="17">
        <f t="shared" si="1"/>
        <v>106</v>
      </c>
      <c r="B107" s="92">
        <v>302040096461</v>
      </c>
      <c r="C107" s="17" t="s">
        <v>488</v>
      </c>
      <c r="D107" s="17" t="s">
        <v>489</v>
      </c>
      <c r="E107" s="92">
        <v>20260810</v>
      </c>
      <c r="F107" s="17" t="s">
        <v>450</v>
      </c>
      <c r="G107" s="17" t="s">
        <v>303</v>
      </c>
      <c r="H107" s="137">
        <v>3000</v>
      </c>
    </row>
    <row r="108" spans="1:8">
      <c r="A108" s="17">
        <f t="shared" si="1"/>
        <v>107</v>
      </c>
      <c r="B108" s="92">
        <v>302040096531</v>
      </c>
      <c r="C108" s="17" t="s">
        <v>490</v>
      </c>
      <c r="D108" s="17" t="s">
        <v>491</v>
      </c>
      <c r="E108" s="92">
        <v>20260810</v>
      </c>
      <c r="F108" s="17" t="s">
        <v>450</v>
      </c>
      <c r="G108" s="17" t="s">
        <v>303</v>
      </c>
      <c r="H108" s="137">
        <v>3000</v>
      </c>
    </row>
    <row r="109" spans="1:8">
      <c r="A109" s="17">
        <f t="shared" si="1"/>
        <v>108</v>
      </c>
      <c r="B109" s="92">
        <v>302040096586</v>
      </c>
      <c r="C109" s="17" t="s">
        <v>492</v>
      </c>
      <c r="D109" s="17" t="s">
        <v>493</v>
      </c>
      <c r="E109" s="92">
        <v>20260810</v>
      </c>
      <c r="F109" s="17" t="s">
        <v>450</v>
      </c>
      <c r="G109" s="17" t="s">
        <v>303</v>
      </c>
      <c r="H109" s="137">
        <v>3000</v>
      </c>
    </row>
    <row r="110" spans="1:8">
      <c r="A110" s="17">
        <f t="shared" si="1"/>
        <v>109</v>
      </c>
      <c r="B110" s="92">
        <v>302040097415</v>
      </c>
      <c r="C110" s="17" t="s">
        <v>494</v>
      </c>
      <c r="D110" s="17" t="s">
        <v>459</v>
      </c>
      <c r="E110" s="92">
        <v>20260810</v>
      </c>
      <c r="F110" s="17" t="s">
        <v>450</v>
      </c>
      <c r="G110" s="17" t="s">
        <v>303</v>
      </c>
      <c r="H110" s="137">
        <v>3000</v>
      </c>
    </row>
    <row r="111" spans="1:8">
      <c r="A111" s="17">
        <f t="shared" si="1"/>
        <v>110</v>
      </c>
      <c r="B111" s="92">
        <v>302040097625</v>
      </c>
      <c r="C111" s="17" t="s">
        <v>495</v>
      </c>
      <c r="D111" s="17" t="s">
        <v>496</v>
      </c>
      <c r="E111" s="92">
        <v>20260810</v>
      </c>
      <c r="F111" s="17" t="s">
        <v>450</v>
      </c>
      <c r="G111" s="17" t="s">
        <v>303</v>
      </c>
      <c r="H111" s="137">
        <v>3000</v>
      </c>
    </row>
    <row r="112" spans="1:8">
      <c r="A112" s="17">
        <f t="shared" si="1"/>
        <v>111</v>
      </c>
      <c r="B112" s="260">
        <v>302040097754</v>
      </c>
      <c r="C112" s="259" t="s">
        <v>497</v>
      </c>
      <c r="D112" s="259" t="s">
        <v>314</v>
      </c>
      <c r="E112" s="260">
        <v>20260810</v>
      </c>
      <c r="F112" s="259" t="s">
        <v>450</v>
      </c>
      <c r="G112" s="259" t="s">
        <v>303</v>
      </c>
      <c r="H112" s="137">
        <v>3000</v>
      </c>
    </row>
    <row r="113" spans="1:8">
      <c r="A113" s="17">
        <f t="shared" si="1"/>
        <v>112</v>
      </c>
      <c r="B113" s="260">
        <v>302040098056</v>
      </c>
      <c r="C113" s="259" t="s">
        <v>498</v>
      </c>
      <c r="D113" s="259" t="s">
        <v>499</v>
      </c>
      <c r="E113" s="260">
        <v>20260810</v>
      </c>
      <c r="F113" s="259" t="s">
        <v>450</v>
      </c>
      <c r="G113" s="259" t="s">
        <v>303</v>
      </c>
      <c r="H113" s="137">
        <v>3000</v>
      </c>
    </row>
    <row r="114" spans="1:8">
      <c r="A114" s="17">
        <f t="shared" si="1"/>
        <v>113</v>
      </c>
      <c r="B114" s="260">
        <v>302040098675</v>
      </c>
      <c r="C114" s="259" t="s">
        <v>500</v>
      </c>
      <c r="D114" s="259" t="s">
        <v>317</v>
      </c>
      <c r="E114" s="260">
        <v>20260810</v>
      </c>
      <c r="F114" s="259" t="s">
        <v>450</v>
      </c>
      <c r="G114" s="259" t="s">
        <v>303</v>
      </c>
      <c r="H114" s="137">
        <v>3000</v>
      </c>
    </row>
    <row r="115" spans="1:8">
      <c r="A115" s="17">
        <f t="shared" si="1"/>
        <v>114</v>
      </c>
      <c r="B115" s="260">
        <v>302040098723</v>
      </c>
      <c r="C115" s="259" t="s">
        <v>501</v>
      </c>
      <c r="D115" s="259" t="s">
        <v>502</v>
      </c>
      <c r="E115" s="260">
        <v>20260810</v>
      </c>
      <c r="F115" s="259" t="s">
        <v>450</v>
      </c>
      <c r="G115" s="259" t="s">
        <v>303</v>
      </c>
      <c r="H115" s="137">
        <v>3000</v>
      </c>
    </row>
    <row r="116" spans="1:8">
      <c r="A116" s="17">
        <f t="shared" si="1"/>
        <v>115</v>
      </c>
      <c r="B116" s="260">
        <v>302040211961</v>
      </c>
      <c r="C116" s="259" t="s">
        <v>503</v>
      </c>
      <c r="D116" s="259" t="s">
        <v>504</v>
      </c>
      <c r="E116" s="260">
        <v>20260811</v>
      </c>
      <c r="F116" s="259" t="s">
        <v>450</v>
      </c>
      <c r="G116" s="259" t="s">
        <v>303</v>
      </c>
      <c r="H116" s="137">
        <v>3000</v>
      </c>
    </row>
    <row r="117" spans="1:8">
      <c r="A117" s="17">
        <f t="shared" si="1"/>
        <v>116</v>
      </c>
      <c r="B117" s="260">
        <v>302040212016</v>
      </c>
      <c r="C117" s="259" t="s">
        <v>505</v>
      </c>
      <c r="D117" s="259" t="s">
        <v>506</v>
      </c>
      <c r="E117" s="260">
        <v>20260811</v>
      </c>
      <c r="F117" s="259" t="s">
        <v>450</v>
      </c>
      <c r="G117" s="259" t="s">
        <v>303</v>
      </c>
      <c r="H117" s="137">
        <v>3000</v>
      </c>
    </row>
    <row r="118" spans="1:8">
      <c r="A118" s="17">
        <f t="shared" si="1"/>
        <v>117</v>
      </c>
      <c r="B118" s="260">
        <v>302040212296</v>
      </c>
      <c r="C118" s="259" t="s">
        <v>507</v>
      </c>
      <c r="D118" s="259" t="s">
        <v>508</v>
      </c>
      <c r="E118" s="260">
        <v>20260811</v>
      </c>
      <c r="F118" s="259" t="s">
        <v>450</v>
      </c>
      <c r="G118" s="259" t="s">
        <v>303</v>
      </c>
      <c r="H118" s="137">
        <v>3000</v>
      </c>
    </row>
    <row r="119" spans="1:8">
      <c r="A119" s="17">
        <f t="shared" si="1"/>
        <v>118</v>
      </c>
      <c r="B119" s="260">
        <v>302040212355</v>
      </c>
      <c r="C119" s="259" t="s">
        <v>509</v>
      </c>
      <c r="D119" s="259" t="s">
        <v>510</v>
      </c>
      <c r="E119" s="260">
        <v>20260811</v>
      </c>
      <c r="F119" s="259" t="s">
        <v>450</v>
      </c>
      <c r="G119" s="259" t="s">
        <v>303</v>
      </c>
      <c r="H119" s="137">
        <v>3000</v>
      </c>
    </row>
    <row r="120" spans="1:8">
      <c r="A120" s="17">
        <f t="shared" si="1"/>
        <v>119</v>
      </c>
      <c r="B120" s="260">
        <v>302040212635</v>
      </c>
      <c r="C120" s="259" t="s">
        <v>511</v>
      </c>
      <c r="D120" s="259" t="s">
        <v>371</v>
      </c>
      <c r="E120" s="260">
        <v>20260811</v>
      </c>
      <c r="F120" s="259" t="s">
        <v>450</v>
      </c>
      <c r="G120" s="259" t="s">
        <v>303</v>
      </c>
      <c r="H120" s="137">
        <v>3000</v>
      </c>
    </row>
    <row r="121" spans="1:8">
      <c r="A121" s="17">
        <f t="shared" si="1"/>
        <v>120</v>
      </c>
      <c r="B121" s="260">
        <v>302040213965</v>
      </c>
      <c r="C121" s="259" t="s">
        <v>512</v>
      </c>
      <c r="D121" s="259" t="s">
        <v>513</v>
      </c>
      <c r="E121" s="260">
        <v>20260811</v>
      </c>
      <c r="F121" s="259" t="s">
        <v>450</v>
      </c>
      <c r="G121" s="259" t="s">
        <v>303</v>
      </c>
      <c r="H121" s="137">
        <v>3000</v>
      </c>
    </row>
    <row r="122" spans="1:8">
      <c r="A122" s="17">
        <f t="shared" si="1"/>
        <v>121</v>
      </c>
      <c r="B122" s="260">
        <v>302040214120</v>
      </c>
      <c r="C122" s="259" t="s">
        <v>514</v>
      </c>
      <c r="D122" s="259" t="s">
        <v>371</v>
      </c>
      <c r="E122" s="260">
        <v>20260811</v>
      </c>
      <c r="F122" s="259" t="s">
        <v>450</v>
      </c>
      <c r="G122" s="259" t="s">
        <v>303</v>
      </c>
      <c r="H122" s="137">
        <v>3000</v>
      </c>
    </row>
    <row r="123" spans="1:8">
      <c r="A123" s="17">
        <f t="shared" si="1"/>
        <v>122</v>
      </c>
      <c r="B123" s="260">
        <v>302040214190</v>
      </c>
      <c r="C123" s="259" t="s">
        <v>515</v>
      </c>
      <c r="D123" s="259" t="s">
        <v>516</v>
      </c>
      <c r="E123" s="260">
        <v>20260811</v>
      </c>
      <c r="F123" s="259" t="s">
        <v>450</v>
      </c>
      <c r="G123" s="259" t="s">
        <v>303</v>
      </c>
      <c r="H123" s="137">
        <v>3000</v>
      </c>
    </row>
    <row r="124" spans="1:8">
      <c r="A124" s="17">
        <f t="shared" si="1"/>
        <v>123</v>
      </c>
      <c r="B124" s="260">
        <v>302040214665</v>
      </c>
      <c r="C124" s="259" t="s">
        <v>517</v>
      </c>
      <c r="D124" s="259" t="s">
        <v>518</v>
      </c>
      <c r="E124" s="260">
        <v>20260811</v>
      </c>
      <c r="F124" s="259" t="s">
        <v>450</v>
      </c>
      <c r="G124" s="259" t="s">
        <v>303</v>
      </c>
      <c r="H124" s="137">
        <v>3000</v>
      </c>
    </row>
    <row r="125" spans="1:8">
      <c r="A125" s="17">
        <f t="shared" si="1"/>
        <v>124</v>
      </c>
      <c r="B125" s="260">
        <v>302040214676</v>
      </c>
      <c r="C125" s="259" t="s">
        <v>519</v>
      </c>
      <c r="D125" s="259" t="s">
        <v>518</v>
      </c>
      <c r="E125" s="260">
        <v>20260811</v>
      </c>
      <c r="F125" s="259" t="s">
        <v>450</v>
      </c>
      <c r="G125" s="259" t="s">
        <v>303</v>
      </c>
      <c r="H125" s="137">
        <v>3000</v>
      </c>
    </row>
    <row r="126" spans="1:8">
      <c r="A126" s="17">
        <f t="shared" si="1"/>
        <v>125</v>
      </c>
      <c r="B126" s="260">
        <v>302040214805</v>
      </c>
      <c r="C126" s="259" t="s">
        <v>520</v>
      </c>
      <c r="D126" s="259" t="s">
        <v>521</v>
      </c>
      <c r="E126" s="260">
        <v>20260811</v>
      </c>
      <c r="F126" s="259" t="s">
        <v>450</v>
      </c>
      <c r="G126" s="259" t="s">
        <v>303</v>
      </c>
      <c r="H126" s="137">
        <v>3000</v>
      </c>
    </row>
    <row r="127" spans="1:8">
      <c r="A127" s="17">
        <f t="shared" si="1"/>
        <v>126</v>
      </c>
      <c r="B127" s="260">
        <v>302040214923</v>
      </c>
      <c r="C127" s="259" t="s">
        <v>522</v>
      </c>
      <c r="D127" s="259" t="s">
        <v>523</v>
      </c>
      <c r="E127" s="260">
        <v>20260811</v>
      </c>
      <c r="F127" s="259" t="s">
        <v>450</v>
      </c>
      <c r="G127" s="259" t="s">
        <v>303</v>
      </c>
      <c r="H127" s="137">
        <v>3000</v>
      </c>
    </row>
    <row r="128" spans="1:8">
      <c r="A128" s="17">
        <f t="shared" si="1"/>
        <v>127</v>
      </c>
      <c r="B128" s="260">
        <v>302040214971</v>
      </c>
      <c r="C128" s="259" t="s">
        <v>524</v>
      </c>
      <c r="D128" s="259" t="s">
        <v>525</v>
      </c>
      <c r="E128" s="260">
        <v>20260811</v>
      </c>
      <c r="F128" s="259" t="s">
        <v>450</v>
      </c>
      <c r="G128" s="259" t="s">
        <v>303</v>
      </c>
      <c r="H128" s="137">
        <v>3000</v>
      </c>
    </row>
    <row r="129" spans="1:8">
      <c r="A129" s="17">
        <f t="shared" si="1"/>
        <v>128</v>
      </c>
      <c r="B129" s="260">
        <v>302040216275</v>
      </c>
      <c r="C129" s="259" t="s">
        <v>526</v>
      </c>
      <c r="D129" s="259" t="s">
        <v>527</v>
      </c>
      <c r="E129" s="260">
        <v>20260811</v>
      </c>
      <c r="F129" s="259" t="s">
        <v>450</v>
      </c>
      <c r="G129" s="259" t="s">
        <v>303</v>
      </c>
      <c r="H129" s="137">
        <v>3000</v>
      </c>
    </row>
    <row r="130" spans="1:8">
      <c r="A130" s="17">
        <f t="shared" si="1"/>
        <v>129</v>
      </c>
      <c r="B130" s="260">
        <v>302040216640</v>
      </c>
      <c r="C130" s="259" t="s">
        <v>528</v>
      </c>
      <c r="D130" s="259" t="s">
        <v>371</v>
      </c>
      <c r="E130" s="260">
        <v>20260811</v>
      </c>
      <c r="F130" s="259" t="s">
        <v>450</v>
      </c>
      <c r="G130" s="259" t="s">
        <v>303</v>
      </c>
      <c r="H130" s="137">
        <v>3000</v>
      </c>
    </row>
    <row r="131" spans="1:8">
      <c r="A131" s="17">
        <f t="shared" si="1"/>
        <v>130</v>
      </c>
      <c r="B131" s="260">
        <v>302040217303</v>
      </c>
      <c r="C131" s="259" t="s">
        <v>529</v>
      </c>
      <c r="D131" s="259" t="s">
        <v>530</v>
      </c>
      <c r="E131" s="260">
        <v>20260811</v>
      </c>
      <c r="F131" s="259" t="s">
        <v>450</v>
      </c>
      <c r="G131" s="259" t="s">
        <v>303</v>
      </c>
      <c r="H131" s="137">
        <v>3000</v>
      </c>
    </row>
    <row r="132" spans="1:8">
      <c r="A132" s="17">
        <f t="shared" si="1"/>
        <v>131</v>
      </c>
      <c r="B132" s="260">
        <v>302040218283</v>
      </c>
      <c r="C132" s="259" t="s">
        <v>531</v>
      </c>
      <c r="D132" s="259" t="s">
        <v>532</v>
      </c>
      <c r="E132" s="260">
        <v>20260811</v>
      </c>
      <c r="F132" s="259" t="s">
        <v>450</v>
      </c>
      <c r="G132" s="259" t="s">
        <v>303</v>
      </c>
      <c r="H132" s="137">
        <v>3000</v>
      </c>
    </row>
    <row r="133" spans="1:8">
      <c r="A133" s="17">
        <f t="shared" si="1"/>
        <v>132</v>
      </c>
      <c r="B133" s="260">
        <v>302040218305</v>
      </c>
      <c r="C133" s="259" t="s">
        <v>533</v>
      </c>
      <c r="D133" s="259" t="s">
        <v>534</v>
      </c>
      <c r="E133" s="260">
        <v>20260811</v>
      </c>
      <c r="F133" s="259" t="s">
        <v>450</v>
      </c>
      <c r="G133" s="259" t="s">
        <v>303</v>
      </c>
      <c r="H133" s="137">
        <v>3000</v>
      </c>
    </row>
    <row r="134" spans="1:8">
      <c r="A134" s="17">
        <f t="shared" si="1"/>
        <v>133</v>
      </c>
      <c r="B134" s="260">
        <v>302040218316</v>
      </c>
      <c r="C134" s="259" t="s">
        <v>535</v>
      </c>
      <c r="D134" s="259" t="s">
        <v>536</v>
      </c>
      <c r="E134" s="260">
        <v>20260811</v>
      </c>
      <c r="F134" s="259" t="s">
        <v>450</v>
      </c>
      <c r="G134" s="259" t="s">
        <v>303</v>
      </c>
      <c r="H134" s="137">
        <v>3000</v>
      </c>
    </row>
    <row r="135" spans="1:8">
      <c r="A135" s="17">
        <f t="shared" si="1"/>
        <v>134</v>
      </c>
      <c r="B135" s="260">
        <v>302040219171</v>
      </c>
      <c r="C135" s="259" t="s">
        <v>537</v>
      </c>
      <c r="D135" s="259" t="s">
        <v>538</v>
      </c>
      <c r="E135" s="260">
        <v>20260811</v>
      </c>
      <c r="F135" s="259" t="s">
        <v>450</v>
      </c>
      <c r="G135" s="259" t="s">
        <v>303</v>
      </c>
      <c r="H135" s="137">
        <v>3000</v>
      </c>
    </row>
    <row r="136" spans="1:8">
      <c r="A136" s="17">
        <f t="shared" si="1"/>
        <v>135</v>
      </c>
      <c r="B136" s="260">
        <v>302040219521</v>
      </c>
      <c r="C136" s="259" t="s">
        <v>539</v>
      </c>
      <c r="D136" s="259" t="s">
        <v>540</v>
      </c>
      <c r="E136" s="260">
        <v>20260811</v>
      </c>
      <c r="F136" s="259" t="s">
        <v>450</v>
      </c>
      <c r="G136" s="259" t="s">
        <v>303</v>
      </c>
      <c r="H136" s="137">
        <v>3000</v>
      </c>
    </row>
    <row r="137" spans="1:8">
      <c r="A137" s="17">
        <f t="shared" si="1"/>
        <v>136</v>
      </c>
      <c r="B137" s="260">
        <v>302040221142</v>
      </c>
      <c r="C137" s="259" t="s">
        <v>541</v>
      </c>
      <c r="D137" s="259" t="s">
        <v>542</v>
      </c>
      <c r="E137" s="260">
        <v>20260811</v>
      </c>
      <c r="F137" s="259" t="s">
        <v>450</v>
      </c>
      <c r="G137" s="259" t="s">
        <v>303</v>
      </c>
      <c r="H137" s="137">
        <v>3000</v>
      </c>
    </row>
    <row r="138" spans="1:8">
      <c r="A138" s="17">
        <f t="shared" si="1"/>
        <v>137</v>
      </c>
      <c r="B138" s="260">
        <v>302040221315</v>
      </c>
      <c r="C138" s="259" t="s">
        <v>543</v>
      </c>
      <c r="D138" s="259" t="s">
        <v>489</v>
      </c>
      <c r="E138" s="260">
        <v>20260811</v>
      </c>
      <c r="F138" s="259" t="s">
        <v>450</v>
      </c>
      <c r="G138" s="259" t="s">
        <v>303</v>
      </c>
      <c r="H138" s="137">
        <v>3000</v>
      </c>
    </row>
    <row r="139" spans="1:8">
      <c r="A139" s="17">
        <f t="shared" si="1"/>
        <v>138</v>
      </c>
      <c r="B139" s="260">
        <v>302040249794</v>
      </c>
      <c r="C139" s="259" t="s">
        <v>544</v>
      </c>
      <c r="D139" s="259" t="s">
        <v>496</v>
      </c>
      <c r="E139" s="260">
        <v>20260811</v>
      </c>
      <c r="F139" s="259" t="s">
        <v>386</v>
      </c>
      <c r="G139" s="259" t="s">
        <v>303</v>
      </c>
      <c r="H139" s="137">
        <v>3000</v>
      </c>
    </row>
    <row r="140" spans="1:8">
      <c r="A140" s="17">
        <f t="shared" si="1"/>
        <v>139</v>
      </c>
      <c r="B140" s="260">
        <v>302040252550</v>
      </c>
      <c r="C140" s="259" t="s">
        <v>545</v>
      </c>
      <c r="D140" s="259" t="s">
        <v>363</v>
      </c>
      <c r="E140" s="260">
        <v>20260811</v>
      </c>
      <c r="F140" s="259" t="s">
        <v>546</v>
      </c>
      <c r="G140" s="259" t="s">
        <v>303</v>
      </c>
      <c r="H140" s="137">
        <v>3000</v>
      </c>
    </row>
    <row r="141" spans="1:8">
      <c r="A141" s="17">
        <f t="shared" si="1"/>
        <v>140</v>
      </c>
      <c r="B141" s="260">
        <v>302040273804</v>
      </c>
      <c r="C141" s="259" t="s">
        <v>547</v>
      </c>
      <c r="D141" s="259" t="s">
        <v>548</v>
      </c>
      <c r="E141" s="260">
        <v>20260811</v>
      </c>
      <c r="F141" s="259" t="s">
        <v>549</v>
      </c>
      <c r="G141" s="259" t="s">
        <v>303</v>
      </c>
      <c r="H141" s="137">
        <v>3000</v>
      </c>
    </row>
    <row r="142" spans="1:8">
      <c r="A142" s="17">
        <f t="shared" si="1"/>
        <v>141</v>
      </c>
      <c r="B142" s="260">
        <v>302040274456</v>
      </c>
      <c r="C142" s="259" t="s">
        <v>550</v>
      </c>
      <c r="D142" s="259" t="s">
        <v>551</v>
      </c>
      <c r="E142" s="260">
        <v>20260811</v>
      </c>
      <c r="F142" s="259" t="s">
        <v>552</v>
      </c>
      <c r="G142" s="259" t="s">
        <v>303</v>
      </c>
      <c r="H142" s="137">
        <v>3000</v>
      </c>
    </row>
    <row r="143" spans="1:8">
      <c r="A143" s="17">
        <f t="shared" si="1"/>
        <v>142</v>
      </c>
      <c r="B143" s="260">
        <v>302040278166</v>
      </c>
      <c r="C143" s="259" t="s">
        <v>553</v>
      </c>
      <c r="D143" s="259" t="s">
        <v>432</v>
      </c>
      <c r="E143" s="260">
        <v>20260811</v>
      </c>
      <c r="F143" s="259" t="s">
        <v>554</v>
      </c>
      <c r="G143" s="259" t="s">
        <v>303</v>
      </c>
      <c r="H143" s="137">
        <v>3000</v>
      </c>
    </row>
    <row r="144" spans="1:8">
      <c r="A144" s="17">
        <f t="shared" si="1"/>
        <v>143</v>
      </c>
      <c r="B144" s="260">
        <v>302040279835</v>
      </c>
      <c r="C144" s="259" t="s">
        <v>555</v>
      </c>
      <c r="D144" s="259" t="s">
        <v>556</v>
      </c>
      <c r="E144" s="260">
        <v>20260811</v>
      </c>
      <c r="F144" s="259" t="s">
        <v>380</v>
      </c>
      <c r="G144" s="259" t="s">
        <v>323</v>
      </c>
      <c r="H144" s="137">
        <v>5000</v>
      </c>
    </row>
    <row r="145" spans="1:8">
      <c r="A145" s="17">
        <f t="shared" si="1"/>
        <v>144</v>
      </c>
      <c r="B145" s="260">
        <v>302040464543</v>
      </c>
      <c r="C145" s="259" t="s">
        <v>557</v>
      </c>
      <c r="D145" s="259" t="s">
        <v>558</v>
      </c>
      <c r="E145" s="260">
        <v>20260817</v>
      </c>
      <c r="F145" s="259" t="s">
        <v>559</v>
      </c>
      <c r="G145" s="259" t="s">
        <v>303</v>
      </c>
      <c r="H145" s="137">
        <v>3000</v>
      </c>
    </row>
    <row r="146" spans="1:8">
      <c r="A146" s="17">
        <f t="shared" ref="A146:A209" si="2">A145+1</f>
        <v>145</v>
      </c>
      <c r="B146" s="260">
        <v>302040464554</v>
      </c>
      <c r="C146" s="259" t="s">
        <v>560</v>
      </c>
      <c r="D146" s="259" t="s">
        <v>499</v>
      </c>
      <c r="E146" s="260">
        <v>20260817</v>
      </c>
      <c r="F146" s="259" t="s">
        <v>386</v>
      </c>
      <c r="G146" s="259" t="s">
        <v>303</v>
      </c>
      <c r="H146" s="137">
        <v>3000</v>
      </c>
    </row>
    <row r="147" spans="1:8">
      <c r="A147" s="17">
        <f t="shared" si="2"/>
        <v>146</v>
      </c>
      <c r="B147" s="260">
        <v>302040464565</v>
      </c>
      <c r="C147" s="259" t="s">
        <v>561</v>
      </c>
      <c r="D147" s="259" t="s">
        <v>562</v>
      </c>
      <c r="E147" s="260">
        <v>20260817</v>
      </c>
      <c r="F147" s="259" t="s">
        <v>386</v>
      </c>
      <c r="G147" s="259" t="s">
        <v>303</v>
      </c>
      <c r="H147" s="137">
        <v>3000</v>
      </c>
    </row>
    <row r="148" spans="1:8">
      <c r="A148" s="17">
        <f t="shared" si="2"/>
        <v>147</v>
      </c>
      <c r="B148" s="260">
        <v>302040464576</v>
      </c>
      <c r="C148" s="259" t="s">
        <v>563</v>
      </c>
      <c r="D148" s="259" t="s">
        <v>564</v>
      </c>
      <c r="E148" s="260">
        <v>20260817</v>
      </c>
      <c r="F148" s="259" t="s">
        <v>386</v>
      </c>
      <c r="G148" s="259" t="s">
        <v>303</v>
      </c>
      <c r="H148" s="137">
        <v>3000</v>
      </c>
    </row>
    <row r="149" spans="1:8">
      <c r="A149" s="17">
        <f t="shared" si="2"/>
        <v>148</v>
      </c>
      <c r="B149" s="260">
        <v>302040464591</v>
      </c>
      <c r="C149" s="259" t="s">
        <v>565</v>
      </c>
      <c r="D149" s="259" t="s">
        <v>566</v>
      </c>
      <c r="E149" s="260">
        <v>20260817</v>
      </c>
      <c r="F149" s="259" t="s">
        <v>567</v>
      </c>
      <c r="G149" s="259" t="s">
        <v>303</v>
      </c>
      <c r="H149" s="137">
        <v>3000</v>
      </c>
    </row>
    <row r="150" spans="1:8">
      <c r="A150" s="17">
        <f t="shared" si="2"/>
        <v>149</v>
      </c>
      <c r="B150" s="260">
        <v>302040580463</v>
      </c>
      <c r="C150" s="259" t="s">
        <v>568</v>
      </c>
      <c r="D150" s="259" t="s">
        <v>569</v>
      </c>
      <c r="E150" s="260">
        <v>20260818</v>
      </c>
      <c r="F150" s="259" t="s">
        <v>450</v>
      </c>
      <c r="G150" s="259" t="s">
        <v>303</v>
      </c>
      <c r="H150" s="137">
        <v>3000</v>
      </c>
    </row>
    <row r="151" spans="1:8">
      <c r="A151" s="17">
        <f t="shared" si="2"/>
        <v>150</v>
      </c>
      <c r="B151" s="260">
        <v>302040580861</v>
      </c>
      <c r="C151" s="259" t="s">
        <v>570</v>
      </c>
      <c r="D151" s="259" t="s">
        <v>571</v>
      </c>
      <c r="E151" s="260">
        <v>20260818</v>
      </c>
      <c r="F151" s="259" t="s">
        <v>450</v>
      </c>
      <c r="G151" s="259" t="s">
        <v>303</v>
      </c>
      <c r="H151" s="137">
        <v>3000</v>
      </c>
    </row>
    <row r="152" spans="1:8">
      <c r="A152" s="17">
        <f t="shared" si="2"/>
        <v>151</v>
      </c>
      <c r="B152" s="260">
        <v>302040582552</v>
      </c>
      <c r="C152" s="259" t="s">
        <v>572</v>
      </c>
      <c r="D152" s="259" t="s">
        <v>573</v>
      </c>
      <c r="E152" s="260">
        <v>20260818</v>
      </c>
      <c r="F152" s="259" t="s">
        <v>450</v>
      </c>
      <c r="G152" s="259" t="s">
        <v>303</v>
      </c>
      <c r="H152" s="137">
        <v>3000</v>
      </c>
    </row>
    <row r="153" spans="1:8">
      <c r="A153" s="17">
        <f t="shared" si="2"/>
        <v>152</v>
      </c>
      <c r="B153" s="260">
        <v>302040583720</v>
      </c>
      <c r="C153" s="259" t="s">
        <v>574</v>
      </c>
      <c r="D153" s="259" t="s">
        <v>564</v>
      </c>
      <c r="E153" s="260">
        <v>20260818</v>
      </c>
      <c r="F153" s="259" t="s">
        <v>450</v>
      </c>
      <c r="G153" s="259" t="s">
        <v>303</v>
      </c>
      <c r="H153" s="137">
        <v>3000</v>
      </c>
    </row>
    <row r="154" spans="1:8">
      <c r="A154" s="17">
        <f t="shared" si="2"/>
        <v>153</v>
      </c>
      <c r="B154" s="260">
        <v>302040583731</v>
      </c>
      <c r="C154" s="259" t="s">
        <v>575</v>
      </c>
      <c r="D154" s="259" t="s">
        <v>576</v>
      </c>
      <c r="E154" s="260">
        <v>20260818</v>
      </c>
      <c r="F154" s="259" t="s">
        <v>450</v>
      </c>
      <c r="G154" s="259" t="s">
        <v>303</v>
      </c>
      <c r="H154" s="137">
        <v>3000</v>
      </c>
    </row>
    <row r="155" spans="1:8">
      <c r="A155" s="17">
        <f t="shared" si="2"/>
        <v>154</v>
      </c>
      <c r="B155" s="260">
        <v>302040584103</v>
      </c>
      <c r="C155" s="259" t="s">
        <v>577</v>
      </c>
      <c r="D155" s="259" t="s">
        <v>367</v>
      </c>
      <c r="E155" s="260">
        <v>20260818</v>
      </c>
      <c r="F155" s="259" t="s">
        <v>450</v>
      </c>
      <c r="G155" s="259" t="s">
        <v>303</v>
      </c>
      <c r="H155" s="137">
        <v>3000</v>
      </c>
    </row>
    <row r="156" spans="1:8">
      <c r="A156" s="17">
        <f t="shared" si="2"/>
        <v>155</v>
      </c>
      <c r="B156" s="260">
        <v>302040584534</v>
      </c>
      <c r="C156" s="259" t="s">
        <v>578</v>
      </c>
      <c r="D156" s="259" t="s">
        <v>579</v>
      </c>
      <c r="E156" s="260">
        <v>20260818</v>
      </c>
      <c r="F156" s="259" t="s">
        <v>450</v>
      </c>
      <c r="G156" s="259" t="s">
        <v>303</v>
      </c>
      <c r="H156" s="137">
        <v>3000</v>
      </c>
    </row>
    <row r="157" spans="1:8">
      <c r="A157" s="17">
        <f t="shared" si="2"/>
        <v>156</v>
      </c>
      <c r="B157" s="260">
        <v>302040585960</v>
      </c>
      <c r="C157" s="259" t="s">
        <v>580</v>
      </c>
      <c r="D157" s="259" t="s">
        <v>417</v>
      </c>
      <c r="E157" s="260">
        <v>20260818</v>
      </c>
      <c r="F157" s="259" t="s">
        <v>450</v>
      </c>
      <c r="G157" s="259" t="s">
        <v>303</v>
      </c>
      <c r="H157" s="137">
        <v>3000</v>
      </c>
    </row>
    <row r="158" spans="1:8">
      <c r="A158" s="17">
        <f t="shared" si="2"/>
        <v>157</v>
      </c>
      <c r="B158" s="260">
        <v>302040585993</v>
      </c>
      <c r="C158" s="259" t="s">
        <v>581</v>
      </c>
      <c r="D158" s="259" t="s">
        <v>359</v>
      </c>
      <c r="E158" s="260">
        <v>20260818</v>
      </c>
      <c r="F158" s="259" t="s">
        <v>450</v>
      </c>
      <c r="G158" s="259" t="s">
        <v>303</v>
      </c>
      <c r="H158" s="137">
        <v>3000</v>
      </c>
    </row>
    <row r="159" spans="1:8">
      <c r="A159" s="17">
        <f t="shared" si="2"/>
        <v>158</v>
      </c>
      <c r="B159" s="260">
        <v>302040587102</v>
      </c>
      <c r="C159" s="259" t="s">
        <v>582</v>
      </c>
      <c r="D159" s="259" t="s">
        <v>583</v>
      </c>
      <c r="E159" s="260">
        <v>20260818</v>
      </c>
      <c r="F159" s="259" t="s">
        <v>450</v>
      </c>
      <c r="G159" s="259" t="s">
        <v>303</v>
      </c>
      <c r="H159" s="137">
        <v>3000</v>
      </c>
    </row>
    <row r="160" spans="1:8">
      <c r="A160" s="17">
        <f t="shared" si="2"/>
        <v>159</v>
      </c>
      <c r="B160" s="260">
        <v>302040587135</v>
      </c>
      <c r="C160" s="259" t="s">
        <v>584</v>
      </c>
      <c r="D160" s="259" t="s">
        <v>585</v>
      </c>
      <c r="E160" s="260">
        <v>20260818</v>
      </c>
      <c r="F160" s="259" t="s">
        <v>450</v>
      </c>
      <c r="G160" s="259" t="s">
        <v>303</v>
      </c>
      <c r="H160" s="137">
        <v>3000</v>
      </c>
    </row>
    <row r="161" spans="1:8">
      <c r="A161" s="17">
        <f t="shared" si="2"/>
        <v>160</v>
      </c>
      <c r="B161" s="260">
        <v>302040587253</v>
      </c>
      <c r="C161" s="259" t="s">
        <v>586</v>
      </c>
      <c r="D161" s="259" t="s">
        <v>301</v>
      </c>
      <c r="E161" s="260">
        <v>20260818</v>
      </c>
      <c r="F161" s="259" t="s">
        <v>450</v>
      </c>
      <c r="G161" s="259" t="s">
        <v>303</v>
      </c>
      <c r="H161" s="137">
        <v>3000</v>
      </c>
    </row>
    <row r="162" spans="1:8">
      <c r="A162" s="17">
        <f t="shared" si="2"/>
        <v>161</v>
      </c>
      <c r="B162" s="260">
        <v>302040587614</v>
      </c>
      <c r="C162" s="259" t="s">
        <v>587</v>
      </c>
      <c r="D162" s="259" t="s">
        <v>588</v>
      </c>
      <c r="E162" s="260">
        <v>20260818</v>
      </c>
      <c r="F162" s="259" t="s">
        <v>450</v>
      </c>
      <c r="G162" s="259" t="s">
        <v>303</v>
      </c>
      <c r="H162" s="137">
        <v>3000</v>
      </c>
    </row>
    <row r="163" spans="1:8">
      <c r="A163" s="17">
        <f t="shared" si="2"/>
        <v>162</v>
      </c>
      <c r="B163" s="260">
        <v>302040587662</v>
      </c>
      <c r="C163" s="259" t="s">
        <v>589</v>
      </c>
      <c r="D163" s="259" t="s">
        <v>590</v>
      </c>
      <c r="E163" s="260">
        <v>20260818</v>
      </c>
      <c r="F163" s="259" t="s">
        <v>450</v>
      </c>
      <c r="G163" s="259" t="s">
        <v>303</v>
      </c>
      <c r="H163" s="137">
        <v>3000</v>
      </c>
    </row>
    <row r="164" spans="1:8">
      <c r="A164" s="17">
        <f t="shared" si="2"/>
        <v>163</v>
      </c>
      <c r="B164" s="260">
        <v>302040587743</v>
      </c>
      <c r="C164" s="259" t="s">
        <v>591</v>
      </c>
      <c r="D164" s="259" t="s">
        <v>422</v>
      </c>
      <c r="E164" s="260">
        <v>20260818</v>
      </c>
      <c r="F164" s="259" t="s">
        <v>450</v>
      </c>
      <c r="G164" s="259" t="s">
        <v>303</v>
      </c>
      <c r="H164" s="137">
        <v>3000</v>
      </c>
    </row>
    <row r="165" spans="1:8">
      <c r="A165" s="17">
        <f t="shared" si="2"/>
        <v>164</v>
      </c>
      <c r="B165" s="260">
        <v>302040588292</v>
      </c>
      <c r="C165" s="259" t="s">
        <v>592</v>
      </c>
      <c r="D165" s="259" t="s">
        <v>593</v>
      </c>
      <c r="E165" s="260">
        <v>20260818</v>
      </c>
      <c r="F165" s="259" t="s">
        <v>450</v>
      </c>
      <c r="G165" s="259" t="s">
        <v>303</v>
      </c>
      <c r="H165" s="137">
        <v>3000</v>
      </c>
    </row>
    <row r="166" spans="1:8">
      <c r="A166" s="17">
        <f t="shared" si="2"/>
        <v>165</v>
      </c>
      <c r="B166" s="260">
        <v>302040588701</v>
      </c>
      <c r="C166" s="259" t="s">
        <v>594</v>
      </c>
      <c r="D166" s="259" t="s">
        <v>595</v>
      </c>
      <c r="E166" s="260">
        <v>20260818</v>
      </c>
      <c r="F166" s="259" t="s">
        <v>450</v>
      </c>
      <c r="G166" s="259" t="s">
        <v>303</v>
      </c>
      <c r="H166" s="137">
        <v>3000</v>
      </c>
    </row>
    <row r="167" spans="1:8">
      <c r="A167" s="17">
        <f t="shared" si="2"/>
        <v>166</v>
      </c>
      <c r="B167" s="260">
        <v>302040606750</v>
      </c>
      <c r="C167" s="259" t="s">
        <v>596</v>
      </c>
      <c r="D167" s="259" t="s">
        <v>597</v>
      </c>
      <c r="E167" s="260">
        <v>20260818</v>
      </c>
      <c r="F167" s="259" t="s">
        <v>386</v>
      </c>
      <c r="G167" s="259" t="s">
        <v>303</v>
      </c>
      <c r="H167" s="137">
        <v>3000</v>
      </c>
    </row>
    <row r="168" spans="1:8">
      <c r="A168" s="17">
        <f t="shared" si="2"/>
        <v>167</v>
      </c>
      <c r="B168" s="260">
        <v>302040627503</v>
      </c>
      <c r="C168" s="259" t="s">
        <v>443</v>
      </c>
      <c r="D168" s="259" t="s">
        <v>308</v>
      </c>
      <c r="E168" s="260">
        <v>20260818</v>
      </c>
      <c r="F168" s="259" t="s">
        <v>302</v>
      </c>
      <c r="G168" s="259" t="s">
        <v>303</v>
      </c>
      <c r="H168" s="137">
        <v>3000</v>
      </c>
    </row>
    <row r="169" spans="1:8">
      <c r="A169" s="17">
        <f t="shared" si="2"/>
        <v>168</v>
      </c>
      <c r="B169" s="260">
        <v>302040627514</v>
      </c>
      <c r="C169" s="259" t="s">
        <v>443</v>
      </c>
      <c r="D169" s="259" t="s">
        <v>308</v>
      </c>
      <c r="E169" s="260">
        <v>20260818</v>
      </c>
      <c r="F169" s="259" t="s">
        <v>302</v>
      </c>
      <c r="G169" s="259" t="s">
        <v>303</v>
      </c>
      <c r="H169" s="137">
        <v>3000</v>
      </c>
    </row>
    <row r="170" spans="1:8">
      <c r="A170" s="17">
        <f t="shared" si="2"/>
        <v>169</v>
      </c>
      <c r="B170" s="260">
        <v>302040627551</v>
      </c>
      <c r="C170" s="259" t="s">
        <v>443</v>
      </c>
      <c r="D170" s="259" t="s">
        <v>308</v>
      </c>
      <c r="E170" s="260">
        <v>20260818</v>
      </c>
      <c r="F170" s="259" t="s">
        <v>598</v>
      </c>
      <c r="G170" s="259" t="s">
        <v>303</v>
      </c>
      <c r="H170" s="137">
        <v>3000</v>
      </c>
    </row>
    <row r="171" spans="1:8">
      <c r="A171" s="17">
        <f t="shared" si="2"/>
        <v>170</v>
      </c>
      <c r="B171" s="260">
        <v>302040638703</v>
      </c>
      <c r="C171" s="259" t="s">
        <v>599</v>
      </c>
      <c r="D171" s="259" t="s">
        <v>311</v>
      </c>
      <c r="E171" s="260">
        <v>20260818</v>
      </c>
      <c r="F171" s="259" t="s">
        <v>546</v>
      </c>
      <c r="G171" s="259" t="s">
        <v>303</v>
      </c>
      <c r="H171" s="137">
        <v>3000</v>
      </c>
    </row>
    <row r="172" spans="1:8">
      <c r="A172" s="17">
        <f t="shared" si="2"/>
        <v>171</v>
      </c>
      <c r="B172" s="260">
        <v>302040675254</v>
      </c>
      <c r="C172" s="259" t="s">
        <v>600</v>
      </c>
      <c r="D172" s="259" t="s">
        <v>601</v>
      </c>
      <c r="E172" s="260">
        <v>20260819</v>
      </c>
      <c r="F172" s="259" t="s">
        <v>450</v>
      </c>
      <c r="G172" s="259" t="s">
        <v>303</v>
      </c>
      <c r="H172" s="137">
        <v>3000</v>
      </c>
    </row>
    <row r="173" spans="1:8">
      <c r="A173" s="17">
        <f t="shared" si="2"/>
        <v>172</v>
      </c>
      <c r="B173" s="260">
        <v>302040675626</v>
      </c>
      <c r="C173" s="259" t="s">
        <v>602</v>
      </c>
      <c r="D173" s="259" t="s">
        <v>603</v>
      </c>
      <c r="E173" s="260">
        <v>20260819</v>
      </c>
      <c r="F173" s="259" t="s">
        <v>450</v>
      </c>
      <c r="G173" s="259" t="s">
        <v>303</v>
      </c>
      <c r="H173" s="137">
        <v>3000</v>
      </c>
    </row>
    <row r="174" spans="1:8">
      <c r="A174" s="17">
        <f t="shared" si="2"/>
        <v>173</v>
      </c>
      <c r="B174" s="260">
        <v>302040675803</v>
      </c>
      <c r="C174" s="259" t="s">
        <v>604</v>
      </c>
      <c r="D174" s="259" t="s">
        <v>317</v>
      </c>
      <c r="E174" s="260">
        <v>20260819</v>
      </c>
      <c r="F174" s="259" t="s">
        <v>450</v>
      </c>
      <c r="G174" s="259" t="s">
        <v>303</v>
      </c>
      <c r="H174" s="137">
        <v>3000</v>
      </c>
    </row>
    <row r="175" spans="1:8">
      <c r="A175" s="17">
        <f t="shared" si="2"/>
        <v>174</v>
      </c>
      <c r="B175" s="260">
        <v>302040675976</v>
      </c>
      <c r="C175" s="259" t="s">
        <v>605</v>
      </c>
      <c r="D175" s="259" t="s">
        <v>314</v>
      </c>
      <c r="E175" s="260">
        <v>20260819</v>
      </c>
      <c r="F175" s="259" t="s">
        <v>450</v>
      </c>
      <c r="G175" s="259" t="s">
        <v>303</v>
      </c>
      <c r="H175" s="137">
        <v>3000</v>
      </c>
    </row>
    <row r="176" spans="1:8">
      <c r="A176" s="17">
        <f t="shared" si="2"/>
        <v>175</v>
      </c>
      <c r="B176" s="260">
        <v>302040676330</v>
      </c>
      <c r="C176" s="259" t="s">
        <v>606</v>
      </c>
      <c r="D176" s="259" t="s">
        <v>607</v>
      </c>
      <c r="E176" s="260">
        <v>20260819</v>
      </c>
      <c r="F176" s="259" t="s">
        <v>450</v>
      </c>
      <c r="G176" s="259" t="s">
        <v>303</v>
      </c>
      <c r="H176" s="137">
        <v>3000</v>
      </c>
    </row>
    <row r="177" spans="1:8">
      <c r="A177" s="17">
        <f t="shared" si="2"/>
        <v>176</v>
      </c>
      <c r="B177" s="260">
        <v>302040676433</v>
      </c>
      <c r="C177" s="259" t="s">
        <v>608</v>
      </c>
      <c r="D177" s="259" t="s">
        <v>564</v>
      </c>
      <c r="E177" s="260">
        <v>20260819</v>
      </c>
      <c r="F177" s="259" t="s">
        <v>450</v>
      </c>
      <c r="G177" s="259" t="s">
        <v>303</v>
      </c>
      <c r="H177" s="137">
        <v>3000</v>
      </c>
    </row>
    <row r="178" spans="1:8">
      <c r="A178" s="17">
        <f t="shared" si="2"/>
        <v>177</v>
      </c>
      <c r="B178" s="260">
        <v>302040676470</v>
      </c>
      <c r="C178" s="259" t="s">
        <v>609</v>
      </c>
      <c r="D178" s="259" t="s">
        <v>385</v>
      </c>
      <c r="E178" s="260">
        <v>20260819</v>
      </c>
      <c r="F178" s="259" t="s">
        <v>450</v>
      </c>
      <c r="G178" s="259" t="s">
        <v>303</v>
      </c>
      <c r="H178" s="137">
        <v>3000</v>
      </c>
    </row>
    <row r="179" spans="1:8">
      <c r="A179" s="17">
        <f t="shared" si="2"/>
        <v>178</v>
      </c>
      <c r="B179" s="260">
        <v>302040676746</v>
      </c>
      <c r="C179" s="259" t="s">
        <v>610</v>
      </c>
      <c r="D179" s="259" t="s">
        <v>611</v>
      </c>
      <c r="E179" s="260">
        <v>20260819</v>
      </c>
      <c r="F179" s="259" t="s">
        <v>450</v>
      </c>
      <c r="G179" s="259" t="s">
        <v>303</v>
      </c>
      <c r="H179" s="137">
        <v>3000</v>
      </c>
    </row>
    <row r="180" spans="1:8">
      <c r="A180" s="17">
        <f t="shared" si="2"/>
        <v>179</v>
      </c>
      <c r="B180" s="260">
        <v>302040677085</v>
      </c>
      <c r="C180" s="259" t="s">
        <v>612</v>
      </c>
      <c r="D180" s="259" t="s">
        <v>465</v>
      </c>
      <c r="E180" s="260">
        <v>20260819</v>
      </c>
      <c r="F180" s="259" t="s">
        <v>450</v>
      </c>
      <c r="G180" s="259" t="s">
        <v>323</v>
      </c>
      <c r="H180" s="137">
        <v>5000</v>
      </c>
    </row>
    <row r="181" spans="1:8">
      <c r="A181" s="17">
        <f t="shared" si="2"/>
        <v>180</v>
      </c>
      <c r="B181" s="260">
        <v>302040677531</v>
      </c>
      <c r="C181" s="259" t="s">
        <v>613</v>
      </c>
      <c r="D181" s="259" t="s">
        <v>614</v>
      </c>
      <c r="E181" s="260">
        <v>20260819</v>
      </c>
      <c r="F181" s="259" t="s">
        <v>450</v>
      </c>
      <c r="G181" s="259" t="s">
        <v>303</v>
      </c>
      <c r="H181" s="137">
        <v>3000</v>
      </c>
    </row>
    <row r="182" spans="1:8">
      <c r="A182" s="17">
        <f t="shared" si="2"/>
        <v>181</v>
      </c>
      <c r="B182" s="260">
        <v>302040678592</v>
      </c>
      <c r="C182" s="259" t="s">
        <v>615</v>
      </c>
      <c r="D182" s="259" t="s">
        <v>491</v>
      </c>
      <c r="E182" s="260">
        <v>20260819</v>
      </c>
      <c r="F182" s="259" t="s">
        <v>450</v>
      </c>
      <c r="G182" s="259" t="s">
        <v>303</v>
      </c>
      <c r="H182" s="137">
        <v>3000</v>
      </c>
    </row>
    <row r="183" spans="1:8">
      <c r="A183" s="17">
        <f t="shared" si="2"/>
        <v>182</v>
      </c>
      <c r="B183" s="260">
        <v>302040678710</v>
      </c>
      <c r="C183" s="259" t="s">
        <v>616</v>
      </c>
      <c r="D183" s="259" t="s">
        <v>617</v>
      </c>
      <c r="E183" s="260">
        <v>20260819</v>
      </c>
      <c r="F183" s="259" t="s">
        <v>450</v>
      </c>
      <c r="G183" s="259" t="s">
        <v>303</v>
      </c>
      <c r="H183" s="137">
        <v>3000</v>
      </c>
    </row>
    <row r="184" spans="1:8">
      <c r="A184" s="17">
        <f t="shared" si="2"/>
        <v>183</v>
      </c>
      <c r="B184" s="260">
        <v>302040679432</v>
      </c>
      <c r="C184" s="259" t="s">
        <v>618</v>
      </c>
      <c r="D184" s="259" t="s">
        <v>617</v>
      </c>
      <c r="E184" s="260">
        <v>20260819</v>
      </c>
      <c r="F184" s="259" t="s">
        <v>450</v>
      </c>
      <c r="G184" s="259" t="s">
        <v>303</v>
      </c>
      <c r="H184" s="137">
        <v>3000</v>
      </c>
    </row>
    <row r="185" spans="1:8">
      <c r="A185" s="17">
        <f t="shared" si="2"/>
        <v>184</v>
      </c>
      <c r="B185" s="260">
        <v>302040759394</v>
      </c>
      <c r="C185" s="259" t="s">
        <v>619</v>
      </c>
      <c r="D185" s="259" t="s">
        <v>367</v>
      </c>
      <c r="E185" s="260">
        <v>20260820</v>
      </c>
      <c r="F185" s="259" t="s">
        <v>620</v>
      </c>
      <c r="G185" s="259" t="s">
        <v>303</v>
      </c>
      <c r="H185" s="137">
        <v>3000</v>
      </c>
    </row>
    <row r="186" spans="1:8">
      <c r="A186" s="17">
        <f t="shared" si="2"/>
        <v>185</v>
      </c>
      <c r="B186" s="260">
        <v>302040788680</v>
      </c>
      <c r="C186" s="259" t="s">
        <v>621</v>
      </c>
      <c r="D186" s="259" t="s">
        <v>622</v>
      </c>
      <c r="E186" s="260">
        <v>20260821</v>
      </c>
      <c r="F186" s="259" t="s">
        <v>620</v>
      </c>
      <c r="G186" s="259" t="s">
        <v>303</v>
      </c>
      <c r="H186" s="137">
        <v>3000</v>
      </c>
    </row>
    <row r="187" spans="1:8">
      <c r="A187" s="17">
        <f t="shared" si="2"/>
        <v>186</v>
      </c>
      <c r="B187" s="260">
        <v>302040791992</v>
      </c>
      <c r="C187" s="259" t="s">
        <v>623</v>
      </c>
      <c r="D187" s="259" t="s">
        <v>624</v>
      </c>
      <c r="E187" s="260">
        <v>20260821</v>
      </c>
      <c r="F187" s="259" t="s">
        <v>620</v>
      </c>
      <c r="G187" s="259" t="s">
        <v>303</v>
      </c>
      <c r="H187" s="137">
        <v>3000</v>
      </c>
    </row>
    <row r="188" spans="1:8">
      <c r="A188" s="17">
        <f t="shared" si="2"/>
        <v>187</v>
      </c>
      <c r="B188" s="260">
        <v>302040891786</v>
      </c>
      <c r="C188" s="259" t="s">
        <v>625</v>
      </c>
      <c r="D188" s="259" t="s">
        <v>626</v>
      </c>
      <c r="E188" s="260">
        <v>20260824</v>
      </c>
      <c r="F188" s="259" t="s">
        <v>302</v>
      </c>
      <c r="G188" s="259" t="s">
        <v>303</v>
      </c>
      <c r="H188" s="137">
        <v>3000</v>
      </c>
    </row>
    <row r="189" spans="1:8">
      <c r="A189" s="17">
        <f t="shared" si="2"/>
        <v>188</v>
      </c>
      <c r="B189" s="260">
        <v>302040904176</v>
      </c>
      <c r="C189" s="259" t="s">
        <v>627</v>
      </c>
      <c r="D189" s="259" t="s">
        <v>422</v>
      </c>
      <c r="E189" s="260">
        <v>20260824</v>
      </c>
      <c r="F189" s="259" t="s">
        <v>620</v>
      </c>
      <c r="G189" s="259" t="s">
        <v>303</v>
      </c>
      <c r="H189" s="137">
        <v>3000</v>
      </c>
    </row>
    <row r="190" spans="1:8">
      <c r="A190" s="17">
        <f t="shared" si="2"/>
        <v>189</v>
      </c>
      <c r="B190" s="260">
        <v>302040904250</v>
      </c>
      <c r="C190" s="259" t="s">
        <v>628</v>
      </c>
      <c r="D190" s="259" t="s">
        <v>629</v>
      </c>
      <c r="E190" s="260">
        <v>20260824</v>
      </c>
      <c r="F190" s="259" t="s">
        <v>620</v>
      </c>
      <c r="G190" s="259" t="s">
        <v>303</v>
      </c>
      <c r="H190" s="137">
        <v>3000</v>
      </c>
    </row>
    <row r="191" spans="1:8">
      <c r="A191" s="17">
        <f t="shared" si="2"/>
        <v>190</v>
      </c>
      <c r="B191" s="260">
        <v>302040905226</v>
      </c>
      <c r="C191" s="259" t="s">
        <v>462</v>
      </c>
      <c r="D191" s="259" t="s">
        <v>314</v>
      </c>
      <c r="E191" s="260">
        <v>20260824</v>
      </c>
      <c r="F191" s="259" t="s">
        <v>356</v>
      </c>
      <c r="G191" s="259" t="s">
        <v>303</v>
      </c>
      <c r="H191" s="137">
        <v>3000</v>
      </c>
    </row>
    <row r="192" spans="1:8">
      <c r="A192" s="17">
        <f t="shared" si="2"/>
        <v>191</v>
      </c>
      <c r="B192" s="260">
        <v>302040955431</v>
      </c>
      <c r="C192" s="259" t="s">
        <v>630</v>
      </c>
      <c r="D192" s="259" t="s">
        <v>422</v>
      </c>
      <c r="E192" s="260">
        <v>20260825</v>
      </c>
      <c r="F192" s="259" t="s">
        <v>302</v>
      </c>
      <c r="G192" s="259" t="s">
        <v>303</v>
      </c>
      <c r="H192" s="137">
        <v>3000</v>
      </c>
    </row>
    <row r="193" spans="1:8">
      <c r="A193" s="17">
        <f t="shared" si="2"/>
        <v>192</v>
      </c>
      <c r="B193" s="260">
        <v>302040955851</v>
      </c>
      <c r="C193" s="259" t="s">
        <v>631</v>
      </c>
      <c r="D193" s="259" t="s">
        <v>632</v>
      </c>
      <c r="E193" s="260">
        <v>20260825</v>
      </c>
      <c r="F193" s="259" t="s">
        <v>306</v>
      </c>
      <c r="G193" s="259" t="s">
        <v>323</v>
      </c>
      <c r="H193" s="137">
        <v>5000</v>
      </c>
    </row>
    <row r="194" spans="1:8">
      <c r="A194" s="17">
        <f t="shared" si="2"/>
        <v>193</v>
      </c>
      <c r="B194" s="260">
        <v>302040967843</v>
      </c>
      <c r="C194" s="259" t="s">
        <v>633</v>
      </c>
      <c r="D194" s="259" t="s">
        <v>634</v>
      </c>
      <c r="E194" s="260">
        <v>20260825</v>
      </c>
      <c r="F194" s="259" t="s">
        <v>450</v>
      </c>
      <c r="G194" s="259" t="s">
        <v>303</v>
      </c>
      <c r="H194" s="137">
        <v>3000</v>
      </c>
    </row>
    <row r="195" spans="1:8">
      <c r="A195" s="17">
        <f t="shared" si="2"/>
        <v>194</v>
      </c>
      <c r="B195" s="260">
        <v>302040967983</v>
      </c>
      <c r="C195" s="259" t="s">
        <v>635</v>
      </c>
      <c r="D195" s="259" t="s">
        <v>636</v>
      </c>
      <c r="E195" s="260">
        <v>20260825</v>
      </c>
      <c r="F195" s="259" t="s">
        <v>450</v>
      </c>
      <c r="G195" s="259" t="s">
        <v>303</v>
      </c>
      <c r="H195" s="137">
        <v>3000</v>
      </c>
    </row>
    <row r="196" spans="1:8">
      <c r="A196" s="17">
        <f t="shared" si="2"/>
        <v>195</v>
      </c>
      <c r="B196" s="260">
        <v>302040968075</v>
      </c>
      <c r="C196" s="259" t="s">
        <v>637</v>
      </c>
      <c r="D196" s="259" t="s">
        <v>359</v>
      </c>
      <c r="E196" s="260">
        <v>20260825</v>
      </c>
      <c r="F196" s="259" t="s">
        <v>450</v>
      </c>
      <c r="G196" s="259" t="s">
        <v>303</v>
      </c>
      <c r="H196" s="137">
        <v>3000</v>
      </c>
    </row>
    <row r="197" spans="1:8">
      <c r="A197" s="17">
        <f t="shared" si="2"/>
        <v>196</v>
      </c>
      <c r="B197" s="260">
        <v>302040968366</v>
      </c>
      <c r="C197" s="259" t="s">
        <v>638</v>
      </c>
      <c r="D197" s="259" t="s">
        <v>459</v>
      </c>
      <c r="E197" s="260">
        <v>20260825</v>
      </c>
      <c r="F197" s="259" t="s">
        <v>450</v>
      </c>
      <c r="G197" s="259" t="s">
        <v>303</v>
      </c>
      <c r="H197" s="137">
        <v>3000</v>
      </c>
    </row>
    <row r="198" spans="1:8">
      <c r="A198" s="17">
        <f t="shared" si="2"/>
        <v>197</v>
      </c>
      <c r="B198" s="260">
        <v>302040968436</v>
      </c>
      <c r="C198" s="259" t="s">
        <v>639</v>
      </c>
      <c r="D198" s="259" t="s">
        <v>422</v>
      </c>
      <c r="E198" s="260">
        <v>20260825</v>
      </c>
      <c r="F198" s="259" t="s">
        <v>450</v>
      </c>
      <c r="G198" s="259" t="s">
        <v>303</v>
      </c>
      <c r="H198" s="137">
        <v>3000</v>
      </c>
    </row>
    <row r="199" spans="1:8">
      <c r="A199" s="17">
        <f t="shared" si="2"/>
        <v>198</v>
      </c>
      <c r="B199" s="260">
        <v>302040968565</v>
      </c>
      <c r="C199" s="259" t="s">
        <v>640</v>
      </c>
      <c r="D199" s="259" t="s">
        <v>641</v>
      </c>
      <c r="E199" s="260">
        <v>20260825</v>
      </c>
      <c r="F199" s="259" t="s">
        <v>450</v>
      </c>
      <c r="G199" s="259" t="s">
        <v>303</v>
      </c>
      <c r="H199" s="137">
        <v>3000</v>
      </c>
    </row>
    <row r="200" spans="1:8">
      <c r="A200" s="17">
        <f t="shared" si="2"/>
        <v>199</v>
      </c>
      <c r="B200" s="260">
        <v>302040968731</v>
      </c>
      <c r="C200" s="259" t="s">
        <v>642</v>
      </c>
      <c r="D200" s="259" t="s">
        <v>491</v>
      </c>
      <c r="E200" s="260">
        <v>20260825</v>
      </c>
      <c r="F200" s="259" t="s">
        <v>450</v>
      </c>
      <c r="G200" s="259" t="s">
        <v>303</v>
      </c>
      <c r="H200" s="137">
        <v>3000</v>
      </c>
    </row>
    <row r="201" spans="1:8">
      <c r="A201" s="17">
        <f t="shared" si="2"/>
        <v>200</v>
      </c>
      <c r="B201" s="260">
        <v>302040968742</v>
      </c>
      <c r="C201" s="259" t="s">
        <v>643</v>
      </c>
      <c r="D201" s="259" t="s">
        <v>644</v>
      </c>
      <c r="E201" s="260">
        <v>20260825</v>
      </c>
      <c r="F201" s="259" t="s">
        <v>450</v>
      </c>
      <c r="G201" s="259" t="s">
        <v>303</v>
      </c>
      <c r="H201" s="137">
        <v>3000</v>
      </c>
    </row>
    <row r="202" spans="1:8">
      <c r="A202" s="17">
        <f t="shared" si="2"/>
        <v>201</v>
      </c>
      <c r="B202" s="260">
        <v>302040968845</v>
      </c>
      <c r="C202" s="259" t="s">
        <v>645</v>
      </c>
      <c r="D202" s="259" t="s">
        <v>617</v>
      </c>
      <c r="E202" s="260">
        <v>20260825</v>
      </c>
      <c r="F202" s="259" t="s">
        <v>450</v>
      </c>
      <c r="G202" s="259" t="s">
        <v>303</v>
      </c>
      <c r="H202" s="137">
        <v>3000</v>
      </c>
    </row>
    <row r="203" spans="1:8">
      <c r="A203" s="17">
        <f t="shared" si="2"/>
        <v>202</v>
      </c>
      <c r="B203" s="260">
        <v>302040976582</v>
      </c>
      <c r="C203" s="259" t="s">
        <v>646</v>
      </c>
      <c r="D203" s="259" t="s">
        <v>647</v>
      </c>
      <c r="E203" s="260">
        <v>20260825</v>
      </c>
      <c r="F203" s="259" t="s">
        <v>648</v>
      </c>
      <c r="G203" s="259" t="s">
        <v>303</v>
      </c>
      <c r="H203" s="137">
        <v>3000</v>
      </c>
    </row>
    <row r="204" spans="1:8">
      <c r="A204" s="17">
        <f t="shared" si="2"/>
        <v>203</v>
      </c>
      <c r="B204" s="260">
        <v>302040976652</v>
      </c>
      <c r="C204" s="259" t="s">
        <v>649</v>
      </c>
      <c r="D204" s="259" t="s">
        <v>650</v>
      </c>
      <c r="E204" s="260">
        <v>20260825</v>
      </c>
      <c r="F204" s="259" t="s">
        <v>620</v>
      </c>
      <c r="G204" s="259" t="s">
        <v>303</v>
      </c>
      <c r="H204" s="137">
        <v>3000</v>
      </c>
    </row>
    <row r="205" spans="1:8">
      <c r="A205" s="17">
        <f t="shared" si="2"/>
        <v>204</v>
      </c>
      <c r="B205" s="260">
        <v>302040994690</v>
      </c>
      <c r="C205" s="259" t="s">
        <v>651</v>
      </c>
      <c r="D205" s="259" t="s">
        <v>489</v>
      </c>
      <c r="E205" s="260">
        <v>20260826</v>
      </c>
      <c r="F205" s="259" t="s">
        <v>450</v>
      </c>
      <c r="G205" s="259" t="s">
        <v>303</v>
      </c>
      <c r="H205" s="137">
        <v>3000</v>
      </c>
    </row>
    <row r="206" spans="1:8">
      <c r="A206" s="17">
        <f t="shared" si="2"/>
        <v>205</v>
      </c>
      <c r="B206" s="260">
        <v>302040994734</v>
      </c>
      <c r="C206" s="259" t="s">
        <v>652</v>
      </c>
      <c r="D206" s="259" t="s">
        <v>653</v>
      </c>
      <c r="E206" s="260">
        <v>20260826</v>
      </c>
      <c r="F206" s="259" t="s">
        <v>450</v>
      </c>
      <c r="G206" s="259" t="s">
        <v>303</v>
      </c>
      <c r="H206" s="137">
        <v>3000</v>
      </c>
    </row>
    <row r="207" spans="1:8">
      <c r="A207" s="17">
        <f t="shared" si="2"/>
        <v>206</v>
      </c>
      <c r="B207" s="260">
        <v>302040994793</v>
      </c>
      <c r="C207" s="259" t="s">
        <v>654</v>
      </c>
      <c r="D207" s="259" t="s">
        <v>655</v>
      </c>
      <c r="E207" s="260">
        <v>20260826</v>
      </c>
      <c r="F207" s="259" t="s">
        <v>450</v>
      </c>
      <c r="G207" s="259" t="s">
        <v>303</v>
      </c>
      <c r="H207" s="137">
        <v>3000</v>
      </c>
    </row>
    <row r="208" spans="1:8">
      <c r="A208" s="17">
        <f t="shared" si="2"/>
        <v>207</v>
      </c>
      <c r="B208" s="260">
        <v>302040994830</v>
      </c>
      <c r="C208" s="259" t="s">
        <v>656</v>
      </c>
      <c r="D208" s="259" t="s">
        <v>657</v>
      </c>
      <c r="E208" s="260">
        <v>20260826</v>
      </c>
      <c r="F208" s="259" t="s">
        <v>450</v>
      </c>
      <c r="G208" s="259" t="s">
        <v>303</v>
      </c>
      <c r="H208" s="137">
        <v>3000</v>
      </c>
    </row>
    <row r="209" spans="1:8">
      <c r="A209" s="17">
        <f t="shared" si="2"/>
        <v>208</v>
      </c>
      <c r="B209" s="260">
        <v>302040994970</v>
      </c>
      <c r="C209" s="259" t="s">
        <v>658</v>
      </c>
      <c r="D209" s="259" t="s">
        <v>659</v>
      </c>
      <c r="E209" s="260">
        <v>20260826</v>
      </c>
      <c r="F209" s="259" t="s">
        <v>450</v>
      </c>
      <c r="G209" s="259" t="s">
        <v>303</v>
      </c>
      <c r="H209" s="137">
        <v>3000</v>
      </c>
    </row>
    <row r="210" spans="1:8">
      <c r="A210" s="17">
        <f t="shared" ref="A210:A246" si="3">A209+1</f>
        <v>209</v>
      </c>
      <c r="B210" s="260">
        <v>302041004335</v>
      </c>
      <c r="C210" s="259" t="s">
        <v>660</v>
      </c>
      <c r="D210" s="259" t="s">
        <v>314</v>
      </c>
      <c r="E210" s="260">
        <v>20260826</v>
      </c>
      <c r="F210" s="259" t="s">
        <v>407</v>
      </c>
      <c r="G210" s="259" t="s">
        <v>303</v>
      </c>
      <c r="H210" s="137">
        <v>3000</v>
      </c>
    </row>
    <row r="211" spans="1:8">
      <c r="A211" s="17">
        <f t="shared" si="3"/>
        <v>210</v>
      </c>
      <c r="B211" s="260">
        <v>302041006800</v>
      </c>
      <c r="C211" s="259" t="s">
        <v>661</v>
      </c>
      <c r="D211" s="259" t="s">
        <v>662</v>
      </c>
      <c r="E211" s="260">
        <v>20260826</v>
      </c>
      <c r="F211" s="259" t="s">
        <v>302</v>
      </c>
      <c r="G211" s="259" t="s">
        <v>323</v>
      </c>
      <c r="H211" s="137">
        <v>7000</v>
      </c>
    </row>
    <row r="212" spans="1:8">
      <c r="A212" s="17">
        <f t="shared" si="3"/>
        <v>211</v>
      </c>
      <c r="B212" s="260">
        <v>302041011490</v>
      </c>
      <c r="C212" s="259" t="s">
        <v>663</v>
      </c>
      <c r="D212" s="259" t="s">
        <v>664</v>
      </c>
      <c r="E212" s="260">
        <v>20260826</v>
      </c>
      <c r="F212" s="259" t="s">
        <v>665</v>
      </c>
      <c r="G212" s="259" t="s">
        <v>303</v>
      </c>
      <c r="H212" s="137">
        <v>3000</v>
      </c>
    </row>
    <row r="213" spans="1:8">
      <c r="A213" s="17">
        <f t="shared" si="3"/>
        <v>212</v>
      </c>
      <c r="B213" s="260">
        <v>302041052635</v>
      </c>
      <c r="C213" s="259" t="s">
        <v>631</v>
      </c>
      <c r="D213" s="259" t="s">
        <v>632</v>
      </c>
      <c r="E213" s="260">
        <v>20260827</v>
      </c>
      <c r="F213" s="259" t="s">
        <v>344</v>
      </c>
      <c r="G213" s="259" t="s">
        <v>323</v>
      </c>
      <c r="H213" s="137">
        <v>5000</v>
      </c>
    </row>
    <row r="214" spans="1:8">
      <c r="A214" s="17">
        <f t="shared" si="3"/>
        <v>213</v>
      </c>
      <c r="B214" s="260">
        <v>302041057292</v>
      </c>
      <c r="C214" s="259" t="s">
        <v>565</v>
      </c>
      <c r="D214" s="259" t="s">
        <v>566</v>
      </c>
      <c r="E214" s="260">
        <v>20260827</v>
      </c>
      <c r="F214" s="259" t="s">
        <v>567</v>
      </c>
      <c r="G214" s="259" t="s">
        <v>303</v>
      </c>
      <c r="H214" s="137">
        <v>3000</v>
      </c>
    </row>
    <row r="215" spans="1:8">
      <c r="A215" s="17">
        <f t="shared" si="3"/>
        <v>214</v>
      </c>
      <c r="B215" s="260">
        <v>302041099771</v>
      </c>
      <c r="C215" s="259" t="s">
        <v>666</v>
      </c>
      <c r="D215" s="259" t="s">
        <v>422</v>
      </c>
      <c r="E215" s="260">
        <v>20260828</v>
      </c>
      <c r="F215" s="259" t="s">
        <v>302</v>
      </c>
      <c r="G215" s="259" t="s">
        <v>303</v>
      </c>
      <c r="H215" s="137">
        <v>3000</v>
      </c>
    </row>
    <row r="216" spans="1:8">
      <c r="A216" s="17">
        <f t="shared" si="3"/>
        <v>215</v>
      </c>
      <c r="B216" s="260">
        <v>302041100913</v>
      </c>
      <c r="C216" s="259" t="s">
        <v>667</v>
      </c>
      <c r="D216" s="259" t="s">
        <v>668</v>
      </c>
      <c r="E216" s="260">
        <v>20260828</v>
      </c>
      <c r="F216" s="259" t="s">
        <v>669</v>
      </c>
      <c r="G216" s="259" t="s">
        <v>303</v>
      </c>
      <c r="H216" s="137">
        <v>3000</v>
      </c>
    </row>
    <row r="217" spans="1:8">
      <c r="A217" s="17">
        <f t="shared" si="3"/>
        <v>216</v>
      </c>
      <c r="B217" s="260">
        <v>302041210905</v>
      </c>
      <c r="C217" s="259" t="s">
        <v>670</v>
      </c>
      <c r="D217" s="259" t="s">
        <v>414</v>
      </c>
      <c r="E217" s="260">
        <v>20260831</v>
      </c>
      <c r="F217" s="259" t="s">
        <v>302</v>
      </c>
      <c r="G217" s="259" t="s">
        <v>303</v>
      </c>
      <c r="H217" s="137">
        <v>3000</v>
      </c>
    </row>
    <row r="218" spans="1:8">
      <c r="A218" s="17">
        <f t="shared" si="3"/>
        <v>217</v>
      </c>
      <c r="B218" s="260">
        <v>302041217356</v>
      </c>
      <c r="C218" s="259" t="s">
        <v>671</v>
      </c>
      <c r="D218" s="259" t="s">
        <v>672</v>
      </c>
      <c r="E218" s="260">
        <v>20260831</v>
      </c>
      <c r="F218" s="259" t="s">
        <v>302</v>
      </c>
      <c r="G218" s="259" t="s">
        <v>303</v>
      </c>
      <c r="H218" s="137">
        <v>3000</v>
      </c>
    </row>
    <row r="219" spans="1:8">
      <c r="A219" s="17">
        <f t="shared" si="3"/>
        <v>218</v>
      </c>
      <c r="B219" s="260">
        <v>302041217430</v>
      </c>
      <c r="C219" s="259" t="s">
        <v>673</v>
      </c>
      <c r="D219" s="259" t="s">
        <v>659</v>
      </c>
      <c r="E219" s="260">
        <v>20260831</v>
      </c>
      <c r="F219" s="259" t="s">
        <v>302</v>
      </c>
      <c r="G219" s="259" t="s">
        <v>303</v>
      </c>
      <c r="H219" s="137">
        <v>3000</v>
      </c>
    </row>
    <row r="220" spans="1:8">
      <c r="A220" s="17">
        <f t="shared" si="3"/>
        <v>219</v>
      </c>
      <c r="B220" s="260"/>
      <c r="C220" s="259"/>
      <c r="D220" s="259"/>
      <c r="E220" s="260"/>
      <c r="F220" s="259"/>
      <c r="G220" s="259"/>
      <c r="H220" s="137"/>
    </row>
    <row r="221" spans="1:8">
      <c r="A221" s="17">
        <f t="shared" si="3"/>
        <v>220</v>
      </c>
      <c r="B221" s="260"/>
      <c r="C221" s="259"/>
      <c r="D221" s="259"/>
      <c r="E221" s="260"/>
      <c r="F221" s="259"/>
      <c r="G221" s="259"/>
      <c r="H221" s="137"/>
    </row>
    <row r="222" spans="1:8">
      <c r="A222" s="17">
        <f t="shared" si="3"/>
        <v>221</v>
      </c>
      <c r="B222" s="260"/>
      <c r="C222" s="259"/>
      <c r="D222" s="259"/>
      <c r="E222" s="260"/>
      <c r="F222" s="259"/>
      <c r="G222" s="259"/>
      <c r="H222" s="137"/>
    </row>
    <row r="223" spans="1:8">
      <c r="A223" s="17">
        <f t="shared" si="3"/>
        <v>222</v>
      </c>
      <c r="B223" s="260"/>
      <c r="C223" s="259"/>
      <c r="D223" s="259"/>
      <c r="E223" s="260"/>
      <c r="F223" s="259"/>
      <c r="G223" s="259"/>
      <c r="H223" s="137"/>
    </row>
    <row r="224" spans="1:8">
      <c r="A224" s="17">
        <f t="shared" si="3"/>
        <v>223</v>
      </c>
      <c r="B224" s="260"/>
      <c r="C224" s="259"/>
      <c r="D224" s="259"/>
      <c r="E224" s="260"/>
      <c r="F224" s="259"/>
      <c r="G224" s="259"/>
      <c r="H224" s="137"/>
    </row>
    <row r="225" spans="1:8">
      <c r="A225" s="17">
        <f t="shared" si="3"/>
        <v>224</v>
      </c>
      <c r="B225" s="260"/>
      <c r="C225" s="259"/>
      <c r="D225" s="259"/>
      <c r="E225" s="260"/>
      <c r="F225" s="259"/>
      <c r="G225" s="259"/>
      <c r="H225" s="137"/>
    </row>
    <row r="226" spans="1:8">
      <c r="A226" s="17">
        <f t="shared" si="3"/>
        <v>225</v>
      </c>
      <c r="B226" s="260"/>
      <c r="C226" s="259"/>
      <c r="D226" s="259"/>
      <c r="E226" s="260"/>
      <c r="F226" s="259"/>
      <c r="G226" s="259"/>
      <c r="H226" s="137"/>
    </row>
    <row r="227" spans="1:8">
      <c r="A227" s="17">
        <f t="shared" si="3"/>
        <v>226</v>
      </c>
      <c r="B227" s="260"/>
      <c r="C227" s="259"/>
      <c r="D227" s="259"/>
      <c r="E227" s="260"/>
      <c r="F227" s="259"/>
      <c r="G227" s="259"/>
      <c r="H227" s="137"/>
    </row>
    <row r="228" spans="1:8">
      <c r="A228" s="17">
        <f t="shared" si="3"/>
        <v>227</v>
      </c>
      <c r="B228" s="260"/>
      <c r="C228" s="259"/>
      <c r="D228" s="259"/>
      <c r="E228" s="260"/>
      <c r="F228" s="259"/>
      <c r="G228" s="259"/>
      <c r="H228" s="137"/>
    </row>
    <row r="229" spans="1:8">
      <c r="A229" s="17">
        <f t="shared" si="3"/>
        <v>228</v>
      </c>
      <c r="B229" s="260"/>
      <c r="C229" s="259"/>
      <c r="D229" s="259"/>
      <c r="E229" s="260"/>
      <c r="F229" s="259"/>
      <c r="G229" s="259"/>
      <c r="H229" s="137"/>
    </row>
    <row r="230" spans="1:8">
      <c r="A230" s="17">
        <f t="shared" si="3"/>
        <v>229</v>
      </c>
      <c r="B230" s="260"/>
      <c r="C230" s="259"/>
      <c r="D230" s="259"/>
      <c r="E230" s="260"/>
      <c r="F230" s="259"/>
      <c r="G230" s="259"/>
      <c r="H230" s="137"/>
    </row>
    <row r="231" spans="1:8">
      <c r="A231" s="17">
        <f t="shared" si="3"/>
        <v>230</v>
      </c>
      <c r="B231" s="260"/>
      <c r="C231" s="259"/>
      <c r="D231" s="259"/>
      <c r="E231" s="260"/>
      <c r="F231" s="259"/>
      <c r="G231" s="259"/>
      <c r="H231" s="137"/>
    </row>
    <row r="232" spans="1:8">
      <c r="A232" s="17">
        <f t="shared" si="3"/>
        <v>231</v>
      </c>
      <c r="B232" s="260"/>
      <c r="C232" s="259"/>
      <c r="D232" s="259"/>
      <c r="E232" s="260"/>
      <c r="F232" s="259"/>
      <c r="G232" s="259"/>
      <c r="H232" s="137"/>
    </row>
    <row r="233" spans="1:8">
      <c r="A233" s="17">
        <f t="shared" si="3"/>
        <v>232</v>
      </c>
      <c r="B233" s="260"/>
      <c r="C233" s="259"/>
      <c r="D233" s="259"/>
      <c r="E233" s="260"/>
      <c r="F233" s="259"/>
      <c r="G233" s="259"/>
      <c r="H233" s="137"/>
    </row>
    <row r="234" spans="1:8">
      <c r="A234" s="17">
        <f t="shared" si="3"/>
        <v>233</v>
      </c>
      <c r="B234" s="260"/>
      <c r="C234" s="259"/>
      <c r="D234" s="259"/>
      <c r="E234" s="260"/>
      <c r="F234" s="259"/>
      <c r="G234" s="259"/>
      <c r="H234" s="137"/>
    </row>
    <row r="235" spans="1:8">
      <c r="A235" s="17">
        <f t="shared" si="3"/>
        <v>234</v>
      </c>
      <c r="B235" s="260"/>
      <c r="C235" s="259"/>
      <c r="D235" s="259"/>
      <c r="E235" s="260"/>
      <c r="F235" s="259"/>
      <c r="G235" s="259"/>
      <c r="H235" s="137"/>
    </row>
    <row r="236" spans="1:8">
      <c r="A236" s="17">
        <f t="shared" si="3"/>
        <v>235</v>
      </c>
      <c r="B236" s="260"/>
      <c r="C236" s="259"/>
      <c r="D236" s="259"/>
      <c r="E236" s="260"/>
      <c r="F236" s="259"/>
      <c r="G236" s="259"/>
      <c r="H236" s="137"/>
    </row>
    <row r="237" spans="1:8">
      <c r="A237" s="17">
        <f t="shared" si="3"/>
        <v>236</v>
      </c>
      <c r="B237" s="260"/>
      <c r="C237" s="259"/>
      <c r="D237" s="259"/>
      <c r="E237" s="260"/>
      <c r="F237" s="259"/>
      <c r="G237" s="259"/>
      <c r="H237" s="137"/>
    </row>
    <row r="238" spans="1:8">
      <c r="A238" s="17">
        <f t="shared" si="3"/>
        <v>237</v>
      </c>
      <c r="B238" s="260"/>
      <c r="C238" s="259"/>
      <c r="D238" s="259"/>
      <c r="E238" s="260"/>
      <c r="F238" s="259"/>
      <c r="G238" s="259"/>
      <c r="H238" s="137"/>
    </row>
    <row r="239" spans="1:8">
      <c r="A239" s="17">
        <f t="shared" si="3"/>
        <v>238</v>
      </c>
      <c r="B239" s="260"/>
      <c r="C239" s="259"/>
      <c r="D239" s="259"/>
      <c r="E239" s="260"/>
      <c r="F239" s="259"/>
      <c r="G239" s="259"/>
      <c r="H239" s="137"/>
    </row>
    <row r="240" spans="1:8">
      <c r="A240" s="17">
        <f t="shared" si="3"/>
        <v>239</v>
      </c>
      <c r="B240" s="260"/>
      <c r="C240" s="259"/>
      <c r="D240" s="259"/>
      <c r="E240" s="260"/>
      <c r="F240" s="259"/>
      <c r="G240" s="259"/>
      <c r="H240" s="137"/>
    </row>
    <row r="241" spans="1:8">
      <c r="A241" s="17">
        <f t="shared" si="3"/>
        <v>240</v>
      </c>
      <c r="B241" s="260"/>
      <c r="C241" s="259"/>
      <c r="D241" s="259"/>
      <c r="E241" s="260"/>
      <c r="F241" s="259"/>
      <c r="G241" s="259"/>
      <c r="H241" s="137"/>
    </row>
    <row r="242" spans="1:8">
      <c r="A242" s="17">
        <f t="shared" si="3"/>
        <v>241</v>
      </c>
      <c r="B242" s="260"/>
      <c r="C242" s="259"/>
      <c r="D242" s="259"/>
      <c r="E242" s="260"/>
      <c r="F242" s="259"/>
      <c r="G242" s="259"/>
      <c r="H242" s="137"/>
    </row>
    <row r="243" spans="1:8">
      <c r="A243" s="17">
        <f t="shared" si="3"/>
        <v>242</v>
      </c>
      <c r="B243" s="260"/>
      <c r="C243" s="259"/>
      <c r="D243" s="259"/>
      <c r="E243" s="260"/>
      <c r="F243" s="259"/>
      <c r="G243" s="259"/>
      <c r="H243" s="137"/>
    </row>
    <row r="244" spans="1:8">
      <c r="A244" s="17">
        <f t="shared" si="3"/>
        <v>243</v>
      </c>
      <c r="B244" s="260"/>
      <c r="C244" s="259"/>
      <c r="D244" s="259"/>
      <c r="E244" s="260"/>
      <c r="F244" s="259"/>
      <c r="G244" s="259"/>
      <c r="H244" s="137"/>
    </row>
    <row r="245" spans="1:8">
      <c r="A245" s="17">
        <f t="shared" si="3"/>
        <v>244</v>
      </c>
      <c r="B245" s="260"/>
      <c r="C245" s="259"/>
      <c r="D245" s="259"/>
      <c r="E245" s="260"/>
      <c r="F245" s="259"/>
      <c r="G245" s="259"/>
      <c r="H245" s="137"/>
    </row>
    <row r="246" spans="1:8">
      <c r="A246" s="17">
        <f t="shared" si="3"/>
        <v>245</v>
      </c>
      <c r="B246" s="260"/>
      <c r="C246" s="259"/>
      <c r="D246" s="259"/>
      <c r="E246" s="260"/>
      <c r="F246" s="259"/>
      <c r="G246" s="259"/>
      <c r="H246" s="137"/>
    </row>
    <row r="247" spans="1:8">
      <c r="A247" s="138" t="s">
        <v>674</v>
      </c>
      <c r="B247" s="139"/>
      <c r="C247" s="138"/>
      <c r="D247" s="138"/>
      <c r="E247" s="139"/>
      <c r="F247" s="138"/>
      <c r="G247" s="140" t="str">
        <f>COUNTIFS($G$2:$G$246,"제주")&amp;"건"</f>
        <v>201건</v>
      </c>
      <c r="H247" s="141">
        <f>SUMIFS($H$2:$H$246,$G$2:$G$246,"제주")</f>
        <v>603000</v>
      </c>
    </row>
    <row r="248" spans="1:8">
      <c r="A248" s="19" t="s">
        <v>675</v>
      </c>
      <c r="B248" s="93"/>
      <c r="C248" s="19"/>
      <c r="D248" s="19"/>
      <c r="E248" s="93"/>
      <c r="F248" s="19"/>
      <c r="G248" s="140" t="str">
        <f>COUNTIFS($G$2:$G$246,"도서산간")&amp;"건"</f>
        <v>17건</v>
      </c>
      <c r="H248" s="141">
        <f>SUMIFS($H$2:$H$246,$G$2:$G$246,"도서산간")</f>
        <v>91000</v>
      </c>
    </row>
    <row r="249" spans="1:8">
      <c r="A249" s="19" t="s">
        <v>676</v>
      </c>
      <c r="B249" s="93"/>
      <c r="C249" s="19"/>
      <c r="D249" s="19"/>
      <c r="E249" s="93"/>
      <c r="F249" s="19"/>
      <c r="G249" s="16"/>
      <c r="H249" s="20">
        <f>H247+H248</f>
        <v>694000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24"/>
  <sheetViews>
    <sheetView showGridLines="0" zoomScaleNormal="100" workbookViewId="0">
      <selection activeCell="E29" sqref="E29"/>
    </sheetView>
  </sheetViews>
  <sheetFormatPr defaultRowHeight="16.5"/>
  <cols>
    <col min="1" max="1" width="5.125" bestFit="1" customWidth="1"/>
    <col min="2" max="2" width="13.625" style="53" bestFit="1" customWidth="1"/>
    <col min="3" max="3" width="12.625" customWidth="1"/>
    <col min="4" max="4" width="13.5" customWidth="1"/>
    <col min="5" max="5" width="38.375" customWidth="1"/>
    <col min="6" max="6" width="17.25" bestFit="1" customWidth="1"/>
    <col min="7" max="7" width="10.5" bestFit="1" customWidth="1"/>
  </cols>
  <sheetData>
    <row r="1" spans="1:7">
      <c r="A1" s="16" t="s">
        <v>293</v>
      </c>
      <c r="B1" s="91" t="s">
        <v>677</v>
      </c>
      <c r="C1" s="16" t="s">
        <v>678</v>
      </c>
      <c r="D1" s="16" t="s">
        <v>679</v>
      </c>
      <c r="E1" s="16" t="s">
        <v>70</v>
      </c>
      <c r="F1" s="16" t="s">
        <v>298</v>
      </c>
      <c r="G1" s="16" t="s">
        <v>299</v>
      </c>
    </row>
    <row r="2" spans="1:7">
      <c r="A2" s="142">
        <v>1</v>
      </c>
      <c r="B2" s="143">
        <v>302039427854</v>
      </c>
      <c r="C2" s="144" t="s">
        <v>680</v>
      </c>
      <c r="D2" s="285" t="s">
        <v>681</v>
      </c>
      <c r="E2" s="173" t="s">
        <v>682</v>
      </c>
      <c r="F2" s="142" t="s">
        <v>683</v>
      </c>
      <c r="G2" s="180">
        <v>2475</v>
      </c>
    </row>
    <row r="3" spans="1:7">
      <c r="A3" s="142">
        <f>A2+1</f>
        <v>2</v>
      </c>
      <c r="B3" s="143">
        <v>302053247206</v>
      </c>
      <c r="C3" s="144" t="s">
        <v>684</v>
      </c>
      <c r="D3" s="303">
        <v>201978000041</v>
      </c>
      <c r="E3" s="173" t="s">
        <v>302</v>
      </c>
      <c r="F3" s="142" t="s">
        <v>683</v>
      </c>
      <c r="G3" s="180">
        <v>2475</v>
      </c>
    </row>
    <row r="4" spans="1:7">
      <c r="A4" s="142">
        <f t="shared" ref="A4:A23" si="0">A3+1</f>
        <v>3</v>
      </c>
      <c r="B4" s="143" t="s">
        <v>685</v>
      </c>
      <c r="C4" s="144" t="s">
        <v>686</v>
      </c>
      <c r="D4" s="303">
        <v>201978000068</v>
      </c>
      <c r="E4" s="173" t="s">
        <v>687</v>
      </c>
      <c r="F4" s="142" t="s">
        <v>683</v>
      </c>
      <c r="G4" s="180">
        <v>2475</v>
      </c>
    </row>
    <row r="5" spans="1:7">
      <c r="A5" s="142">
        <f t="shared" si="0"/>
        <v>4</v>
      </c>
      <c r="B5" s="143">
        <v>302039756073</v>
      </c>
      <c r="C5" s="144" t="s">
        <v>688</v>
      </c>
      <c r="D5" s="303">
        <v>201991000143</v>
      </c>
      <c r="E5" s="173" t="s">
        <v>689</v>
      </c>
      <c r="F5" s="142" t="s">
        <v>683</v>
      </c>
      <c r="G5" s="180">
        <v>2475</v>
      </c>
    </row>
    <row r="6" spans="1:7">
      <c r="A6" s="142">
        <f t="shared" si="0"/>
        <v>5</v>
      </c>
      <c r="B6" s="143">
        <v>302053465816</v>
      </c>
      <c r="C6" s="144" t="s">
        <v>690</v>
      </c>
      <c r="D6" s="303">
        <v>201978000041</v>
      </c>
      <c r="E6" s="173" t="s">
        <v>691</v>
      </c>
      <c r="F6" s="142" t="s">
        <v>683</v>
      </c>
      <c r="G6" s="180">
        <v>2475</v>
      </c>
    </row>
    <row r="7" spans="1:7">
      <c r="A7" s="142">
        <f t="shared" si="0"/>
        <v>6</v>
      </c>
      <c r="B7" s="143">
        <v>302053522225</v>
      </c>
      <c r="C7" s="144" t="s">
        <v>692</v>
      </c>
      <c r="D7" s="303">
        <v>201978000061</v>
      </c>
      <c r="E7" s="173" t="s">
        <v>693</v>
      </c>
      <c r="F7" s="142" t="s">
        <v>683</v>
      </c>
      <c r="G7" s="180">
        <v>2475</v>
      </c>
    </row>
    <row r="8" spans="1:7">
      <c r="A8" s="142">
        <f t="shared" si="0"/>
        <v>7</v>
      </c>
      <c r="B8" s="143">
        <v>302039875316</v>
      </c>
      <c r="C8" s="144" t="s">
        <v>694</v>
      </c>
      <c r="D8" s="303">
        <v>202008000058</v>
      </c>
      <c r="E8" s="173" t="s">
        <v>315</v>
      </c>
      <c r="F8" s="142" t="s">
        <v>683</v>
      </c>
      <c r="G8" s="180">
        <v>3025</v>
      </c>
    </row>
    <row r="9" spans="1:7">
      <c r="A9" s="142">
        <f t="shared" si="0"/>
        <v>8</v>
      </c>
      <c r="B9" s="143">
        <v>302040447161</v>
      </c>
      <c r="C9" s="144" t="s">
        <v>695</v>
      </c>
      <c r="D9" s="303">
        <v>201978000045</v>
      </c>
      <c r="E9" s="173" t="s">
        <v>696</v>
      </c>
      <c r="F9" s="142" t="s">
        <v>683</v>
      </c>
      <c r="G9" s="180">
        <v>2255</v>
      </c>
    </row>
    <row r="10" spans="1:7">
      <c r="A10" s="142">
        <f t="shared" si="0"/>
        <v>9</v>
      </c>
      <c r="B10" s="143">
        <v>256709589986</v>
      </c>
      <c r="C10" s="144" t="s">
        <v>697</v>
      </c>
      <c r="D10" s="303"/>
      <c r="E10" s="173"/>
      <c r="F10" s="142" t="s">
        <v>698</v>
      </c>
      <c r="G10" s="180">
        <v>3200</v>
      </c>
    </row>
    <row r="11" spans="1:7">
      <c r="A11" s="142">
        <f t="shared" si="0"/>
        <v>10</v>
      </c>
      <c r="B11" s="143">
        <v>265484375085</v>
      </c>
      <c r="C11" s="144" t="s">
        <v>697</v>
      </c>
      <c r="D11" s="303"/>
      <c r="E11" s="173"/>
      <c r="F11" s="142" t="s">
        <v>698</v>
      </c>
      <c r="G11" s="180">
        <v>3200</v>
      </c>
    </row>
    <row r="12" spans="1:7">
      <c r="A12" s="142">
        <f t="shared" si="0"/>
        <v>11</v>
      </c>
      <c r="B12" s="143"/>
      <c r="C12" s="144"/>
      <c r="D12" s="303"/>
      <c r="E12" s="173"/>
      <c r="F12" s="142"/>
      <c r="G12" s="180"/>
    </row>
    <row r="13" spans="1:7">
      <c r="A13" s="142">
        <f t="shared" si="0"/>
        <v>12</v>
      </c>
      <c r="B13" s="143"/>
      <c r="C13" s="144"/>
      <c r="D13" s="303"/>
      <c r="E13" s="173"/>
      <c r="F13" s="142"/>
      <c r="G13" s="180"/>
    </row>
    <row r="14" spans="1:7">
      <c r="A14" s="142">
        <f t="shared" si="0"/>
        <v>13</v>
      </c>
      <c r="B14" s="143"/>
      <c r="C14" s="144"/>
      <c r="D14" s="303"/>
      <c r="E14" s="173"/>
      <c r="F14" s="142"/>
      <c r="G14" s="180"/>
    </row>
    <row r="15" spans="1:7">
      <c r="A15" s="142">
        <f t="shared" si="0"/>
        <v>14</v>
      </c>
      <c r="B15" s="143"/>
      <c r="C15" s="144"/>
      <c r="D15" s="303"/>
      <c r="E15" s="173"/>
      <c r="F15" s="142"/>
      <c r="G15" s="180"/>
    </row>
    <row r="16" spans="1:7">
      <c r="A16" s="142">
        <f t="shared" si="0"/>
        <v>15</v>
      </c>
      <c r="B16" s="143"/>
      <c r="C16" s="144"/>
      <c r="D16" s="288"/>
      <c r="E16" s="173"/>
      <c r="F16" s="142"/>
      <c r="G16" s="180"/>
    </row>
    <row r="17" spans="1:7">
      <c r="A17" s="142">
        <f t="shared" si="0"/>
        <v>16</v>
      </c>
      <c r="B17" s="143"/>
      <c r="C17" s="144"/>
      <c r="D17" s="288"/>
      <c r="E17" s="289"/>
      <c r="F17" s="142"/>
      <c r="G17" s="180"/>
    </row>
    <row r="18" spans="1:7">
      <c r="A18" s="142">
        <f t="shared" si="0"/>
        <v>17</v>
      </c>
      <c r="B18" s="143"/>
      <c r="C18" s="144"/>
      <c r="D18" s="288"/>
      <c r="E18" s="289"/>
      <c r="F18" s="142"/>
      <c r="G18" s="180"/>
    </row>
    <row r="19" spans="1:7">
      <c r="A19" s="142">
        <f t="shared" si="0"/>
        <v>18</v>
      </c>
      <c r="B19" s="143"/>
      <c r="C19" s="144"/>
      <c r="D19" s="284"/>
      <c r="E19" s="173"/>
      <c r="F19" s="142"/>
      <c r="G19" s="180"/>
    </row>
    <row r="20" spans="1:7">
      <c r="A20" s="142">
        <f t="shared" si="0"/>
        <v>19</v>
      </c>
      <c r="B20" s="143"/>
      <c r="C20" s="144"/>
      <c r="D20" s="144"/>
      <c r="E20" s="173"/>
      <c r="F20" s="142"/>
      <c r="G20" s="180"/>
    </row>
    <row r="21" spans="1:7">
      <c r="A21" s="142">
        <f t="shared" si="0"/>
        <v>20</v>
      </c>
      <c r="B21" s="143"/>
      <c r="C21" s="144"/>
      <c r="D21" s="144"/>
      <c r="E21" s="173"/>
      <c r="F21" s="142"/>
      <c r="G21" s="180"/>
    </row>
    <row r="22" spans="1:7">
      <c r="A22" s="142">
        <f t="shared" si="0"/>
        <v>21</v>
      </c>
      <c r="B22" s="143"/>
      <c r="C22" s="144"/>
      <c r="D22" s="144"/>
      <c r="E22" s="173"/>
      <c r="F22" s="142"/>
      <c r="G22" s="180"/>
    </row>
    <row r="23" spans="1:7">
      <c r="A23" s="142">
        <f t="shared" si="0"/>
        <v>22</v>
      </c>
      <c r="B23" s="143"/>
      <c r="C23" s="144"/>
      <c r="D23" s="144"/>
      <c r="E23" s="173"/>
      <c r="F23" s="142"/>
      <c r="G23" s="180"/>
    </row>
    <row r="24" spans="1:7">
      <c r="A24" s="19" t="s">
        <v>676</v>
      </c>
      <c r="B24" s="93"/>
      <c r="C24" s="19"/>
      <c r="D24" s="19"/>
      <c r="E24" s="19"/>
      <c r="F24" s="19"/>
      <c r="G24" s="21">
        <f>SUM(G2:G23)</f>
        <v>26530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AD33"/>
  <sheetViews>
    <sheetView showGridLines="0" topLeftCell="B1" zoomScale="85" zoomScaleNormal="85" workbookViewId="0">
      <pane xSplit="1" ySplit="1" topLeftCell="V2" activePane="bottomRight" state="frozen"/>
      <selection pane="bottomRight" activeCell="AA39" sqref="AA39"/>
      <selection pane="bottomLeft" activeCell="L28" sqref="L28"/>
      <selection pane="topRight" activeCell="L28" sqref="L28"/>
    </sheetView>
  </sheetViews>
  <sheetFormatPr defaultColWidth="9" defaultRowHeight="13.5"/>
  <cols>
    <col min="1" max="1" width="0" style="49" hidden="1" customWidth="1"/>
    <col min="2" max="2" width="40.625" style="49" bestFit="1" customWidth="1"/>
    <col min="3" max="3" width="43.625" style="49" customWidth="1"/>
    <col min="4" max="4" width="14.875" style="49" customWidth="1"/>
    <col min="5" max="5" width="14.875" style="50" customWidth="1"/>
    <col min="6" max="7" width="12" style="50" customWidth="1"/>
    <col min="8" max="11" width="12" style="47" customWidth="1"/>
    <col min="12" max="13" width="12.125" style="50" customWidth="1"/>
    <col min="14" max="21" width="12.125" style="178" customWidth="1"/>
    <col min="22" max="22" width="12.125" style="179" customWidth="1"/>
    <col min="23" max="27" width="14.125" style="47" customWidth="1"/>
    <col min="28" max="28" width="14.125" style="50" customWidth="1"/>
    <col min="29" max="29" width="14.125" style="47" customWidth="1"/>
    <col min="30" max="30" width="43.125" style="47" bestFit="1" customWidth="1"/>
    <col min="31" max="16384" width="9" style="47"/>
  </cols>
  <sheetData>
    <row r="1" spans="1:30" s="45" customFormat="1" ht="33" customHeight="1">
      <c r="A1" s="39" t="s">
        <v>699</v>
      </c>
      <c r="B1" s="40" t="s">
        <v>700</v>
      </c>
      <c r="C1" s="40" t="s">
        <v>701</v>
      </c>
      <c r="D1" s="40" t="s">
        <v>702</v>
      </c>
      <c r="E1" s="41" t="s">
        <v>703</v>
      </c>
      <c r="F1" s="41" t="s">
        <v>704</v>
      </c>
      <c r="G1" s="41" t="s">
        <v>705</v>
      </c>
      <c r="H1" s="40" t="s">
        <v>706</v>
      </c>
      <c r="I1" s="40" t="s">
        <v>707</v>
      </c>
      <c r="J1" s="40" t="s">
        <v>708</v>
      </c>
      <c r="K1" s="40" t="s">
        <v>132</v>
      </c>
      <c r="L1" s="42" t="s">
        <v>709</v>
      </c>
      <c r="M1" s="43" t="s">
        <v>710</v>
      </c>
      <c r="N1" s="176" t="s">
        <v>711</v>
      </c>
      <c r="O1" s="176" t="s">
        <v>712</v>
      </c>
      <c r="P1" s="176" t="s">
        <v>713</v>
      </c>
      <c r="Q1" s="176" t="s">
        <v>714</v>
      </c>
      <c r="R1" s="176" t="s">
        <v>715</v>
      </c>
      <c r="S1" s="176" t="s">
        <v>716</v>
      </c>
      <c r="T1" s="176" t="s">
        <v>717</v>
      </c>
      <c r="U1" s="176" t="s">
        <v>718</v>
      </c>
      <c r="V1" s="177" t="s">
        <v>719</v>
      </c>
      <c r="W1" s="42" t="s">
        <v>720</v>
      </c>
      <c r="X1" s="42" t="s">
        <v>721</v>
      </c>
      <c r="Y1" s="42" t="s">
        <v>722</v>
      </c>
      <c r="Z1" s="42" t="s">
        <v>723</v>
      </c>
      <c r="AA1" s="42" t="s">
        <v>724</v>
      </c>
      <c r="AB1" s="41" t="s">
        <v>725</v>
      </c>
      <c r="AC1" s="42" t="s">
        <v>726</v>
      </c>
      <c r="AD1" s="44" t="s">
        <v>727</v>
      </c>
    </row>
    <row r="2" spans="1:30" ht="19.5" customHeight="1">
      <c r="A2" s="46"/>
      <c r="B2" s="280" t="s">
        <v>728</v>
      </c>
      <c r="C2" s="206" t="s">
        <v>729</v>
      </c>
      <c r="D2" s="242">
        <v>518</v>
      </c>
      <c r="E2" s="281">
        <v>172.66666666666666</v>
      </c>
      <c r="F2" s="242">
        <v>4</v>
      </c>
      <c r="G2" s="242" t="s">
        <v>176</v>
      </c>
      <c r="H2" s="242"/>
      <c r="I2" s="242"/>
      <c r="J2" s="242"/>
      <c r="K2" s="242"/>
      <c r="L2" s="282"/>
      <c r="M2" s="282"/>
      <c r="N2" s="282"/>
      <c r="O2" s="282"/>
      <c r="P2" s="282"/>
      <c r="Q2" s="282"/>
      <c r="R2" s="282">
        <v>1650</v>
      </c>
      <c r="S2" s="282">
        <v>2750</v>
      </c>
      <c r="T2" s="295">
        <v>165</v>
      </c>
      <c r="U2" s="282"/>
      <c r="V2" s="282">
        <v>3300</v>
      </c>
      <c r="W2" s="231"/>
      <c r="X2" s="231">
        <f>K2*P2</f>
        <v>0</v>
      </c>
      <c r="Y2" s="231"/>
      <c r="Z2" s="231">
        <f>R2*F2+S2*F2+U2*E2+T2*E2</f>
        <v>46090</v>
      </c>
      <c r="AA2" s="231">
        <f>V2*F2</f>
        <v>13200</v>
      </c>
      <c r="AB2" s="231"/>
      <c r="AC2" s="231">
        <f>SUM(W2:AB2)</f>
        <v>59290</v>
      </c>
      <c r="AD2" s="231"/>
    </row>
    <row r="3" spans="1:30" ht="19.5" customHeight="1">
      <c r="A3" s="46"/>
      <c r="B3" s="280" t="s">
        <v>730</v>
      </c>
      <c r="C3" s="206" t="s">
        <v>731</v>
      </c>
      <c r="D3" s="242">
        <v>140</v>
      </c>
      <c r="E3" s="281">
        <v>23</v>
      </c>
      <c r="F3" s="282"/>
      <c r="G3" s="242">
        <v>23</v>
      </c>
      <c r="H3" s="242"/>
      <c r="I3" s="242"/>
      <c r="J3" s="242"/>
      <c r="K3" s="242"/>
      <c r="L3" s="282"/>
      <c r="M3" s="282"/>
      <c r="N3" s="282"/>
      <c r="O3" s="282"/>
      <c r="P3" s="282"/>
      <c r="Q3" s="282"/>
      <c r="R3" s="282" t="s">
        <v>176</v>
      </c>
      <c r="S3" s="282">
        <v>165</v>
      </c>
      <c r="T3" s="295">
        <v>165</v>
      </c>
      <c r="U3" s="282"/>
      <c r="V3" s="282" t="s">
        <v>176</v>
      </c>
      <c r="W3" s="231"/>
      <c r="X3" s="231">
        <f>K3*P3</f>
        <v>0</v>
      </c>
      <c r="Y3" s="231"/>
      <c r="Z3" s="231">
        <f>S3*E3+T3*E3+U3*E3</f>
        <v>7590</v>
      </c>
      <c r="AA3" s="231" t="str">
        <f t="shared" ref="AA3:AA8" si="0">V3</f>
        <v/>
      </c>
      <c r="AB3" s="231"/>
      <c r="AC3" s="231">
        <f t="shared" ref="AC3:AC15" si="1">SUM(W3:AB3)</f>
        <v>7590</v>
      </c>
      <c r="AD3" s="231"/>
    </row>
    <row r="4" spans="1:30" ht="19.5" customHeight="1">
      <c r="A4" s="46"/>
      <c r="B4" s="280" t="s">
        <v>732</v>
      </c>
      <c r="C4" s="206" t="s">
        <v>404</v>
      </c>
      <c r="D4" s="242">
        <v>14040</v>
      </c>
      <c r="E4" s="281">
        <v>780</v>
      </c>
      <c r="F4" s="282">
        <v>10</v>
      </c>
      <c r="G4" s="242" t="s">
        <v>176</v>
      </c>
      <c r="H4" s="242"/>
      <c r="I4" s="242"/>
      <c r="J4" s="242"/>
      <c r="K4" s="242"/>
      <c r="L4" s="282"/>
      <c r="M4" s="282"/>
      <c r="N4" s="282"/>
      <c r="O4" s="282"/>
      <c r="P4" s="282"/>
      <c r="Q4" s="282"/>
      <c r="R4" s="282">
        <v>1650</v>
      </c>
      <c r="S4" s="282">
        <v>2750</v>
      </c>
      <c r="T4" s="295">
        <v>165</v>
      </c>
      <c r="U4" s="282"/>
      <c r="V4" s="282">
        <v>3300</v>
      </c>
      <c r="W4" s="231"/>
      <c r="X4" s="231"/>
      <c r="Y4" s="231"/>
      <c r="Z4" s="231">
        <f>R4*F4+S4*F4+T4*E4+U4*E4</f>
        <v>172700</v>
      </c>
      <c r="AA4" s="231">
        <f>V4*F4</f>
        <v>33000</v>
      </c>
      <c r="AB4" s="231"/>
      <c r="AC4" s="231">
        <f t="shared" si="1"/>
        <v>205700</v>
      </c>
      <c r="AD4" s="231"/>
    </row>
    <row r="5" spans="1:30" ht="19.5" customHeight="1">
      <c r="A5" s="46"/>
      <c r="B5" s="280" t="s">
        <v>733</v>
      </c>
      <c r="C5" s="206" t="s">
        <v>620</v>
      </c>
      <c r="D5" s="242">
        <v>30</v>
      </c>
      <c r="E5" s="281">
        <v>3.3333333333333335</v>
      </c>
      <c r="F5" s="282"/>
      <c r="G5" s="242">
        <v>3.3333333333333335</v>
      </c>
      <c r="H5" s="242"/>
      <c r="I5" s="242"/>
      <c r="J5" s="242"/>
      <c r="K5" s="242"/>
      <c r="L5" s="282"/>
      <c r="M5" s="282"/>
      <c r="N5" s="282"/>
      <c r="O5" s="282"/>
      <c r="P5" s="282"/>
      <c r="Q5" s="282"/>
      <c r="R5" s="282" t="s">
        <v>176</v>
      </c>
      <c r="S5" s="282">
        <v>165</v>
      </c>
      <c r="T5" s="295">
        <v>165</v>
      </c>
      <c r="U5" s="282"/>
      <c r="V5" s="282" t="s">
        <v>176</v>
      </c>
      <c r="W5" s="231"/>
      <c r="X5" s="231"/>
      <c r="Y5" s="231"/>
      <c r="Z5" s="231">
        <f>S5*E5+T5*E5+U5*E5</f>
        <v>1100</v>
      </c>
      <c r="AA5" s="231" t="str">
        <f t="shared" si="0"/>
        <v/>
      </c>
      <c r="AB5" s="231"/>
      <c r="AC5" s="231">
        <f t="shared" si="1"/>
        <v>1100</v>
      </c>
      <c r="AD5" s="231"/>
    </row>
    <row r="6" spans="1:30" ht="19.5" customHeight="1">
      <c r="A6" s="46"/>
      <c r="B6" s="280" t="s">
        <v>734</v>
      </c>
      <c r="C6" s="206" t="s">
        <v>735</v>
      </c>
      <c r="D6" s="242">
        <v>508</v>
      </c>
      <c r="E6" s="281">
        <v>50.8</v>
      </c>
      <c r="F6" s="242"/>
      <c r="G6" s="242">
        <v>50.8</v>
      </c>
      <c r="H6" s="242"/>
      <c r="I6" s="242"/>
      <c r="J6" s="242"/>
      <c r="K6" s="242"/>
      <c r="L6" s="282"/>
      <c r="M6" s="282"/>
      <c r="N6" s="282"/>
      <c r="O6" s="282"/>
      <c r="P6" s="282"/>
      <c r="Q6" s="282"/>
      <c r="R6" s="282" t="s">
        <v>176</v>
      </c>
      <c r="S6" s="282">
        <v>165</v>
      </c>
      <c r="T6" s="282">
        <v>165</v>
      </c>
      <c r="U6" s="282"/>
      <c r="V6" s="282" t="s">
        <v>176</v>
      </c>
      <c r="W6" s="231"/>
      <c r="X6" s="231"/>
      <c r="Y6" s="231"/>
      <c r="Z6" s="231">
        <f>S6*E6+T6*E6+U6*E6</f>
        <v>16764</v>
      </c>
      <c r="AA6" s="231" t="str">
        <f t="shared" si="0"/>
        <v/>
      </c>
      <c r="AB6" s="231"/>
      <c r="AC6" s="231">
        <f t="shared" si="1"/>
        <v>16764</v>
      </c>
      <c r="AD6" s="231"/>
    </row>
    <row r="7" spans="1:30" ht="19.5" customHeight="1">
      <c r="A7" s="46"/>
      <c r="B7" s="280" t="s">
        <v>736</v>
      </c>
      <c r="C7" s="206" t="s">
        <v>322</v>
      </c>
      <c r="D7" s="242">
        <v>6240</v>
      </c>
      <c r="E7" s="281">
        <f>D7/10</f>
        <v>624</v>
      </c>
      <c r="F7" s="242">
        <v>13</v>
      </c>
      <c r="G7" s="242" t="s">
        <v>176</v>
      </c>
      <c r="H7" s="242"/>
      <c r="I7" s="242"/>
      <c r="J7" s="242"/>
      <c r="K7" s="242"/>
      <c r="L7" s="282"/>
      <c r="M7" s="282"/>
      <c r="N7" s="282"/>
      <c r="O7" s="282"/>
      <c r="P7" s="282"/>
      <c r="Q7" s="282"/>
      <c r="R7" s="282">
        <v>1650</v>
      </c>
      <c r="S7" s="282">
        <v>2750</v>
      </c>
      <c r="T7" s="282">
        <v>165</v>
      </c>
      <c r="U7" s="282"/>
      <c r="V7" s="282">
        <v>3300</v>
      </c>
      <c r="W7" s="231"/>
      <c r="X7" s="231"/>
      <c r="Y7" s="231"/>
      <c r="Z7" s="231">
        <f>R7*F7+S7*F7+T7*E7+U7*E7</f>
        <v>160160</v>
      </c>
      <c r="AA7" s="231">
        <f>V7*F7</f>
        <v>42900</v>
      </c>
      <c r="AB7" s="231"/>
      <c r="AC7" s="231">
        <f t="shared" si="1"/>
        <v>203060</v>
      </c>
      <c r="AD7" s="231"/>
    </row>
    <row r="8" spans="1:30" ht="19.5" customHeight="1">
      <c r="A8" s="46"/>
      <c r="B8" s="264" t="s">
        <v>737</v>
      </c>
      <c r="C8" s="206" t="s">
        <v>738</v>
      </c>
      <c r="D8" s="242">
        <v>6336</v>
      </c>
      <c r="E8" s="281">
        <f>D8/12</f>
        <v>528</v>
      </c>
      <c r="F8" s="242">
        <v>11</v>
      </c>
      <c r="G8" s="242" t="s">
        <v>176</v>
      </c>
      <c r="H8" s="242"/>
      <c r="I8" s="242"/>
      <c r="J8" s="242"/>
      <c r="K8" s="242"/>
      <c r="L8" s="282"/>
      <c r="M8" s="282"/>
      <c r="N8" s="282"/>
      <c r="O8" s="282"/>
      <c r="P8" s="282"/>
      <c r="Q8" s="282"/>
      <c r="R8" s="282">
        <v>1650</v>
      </c>
      <c r="S8" s="282">
        <v>2750</v>
      </c>
      <c r="T8" s="282">
        <v>165</v>
      </c>
      <c r="U8" s="282"/>
      <c r="V8" s="282">
        <v>3300</v>
      </c>
      <c r="W8" s="231"/>
      <c r="X8" s="231"/>
      <c r="Y8" s="231"/>
      <c r="Z8" s="231">
        <f>R8*F8+S8*F8+T8*E8+U8*E8</f>
        <v>135520</v>
      </c>
      <c r="AA8" s="231">
        <f>V8*F8</f>
        <v>36300</v>
      </c>
      <c r="AB8" s="231"/>
      <c r="AC8" s="231">
        <f t="shared" si="1"/>
        <v>171820</v>
      </c>
      <c r="AD8" s="231"/>
    </row>
    <row r="9" spans="1:30" ht="19.5" hidden="1" customHeight="1">
      <c r="A9" s="46"/>
      <c r="B9" s="264"/>
      <c r="C9" s="206"/>
      <c r="D9" s="242"/>
      <c r="E9" s="281"/>
      <c r="F9" s="242"/>
      <c r="G9" s="242"/>
      <c r="H9" s="242"/>
      <c r="I9" s="242"/>
      <c r="J9" s="242"/>
      <c r="K9" s="24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31"/>
      <c r="X9" s="231"/>
      <c r="Y9" s="231"/>
      <c r="Z9" s="231"/>
      <c r="AA9" s="231"/>
      <c r="AB9" s="231"/>
      <c r="AC9" s="231">
        <f t="shared" si="1"/>
        <v>0</v>
      </c>
      <c r="AD9" s="231"/>
    </row>
    <row r="10" spans="1:30" ht="19.5" hidden="1" customHeight="1">
      <c r="A10" s="46"/>
      <c r="B10" s="264"/>
      <c r="C10" s="206"/>
      <c r="D10" s="242"/>
      <c r="E10" s="281"/>
      <c r="F10" s="242"/>
      <c r="G10" s="242"/>
      <c r="H10" s="242"/>
      <c r="I10" s="242"/>
      <c r="J10" s="242"/>
      <c r="K10" s="24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31"/>
      <c r="X10" s="231"/>
      <c r="Y10" s="231"/>
      <c r="Z10" s="231"/>
      <c r="AA10" s="231"/>
      <c r="AB10" s="231"/>
      <c r="AC10" s="231">
        <f t="shared" si="1"/>
        <v>0</v>
      </c>
      <c r="AD10" s="231"/>
    </row>
    <row r="11" spans="1:30" ht="19.5" hidden="1" customHeight="1">
      <c r="A11" s="46"/>
      <c r="B11" s="264"/>
      <c r="C11" s="206"/>
      <c r="D11" s="242"/>
      <c r="E11" s="281"/>
      <c r="F11" s="242"/>
      <c r="G11" s="242"/>
      <c r="H11" s="242"/>
      <c r="I11" s="242"/>
      <c r="J11" s="242"/>
      <c r="K11" s="24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31"/>
      <c r="X11" s="231"/>
      <c r="Y11" s="231"/>
      <c r="Z11" s="231"/>
      <c r="AA11" s="231"/>
      <c r="AB11" s="231"/>
      <c r="AC11" s="231">
        <f t="shared" si="1"/>
        <v>0</v>
      </c>
      <c r="AD11" s="231"/>
    </row>
    <row r="12" spans="1:30" ht="19.5" hidden="1" customHeight="1">
      <c r="A12" s="46"/>
      <c r="B12" s="264"/>
      <c r="C12" s="206"/>
      <c r="D12" s="242"/>
      <c r="E12" s="281"/>
      <c r="F12" s="242"/>
      <c r="G12" s="242"/>
      <c r="H12" s="242"/>
      <c r="I12" s="242"/>
      <c r="J12" s="242"/>
      <c r="K12" s="242"/>
      <c r="L12" s="282"/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31"/>
      <c r="X12" s="231"/>
      <c r="Y12" s="231"/>
      <c r="Z12" s="231"/>
      <c r="AA12" s="231"/>
      <c r="AB12" s="231"/>
      <c r="AC12" s="231">
        <f t="shared" si="1"/>
        <v>0</v>
      </c>
      <c r="AD12" s="231"/>
    </row>
    <row r="13" spans="1:30" ht="19.5" hidden="1" customHeight="1">
      <c r="A13" s="46"/>
      <c r="B13" s="264"/>
      <c r="C13" s="206"/>
      <c r="D13" s="242"/>
      <c r="E13" s="281"/>
      <c r="F13" s="242"/>
      <c r="G13" s="242"/>
      <c r="H13" s="242"/>
      <c r="I13" s="242"/>
      <c r="J13" s="242"/>
      <c r="K13" s="242"/>
      <c r="L13" s="282"/>
      <c r="M13" s="282"/>
      <c r="N13" s="282"/>
      <c r="O13" s="282"/>
      <c r="P13" s="282"/>
      <c r="Q13" s="282"/>
      <c r="R13" s="282"/>
      <c r="S13" s="282"/>
      <c r="T13" s="282"/>
      <c r="U13" s="282"/>
      <c r="V13" s="282"/>
      <c r="W13" s="231"/>
      <c r="X13" s="231"/>
      <c r="Y13" s="231"/>
      <c r="Z13" s="231"/>
      <c r="AA13" s="231"/>
      <c r="AB13" s="231"/>
      <c r="AC13" s="231">
        <f t="shared" si="1"/>
        <v>0</v>
      </c>
      <c r="AD13" s="231"/>
    </row>
    <row r="14" spans="1:30" ht="19.5" hidden="1" customHeight="1">
      <c r="A14" s="46"/>
      <c r="B14" s="264"/>
      <c r="C14" s="206"/>
      <c r="D14" s="242"/>
      <c r="E14" s="281"/>
      <c r="F14" s="242"/>
      <c r="G14" s="242"/>
      <c r="H14" s="242"/>
      <c r="I14" s="242"/>
      <c r="J14" s="242"/>
      <c r="K14" s="24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31"/>
      <c r="X14" s="231"/>
      <c r="Y14" s="231"/>
      <c r="Z14" s="231"/>
      <c r="AA14" s="231"/>
      <c r="AB14" s="231"/>
      <c r="AC14" s="231">
        <f t="shared" si="1"/>
        <v>0</v>
      </c>
      <c r="AD14" s="231"/>
    </row>
    <row r="15" spans="1:30" ht="19.5" hidden="1" customHeight="1">
      <c r="A15" s="46"/>
      <c r="B15" s="264"/>
      <c r="C15" s="206"/>
      <c r="D15" s="242"/>
      <c r="E15" s="281"/>
      <c r="F15" s="242"/>
      <c r="G15" s="242"/>
      <c r="H15" s="242"/>
      <c r="I15" s="242"/>
      <c r="J15" s="242"/>
      <c r="K15" s="24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31"/>
      <c r="X15" s="231"/>
      <c r="Y15" s="231"/>
      <c r="Z15" s="231"/>
      <c r="AA15" s="231"/>
      <c r="AB15" s="231"/>
      <c r="AC15" s="231">
        <f t="shared" si="1"/>
        <v>0</v>
      </c>
      <c r="AD15" s="231"/>
    </row>
    <row r="16" spans="1:30" ht="19.5" hidden="1" customHeight="1">
      <c r="A16" s="46"/>
      <c r="B16" s="264"/>
      <c r="C16" s="206"/>
      <c r="D16" s="207"/>
      <c r="E16" s="229"/>
      <c r="F16" s="242"/>
      <c r="G16" s="242"/>
      <c r="H16" s="242"/>
      <c r="I16" s="242"/>
      <c r="J16" s="242"/>
      <c r="K16" s="242"/>
      <c r="L16" s="230"/>
      <c r="M16" s="230"/>
      <c r="N16" s="230"/>
      <c r="O16" s="230"/>
      <c r="P16" s="230"/>
      <c r="Q16" s="230"/>
      <c r="R16" s="282"/>
      <c r="S16" s="282"/>
      <c r="T16" s="282"/>
      <c r="U16" s="282"/>
      <c r="V16" s="282"/>
      <c r="W16" s="231"/>
      <c r="X16" s="231"/>
      <c r="Y16" s="231"/>
      <c r="Z16" s="231"/>
      <c r="AA16" s="231"/>
      <c r="AB16" s="231"/>
      <c r="AC16" s="231">
        <f t="shared" ref="AC16:AC24" si="2">SUM(W16:AB16)</f>
        <v>0</v>
      </c>
      <c r="AD16" s="231"/>
    </row>
    <row r="17" spans="1:30" ht="19.5" hidden="1" customHeight="1">
      <c r="A17" s="46"/>
      <c r="B17" s="264"/>
      <c r="C17" s="206"/>
      <c r="D17" s="207"/>
      <c r="E17" s="229"/>
      <c r="F17" s="242"/>
      <c r="G17" s="242"/>
      <c r="H17" s="242"/>
      <c r="I17" s="242"/>
      <c r="J17" s="242"/>
      <c r="K17" s="242"/>
      <c r="L17" s="230"/>
      <c r="M17" s="230"/>
      <c r="N17" s="230"/>
      <c r="O17" s="230"/>
      <c r="P17" s="230"/>
      <c r="Q17" s="230"/>
      <c r="R17" s="282"/>
      <c r="S17" s="282"/>
      <c r="T17" s="282"/>
      <c r="U17" s="282"/>
      <c r="V17" s="282"/>
      <c r="W17" s="231"/>
      <c r="X17" s="231"/>
      <c r="Y17" s="231"/>
      <c r="Z17" s="231"/>
      <c r="AA17" s="231"/>
      <c r="AB17" s="231"/>
      <c r="AC17" s="231">
        <f t="shared" si="2"/>
        <v>0</v>
      </c>
      <c r="AD17" s="231"/>
    </row>
    <row r="18" spans="1:30" ht="19.5" hidden="1" customHeight="1">
      <c r="A18" s="46"/>
      <c r="B18" s="264"/>
      <c r="C18" s="206"/>
      <c r="D18" s="207"/>
      <c r="E18" s="229"/>
      <c r="F18" s="242"/>
      <c r="G18" s="242"/>
      <c r="H18" s="242"/>
      <c r="I18" s="242"/>
      <c r="J18" s="242"/>
      <c r="K18" s="242"/>
      <c r="L18" s="230"/>
      <c r="M18" s="230"/>
      <c r="N18" s="230"/>
      <c r="O18" s="230"/>
      <c r="P18" s="230"/>
      <c r="Q18" s="230"/>
      <c r="R18" s="282"/>
      <c r="S18" s="282"/>
      <c r="T18" s="282"/>
      <c r="U18" s="282"/>
      <c r="V18" s="282"/>
      <c r="W18" s="231"/>
      <c r="X18" s="231"/>
      <c r="Y18" s="231"/>
      <c r="Z18" s="231"/>
      <c r="AA18" s="231"/>
      <c r="AB18" s="231"/>
      <c r="AC18" s="231">
        <f t="shared" si="2"/>
        <v>0</v>
      </c>
      <c r="AD18" s="231"/>
    </row>
    <row r="19" spans="1:30" ht="19.5" hidden="1" customHeight="1">
      <c r="A19" s="46"/>
      <c r="B19" s="264"/>
      <c r="C19" s="206"/>
      <c r="D19" s="207"/>
      <c r="E19" s="229"/>
      <c r="F19" s="242"/>
      <c r="G19" s="242"/>
      <c r="H19" s="242"/>
      <c r="I19" s="242"/>
      <c r="J19" s="242"/>
      <c r="K19" s="242"/>
      <c r="L19" s="230"/>
      <c r="M19" s="230"/>
      <c r="N19" s="230"/>
      <c r="O19" s="230"/>
      <c r="P19" s="230"/>
      <c r="Q19" s="230"/>
      <c r="R19" s="282"/>
      <c r="S19" s="282"/>
      <c r="T19" s="282"/>
      <c r="U19" s="282"/>
      <c r="V19" s="282"/>
      <c r="W19" s="231"/>
      <c r="X19" s="231"/>
      <c r="Y19" s="231"/>
      <c r="Z19" s="231"/>
      <c r="AA19" s="231"/>
      <c r="AB19" s="231"/>
      <c r="AC19" s="231">
        <f t="shared" si="2"/>
        <v>0</v>
      </c>
      <c r="AD19" s="231"/>
    </row>
    <row r="20" spans="1:30" ht="19.5" hidden="1" customHeight="1">
      <c r="A20" s="46"/>
      <c r="B20" s="264"/>
      <c r="C20" s="206"/>
      <c r="D20" s="207"/>
      <c r="E20" s="229"/>
      <c r="F20" s="242"/>
      <c r="G20" s="242"/>
      <c r="H20" s="242"/>
      <c r="I20" s="242"/>
      <c r="J20" s="242"/>
      <c r="K20" s="242"/>
      <c r="L20" s="230"/>
      <c r="M20" s="230"/>
      <c r="N20" s="230"/>
      <c r="O20" s="230"/>
      <c r="P20" s="230"/>
      <c r="Q20" s="230"/>
      <c r="R20" s="282"/>
      <c r="S20" s="282"/>
      <c r="T20" s="282"/>
      <c r="U20" s="282"/>
      <c r="V20" s="282"/>
      <c r="W20" s="231"/>
      <c r="X20" s="231"/>
      <c r="Y20" s="231"/>
      <c r="Z20" s="231"/>
      <c r="AA20" s="231"/>
      <c r="AB20" s="231"/>
      <c r="AC20" s="231">
        <f t="shared" si="2"/>
        <v>0</v>
      </c>
      <c r="AD20" s="231"/>
    </row>
    <row r="21" spans="1:30" ht="19.5" hidden="1" customHeight="1">
      <c r="A21" s="46"/>
      <c r="B21" s="264"/>
      <c r="C21" s="206"/>
      <c r="D21" s="207"/>
      <c r="E21" s="229"/>
      <c r="F21" s="242"/>
      <c r="G21" s="242"/>
      <c r="H21" s="242"/>
      <c r="I21" s="242"/>
      <c r="J21" s="242"/>
      <c r="K21" s="242"/>
      <c r="L21" s="230"/>
      <c r="M21" s="230"/>
      <c r="N21" s="230"/>
      <c r="O21" s="230"/>
      <c r="P21" s="230"/>
      <c r="Q21" s="230"/>
      <c r="R21" s="282"/>
      <c r="S21" s="282"/>
      <c r="T21" s="282"/>
      <c r="U21" s="282"/>
      <c r="V21" s="282"/>
      <c r="W21" s="231"/>
      <c r="X21" s="231"/>
      <c r="Y21" s="231"/>
      <c r="Z21" s="231"/>
      <c r="AA21" s="231"/>
      <c r="AB21" s="231"/>
      <c r="AC21" s="231">
        <f t="shared" si="2"/>
        <v>0</v>
      </c>
      <c r="AD21" s="231"/>
    </row>
    <row r="22" spans="1:30" ht="19.5" hidden="1" customHeight="1">
      <c r="A22" s="46"/>
      <c r="B22" s="264"/>
      <c r="C22" s="206"/>
      <c r="D22" s="207"/>
      <c r="E22" s="229"/>
      <c r="F22" s="242"/>
      <c r="G22" s="242"/>
      <c r="H22" s="242"/>
      <c r="I22" s="242"/>
      <c r="J22" s="242"/>
      <c r="K22" s="242"/>
      <c r="L22" s="230"/>
      <c r="M22" s="230"/>
      <c r="N22" s="230"/>
      <c r="O22" s="230"/>
      <c r="P22" s="230"/>
      <c r="Q22" s="230"/>
      <c r="R22" s="282"/>
      <c r="S22" s="282"/>
      <c r="T22" s="282"/>
      <c r="U22" s="282"/>
      <c r="V22" s="282"/>
      <c r="W22" s="231"/>
      <c r="X22" s="231"/>
      <c r="Y22" s="231"/>
      <c r="Z22" s="231"/>
      <c r="AA22" s="231"/>
      <c r="AB22" s="231"/>
      <c r="AC22" s="231">
        <f t="shared" si="2"/>
        <v>0</v>
      </c>
      <c r="AD22" s="231"/>
    </row>
    <row r="23" spans="1:30" ht="19.5" hidden="1" customHeight="1">
      <c r="A23" s="46"/>
      <c r="B23" s="264"/>
      <c r="C23" s="206"/>
      <c r="D23" s="207"/>
      <c r="E23" s="229"/>
      <c r="F23" s="242"/>
      <c r="G23" s="242"/>
      <c r="H23" s="242"/>
      <c r="I23" s="242"/>
      <c r="J23" s="242"/>
      <c r="K23" s="242"/>
      <c r="L23" s="230"/>
      <c r="M23" s="230"/>
      <c r="N23" s="230"/>
      <c r="O23" s="230"/>
      <c r="P23" s="230"/>
      <c r="Q23" s="230"/>
      <c r="R23" s="282"/>
      <c r="S23" s="282"/>
      <c r="T23" s="282"/>
      <c r="U23" s="282"/>
      <c r="V23" s="282"/>
      <c r="W23" s="231"/>
      <c r="X23" s="231"/>
      <c r="Y23" s="231"/>
      <c r="Z23" s="231"/>
      <c r="AA23" s="231"/>
      <c r="AB23" s="231"/>
      <c r="AC23" s="231">
        <f t="shared" si="2"/>
        <v>0</v>
      </c>
      <c r="AD23" s="231"/>
    </row>
    <row r="24" spans="1:30" ht="19.5" hidden="1" customHeight="1">
      <c r="A24" s="46"/>
      <c r="B24" s="264"/>
      <c r="C24" s="206"/>
      <c r="D24" s="207"/>
      <c r="E24" s="229"/>
      <c r="F24" s="242"/>
      <c r="G24" s="242"/>
      <c r="H24" s="242"/>
      <c r="I24" s="242"/>
      <c r="J24" s="242"/>
      <c r="K24" s="242"/>
      <c r="L24" s="230"/>
      <c r="M24" s="230"/>
      <c r="N24" s="230"/>
      <c r="O24" s="230"/>
      <c r="P24" s="230"/>
      <c r="Q24" s="230"/>
      <c r="R24" s="282"/>
      <c r="S24" s="282"/>
      <c r="T24" s="282"/>
      <c r="U24" s="282"/>
      <c r="V24" s="282"/>
      <c r="W24" s="231"/>
      <c r="X24" s="231"/>
      <c r="Y24" s="231"/>
      <c r="Z24" s="231"/>
      <c r="AA24" s="231"/>
      <c r="AB24" s="231"/>
      <c r="AC24" s="231">
        <f t="shared" si="2"/>
        <v>0</v>
      </c>
      <c r="AD24" s="231"/>
    </row>
    <row r="25" spans="1:30" customFormat="1" ht="16.5">
      <c r="A25" s="19" t="s">
        <v>676</v>
      </c>
      <c r="B25" s="468" t="s">
        <v>676</v>
      </c>
      <c r="C25" s="468"/>
      <c r="D25" s="468"/>
      <c r="E25" s="468"/>
      <c r="F25" s="468"/>
      <c r="G25" s="468"/>
      <c r="H25" s="468"/>
      <c r="I25" s="468"/>
      <c r="J25" s="468"/>
      <c r="K25" s="468"/>
      <c r="L25" s="468"/>
      <c r="M25" s="468"/>
      <c r="N25" s="468"/>
      <c r="O25" s="468"/>
      <c r="P25" s="468"/>
      <c r="Q25" s="468"/>
      <c r="R25" s="468"/>
      <c r="S25" s="468"/>
      <c r="T25" s="468"/>
      <c r="U25" s="468"/>
      <c r="V25" s="468"/>
      <c r="W25" s="468"/>
      <c r="X25" s="468"/>
      <c r="Y25" s="468"/>
      <c r="Z25" s="468"/>
      <c r="AA25" s="468"/>
      <c r="AB25" s="468"/>
      <c r="AC25" s="48">
        <f>SUM(AC2:AC24)</f>
        <v>665324</v>
      </c>
      <c r="AD25" s="48"/>
    </row>
    <row r="30" spans="1:30">
      <c r="B30" s="47"/>
      <c r="C30" s="47"/>
      <c r="E30" s="47"/>
      <c r="F30" s="47"/>
      <c r="G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</row>
    <row r="32" spans="1:30">
      <c r="A32" s="47"/>
      <c r="C32" s="286"/>
    </row>
    <row r="33" spans="1:1">
      <c r="A33" s="47"/>
    </row>
  </sheetData>
  <mergeCells count="1">
    <mergeCell ref="B25:AB25"/>
  </mergeCells>
  <phoneticPr fontId="2" type="noConversion"/>
  <pageMargins left="0.7" right="0.7" top="0.75" bottom="0.75" header="0.3" footer="0.3"/>
  <pageSetup paperSize="9" orientation="portrait" verticalDpi="30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/>
  <dimension ref="A1:K54"/>
  <sheetViews>
    <sheetView showGridLines="0" workbookViewId="0">
      <pane ySplit="1" topLeftCell="A2" activePane="bottomLeft" state="frozen"/>
      <selection pane="bottomLeft" activeCell="E62" sqref="E62"/>
    </sheetView>
  </sheetViews>
  <sheetFormatPr defaultRowHeight="16.5"/>
  <cols>
    <col min="1" max="1" width="6.625" customWidth="1"/>
    <col min="5" max="5" width="49.5" bestFit="1" customWidth="1"/>
    <col min="11" max="11" width="10.5" bestFit="1" customWidth="1"/>
  </cols>
  <sheetData>
    <row r="1" spans="1:11" ht="27">
      <c r="A1" s="16" t="s">
        <v>739</v>
      </c>
      <c r="B1" s="16" t="s">
        <v>740</v>
      </c>
      <c r="C1" s="16" t="s">
        <v>741</v>
      </c>
      <c r="D1" s="16" t="s">
        <v>742</v>
      </c>
      <c r="E1" s="16" t="s">
        <v>743</v>
      </c>
      <c r="F1" s="16" t="s">
        <v>744</v>
      </c>
      <c r="G1" s="16" t="s">
        <v>745</v>
      </c>
      <c r="H1" s="16" t="s">
        <v>746</v>
      </c>
      <c r="I1" s="16" t="s">
        <v>747</v>
      </c>
      <c r="J1" s="165" t="s">
        <v>748</v>
      </c>
      <c r="K1" s="166" t="s">
        <v>749</v>
      </c>
    </row>
    <row r="2" spans="1:11">
      <c r="A2" s="38">
        <v>1</v>
      </c>
      <c r="B2" s="167" t="s">
        <v>750</v>
      </c>
      <c r="C2" s="168" t="s">
        <v>751</v>
      </c>
      <c r="D2" s="169" t="s">
        <v>752</v>
      </c>
      <c r="E2" s="359" t="s">
        <v>753</v>
      </c>
      <c r="F2" s="355">
        <v>400</v>
      </c>
      <c r="G2" s="355">
        <v>15</v>
      </c>
      <c r="H2" s="170">
        <f>G2*F2</f>
        <v>6000</v>
      </c>
      <c r="I2" s="170">
        <f>ROUNDUP(H2/1000,0)</f>
        <v>6</v>
      </c>
      <c r="J2" s="170">
        <v>350</v>
      </c>
      <c r="K2" s="170">
        <f t="shared" ref="K2:K17" si="0">J2*I2</f>
        <v>2100</v>
      </c>
    </row>
    <row r="3" spans="1:11">
      <c r="A3" s="38">
        <f>A2+1</f>
        <v>2</v>
      </c>
      <c r="B3" s="167" t="s">
        <v>750</v>
      </c>
      <c r="C3" s="168" t="s">
        <v>751</v>
      </c>
      <c r="D3" s="169" t="s">
        <v>752</v>
      </c>
      <c r="E3" s="360" t="s">
        <v>754</v>
      </c>
      <c r="F3" s="357">
        <v>200</v>
      </c>
      <c r="G3" s="357">
        <v>8</v>
      </c>
      <c r="H3" s="170">
        <f t="shared" ref="H3:H45" si="1">G3*F3</f>
        <v>1600</v>
      </c>
      <c r="I3" s="170">
        <f t="shared" ref="I3:I45" si="2">ROUNDUP(H3/1000,0)</f>
        <v>2</v>
      </c>
      <c r="J3" s="170">
        <v>350</v>
      </c>
      <c r="K3" s="170">
        <f t="shared" si="0"/>
        <v>700</v>
      </c>
    </row>
    <row r="4" spans="1:11">
      <c r="A4" s="38">
        <f t="shared" ref="A4:A52" si="3">A3+1</f>
        <v>3</v>
      </c>
      <c r="B4" s="167" t="s">
        <v>750</v>
      </c>
      <c r="C4" s="168" t="s">
        <v>751</v>
      </c>
      <c r="D4" s="169" t="s">
        <v>752</v>
      </c>
      <c r="E4" s="360" t="s">
        <v>693</v>
      </c>
      <c r="F4" s="357">
        <v>600</v>
      </c>
      <c r="G4" s="357">
        <v>2</v>
      </c>
      <c r="H4" s="170">
        <f t="shared" si="1"/>
        <v>1200</v>
      </c>
      <c r="I4" s="170">
        <f t="shared" si="2"/>
        <v>2</v>
      </c>
      <c r="J4" s="170">
        <v>350</v>
      </c>
      <c r="K4" s="170">
        <f t="shared" si="0"/>
        <v>700</v>
      </c>
    </row>
    <row r="5" spans="1:11">
      <c r="A5" s="38">
        <f t="shared" si="3"/>
        <v>4</v>
      </c>
      <c r="B5" s="167" t="s">
        <v>750</v>
      </c>
      <c r="C5" s="168" t="s">
        <v>751</v>
      </c>
      <c r="D5" s="169" t="s">
        <v>752</v>
      </c>
      <c r="E5" s="361" t="s">
        <v>380</v>
      </c>
      <c r="F5" s="358">
        <v>1000</v>
      </c>
      <c r="G5" s="357">
        <v>1</v>
      </c>
      <c r="H5" s="170">
        <f t="shared" si="1"/>
        <v>1000</v>
      </c>
      <c r="I5" s="170">
        <f t="shared" si="2"/>
        <v>1</v>
      </c>
      <c r="J5" s="170">
        <v>350</v>
      </c>
      <c r="K5" s="170">
        <f t="shared" si="0"/>
        <v>350</v>
      </c>
    </row>
    <row r="6" spans="1:11">
      <c r="A6" s="38">
        <f t="shared" si="3"/>
        <v>5</v>
      </c>
      <c r="B6" s="167" t="s">
        <v>750</v>
      </c>
      <c r="C6" s="168" t="s">
        <v>751</v>
      </c>
      <c r="D6" s="169" t="s">
        <v>752</v>
      </c>
      <c r="E6" s="362" t="s">
        <v>450</v>
      </c>
      <c r="F6" s="356">
        <v>850</v>
      </c>
      <c r="G6" s="357">
        <v>5</v>
      </c>
      <c r="H6" s="170">
        <f t="shared" si="1"/>
        <v>4250</v>
      </c>
      <c r="I6" s="170">
        <f t="shared" si="2"/>
        <v>5</v>
      </c>
      <c r="J6" s="170">
        <v>350</v>
      </c>
      <c r="K6" s="170">
        <f t="shared" si="0"/>
        <v>1750</v>
      </c>
    </row>
    <row r="7" spans="1:11">
      <c r="A7" s="38">
        <f t="shared" si="3"/>
        <v>6</v>
      </c>
      <c r="B7" s="167" t="s">
        <v>750</v>
      </c>
      <c r="C7" s="168" t="s">
        <v>751</v>
      </c>
      <c r="D7" s="169" t="s">
        <v>752</v>
      </c>
      <c r="E7" s="362" t="s">
        <v>412</v>
      </c>
      <c r="F7" s="358">
        <v>120</v>
      </c>
      <c r="G7" s="357">
        <v>8</v>
      </c>
      <c r="H7" s="170">
        <f t="shared" si="1"/>
        <v>960</v>
      </c>
      <c r="I7" s="170">
        <f t="shared" si="2"/>
        <v>1</v>
      </c>
      <c r="J7" s="170">
        <v>350</v>
      </c>
      <c r="K7" s="170">
        <f t="shared" si="0"/>
        <v>350</v>
      </c>
    </row>
    <row r="8" spans="1:11">
      <c r="A8" s="38">
        <f t="shared" si="3"/>
        <v>7</v>
      </c>
      <c r="B8" s="167" t="s">
        <v>750</v>
      </c>
      <c r="C8" s="168" t="s">
        <v>751</v>
      </c>
      <c r="D8" s="169" t="s">
        <v>752</v>
      </c>
      <c r="E8" s="362" t="s">
        <v>404</v>
      </c>
      <c r="F8" s="358">
        <v>450</v>
      </c>
      <c r="G8" s="357">
        <v>1</v>
      </c>
      <c r="H8" s="170">
        <f t="shared" si="1"/>
        <v>450</v>
      </c>
      <c r="I8" s="170">
        <f t="shared" si="2"/>
        <v>1</v>
      </c>
      <c r="J8" s="170">
        <v>350</v>
      </c>
      <c r="K8" s="170">
        <f t="shared" si="0"/>
        <v>350</v>
      </c>
    </row>
    <row r="9" spans="1:11">
      <c r="A9" s="38">
        <f t="shared" si="3"/>
        <v>8</v>
      </c>
      <c r="B9" s="167" t="s">
        <v>750</v>
      </c>
      <c r="C9" s="168" t="s">
        <v>751</v>
      </c>
      <c r="D9" s="169" t="s">
        <v>752</v>
      </c>
      <c r="E9" s="362" t="s">
        <v>312</v>
      </c>
      <c r="F9" s="356">
        <v>1000</v>
      </c>
      <c r="G9" s="357">
        <v>1</v>
      </c>
      <c r="H9" s="170">
        <f t="shared" si="1"/>
        <v>1000</v>
      </c>
      <c r="I9" s="170">
        <f t="shared" si="2"/>
        <v>1</v>
      </c>
      <c r="J9" s="170">
        <v>350</v>
      </c>
      <c r="K9" s="170">
        <f t="shared" si="0"/>
        <v>350</v>
      </c>
    </row>
    <row r="10" spans="1:11">
      <c r="A10" s="38">
        <f t="shared" si="3"/>
        <v>9</v>
      </c>
      <c r="B10" s="167" t="s">
        <v>750</v>
      </c>
      <c r="C10" s="168" t="s">
        <v>751</v>
      </c>
      <c r="D10" s="169" t="s">
        <v>752</v>
      </c>
      <c r="E10" s="362" t="s">
        <v>755</v>
      </c>
      <c r="F10" s="356">
        <v>390</v>
      </c>
      <c r="G10" s="357">
        <v>1</v>
      </c>
      <c r="H10" s="170">
        <f t="shared" si="1"/>
        <v>390</v>
      </c>
      <c r="I10" s="170">
        <f t="shared" si="2"/>
        <v>1</v>
      </c>
      <c r="J10" s="170">
        <v>350</v>
      </c>
      <c r="K10" s="170">
        <f t="shared" si="0"/>
        <v>350</v>
      </c>
    </row>
    <row r="11" spans="1:11">
      <c r="A11" s="38">
        <f t="shared" si="3"/>
        <v>10</v>
      </c>
      <c r="B11" s="167" t="s">
        <v>750</v>
      </c>
      <c r="C11" s="168" t="s">
        <v>751</v>
      </c>
      <c r="D11" s="169" t="s">
        <v>752</v>
      </c>
      <c r="E11" s="362" t="s">
        <v>620</v>
      </c>
      <c r="F11" s="356">
        <v>520</v>
      </c>
      <c r="G11" s="357">
        <v>1</v>
      </c>
      <c r="H11" s="170">
        <f t="shared" si="1"/>
        <v>520</v>
      </c>
      <c r="I11" s="170">
        <f t="shared" si="2"/>
        <v>1</v>
      </c>
      <c r="J11" s="170">
        <v>350</v>
      </c>
      <c r="K11" s="170">
        <f t="shared" si="0"/>
        <v>350</v>
      </c>
    </row>
    <row r="12" spans="1:11">
      <c r="A12" s="38">
        <f t="shared" si="3"/>
        <v>11</v>
      </c>
      <c r="B12" s="167" t="s">
        <v>750</v>
      </c>
      <c r="C12" s="168" t="s">
        <v>751</v>
      </c>
      <c r="D12" s="169" t="s">
        <v>752</v>
      </c>
      <c r="E12" s="362" t="s">
        <v>735</v>
      </c>
      <c r="F12" s="356">
        <v>390</v>
      </c>
      <c r="G12" s="357">
        <v>3</v>
      </c>
      <c r="H12" s="170">
        <f t="shared" si="1"/>
        <v>1170</v>
      </c>
      <c r="I12" s="170">
        <f t="shared" si="2"/>
        <v>2</v>
      </c>
      <c r="J12" s="170">
        <v>350</v>
      </c>
      <c r="K12" s="170">
        <f t="shared" si="0"/>
        <v>700</v>
      </c>
    </row>
    <row r="13" spans="1:11">
      <c r="A13" s="38">
        <f t="shared" si="3"/>
        <v>12</v>
      </c>
      <c r="B13" s="167" t="s">
        <v>750</v>
      </c>
      <c r="C13" s="168" t="s">
        <v>751</v>
      </c>
      <c r="D13" s="169" t="s">
        <v>752</v>
      </c>
      <c r="E13" s="362" t="s">
        <v>756</v>
      </c>
      <c r="F13" s="356">
        <v>300</v>
      </c>
      <c r="G13" s="357">
        <v>1</v>
      </c>
      <c r="H13" s="170">
        <f t="shared" si="1"/>
        <v>300</v>
      </c>
      <c r="I13" s="170">
        <f t="shared" si="2"/>
        <v>1</v>
      </c>
      <c r="J13" s="170">
        <v>350</v>
      </c>
      <c r="K13" s="170">
        <f t="shared" si="0"/>
        <v>350</v>
      </c>
    </row>
    <row r="14" spans="1:11" hidden="1">
      <c r="A14" s="38">
        <f t="shared" si="3"/>
        <v>13</v>
      </c>
      <c r="B14" s="167" t="s">
        <v>750</v>
      </c>
      <c r="C14" s="168" t="s">
        <v>751</v>
      </c>
      <c r="D14" s="169" t="s">
        <v>752</v>
      </c>
      <c r="E14" s="362"/>
      <c r="F14" s="356"/>
      <c r="G14" s="357"/>
      <c r="H14" s="170">
        <f t="shared" si="1"/>
        <v>0</v>
      </c>
      <c r="I14" s="170">
        <f t="shared" si="2"/>
        <v>0</v>
      </c>
      <c r="J14" s="170">
        <v>350</v>
      </c>
      <c r="K14" s="170">
        <f t="shared" si="0"/>
        <v>0</v>
      </c>
    </row>
    <row r="15" spans="1:11" hidden="1">
      <c r="A15" s="38">
        <f t="shared" si="3"/>
        <v>14</v>
      </c>
      <c r="B15" s="167" t="s">
        <v>750</v>
      </c>
      <c r="C15" s="168" t="s">
        <v>751</v>
      </c>
      <c r="D15" s="169" t="s">
        <v>752</v>
      </c>
      <c r="E15" s="362"/>
      <c r="F15" s="356"/>
      <c r="G15" s="357"/>
      <c r="H15" s="170">
        <f t="shared" si="1"/>
        <v>0</v>
      </c>
      <c r="I15" s="170">
        <f t="shared" si="2"/>
        <v>0</v>
      </c>
      <c r="J15" s="170">
        <v>350</v>
      </c>
      <c r="K15" s="170">
        <f t="shared" si="0"/>
        <v>0</v>
      </c>
    </row>
    <row r="16" spans="1:11" hidden="1">
      <c r="A16" s="38">
        <f t="shared" si="3"/>
        <v>15</v>
      </c>
      <c r="B16" s="167" t="s">
        <v>750</v>
      </c>
      <c r="C16" s="168" t="s">
        <v>751</v>
      </c>
      <c r="D16" s="169" t="s">
        <v>752</v>
      </c>
      <c r="E16" s="362"/>
      <c r="F16" s="358"/>
      <c r="G16" s="357"/>
      <c r="H16" s="170">
        <f t="shared" si="1"/>
        <v>0</v>
      </c>
      <c r="I16" s="170">
        <f t="shared" si="2"/>
        <v>0</v>
      </c>
      <c r="J16" s="170">
        <v>350</v>
      </c>
      <c r="K16" s="170">
        <f t="shared" si="0"/>
        <v>0</v>
      </c>
    </row>
    <row r="17" spans="1:11" hidden="1">
      <c r="A17" s="38">
        <f t="shared" si="3"/>
        <v>16</v>
      </c>
      <c r="B17" s="167" t="s">
        <v>750</v>
      </c>
      <c r="C17" s="168" t="s">
        <v>751</v>
      </c>
      <c r="D17" s="169" t="s">
        <v>752</v>
      </c>
      <c r="E17" s="362"/>
      <c r="F17" s="356"/>
      <c r="G17" s="357"/>
      <c r="H17" s="170">
        <f t="shared" si="1"/>
        <v>0</v>
      </c>
      <c r="I17" s="170">
        <f t="shared" si="2"/>
        <v>0</v>
      </c>
      <c r="J17" s="170">
        <v>350</v>
      </c>
      <c r="K17" s="170">
        <f t="shared" si="0"/>
        <v>0</v>
      </c>
    </row>
    <row r="18" spans="1:11" hidden="1">
      <c r="A18" s="38">
        <f t="shared" si="3"/>
        <v>17</v>
      </c>
      <c r="B18" s="167" t="s">
        <v>750</v>
      </c>
      <c r="C18" s="168" t="s">
        <v>751</v>
      </c>
      <c r="D18" s="169" t="s">
        <v>752</v>
      </c>
      <c r="E18" s="362"/>
      <c r="F18" s="356"/>
      <c r="G18" s="357"/>
      <c r="H18" s="170">
        <f t="shared" si="1"/>
        <v>0</v>
      </c>
      <c r="I18" s="170">
        <f t="shared" si="2"/>
        <v>0</v>
      </c>
      <c r="J18" s="170">
        <v>350</v>
      </c>
      <c r="K18" s="170">
        <f t="shared" ref="K18:K29" si="4">J18*I18</f>
        <v>0</v>
      </c>
    </row>
    <row r="19" spans="1:11" hidden="1">
      <c r="A19" s="38">
        <f t="shared" si="3"/>
        <v>18</v>
      </c>
      <c r="B19" s="167" t="s">
        <v>750</v>
      </c>
      <c r="C19" s="168" t="s">
        <v>751</v>
      </c>
      <c r="D19" s="169" t="s">
        <v>752</v>
      </c>
      <c r="E19" s="362"/>
      <c r="F19" s="358"/>
      <c r="G19" s="357"/>
      <c r="H19" s="170">
        <f t="shared" si="1"/>
        <v>0</v>
      </c>
      <c r="I19" s="170">
        <f t="shared" si="2"/>
        <v>0</v>
      </c>
      <c r="J19" s="170">
        <v>350</v>
      </c>
      <c r="K19" s="170">
        <f t="shared" si="4"/>
        <v>0</v>
      </c>
    </row>
    <row r="20" spans="1:11" hidden="1">
      <c r="A20" s="38">
        <f t="shared" si="3"/>
        <v>19</v>
      </c>
      <c r="B20" s="167" t="s">
        <v>750</v>
      </c>
      <c r="C20" s="168" t="s">
        <v>751</v>
      </c>
      <c r="D20" s="169" t="s">
        <v>752</v>
      </c>
      <c r="E20" s="362"/>
      <c r="F20" s="356"/>
      <c r="G20" s="357"/>
      <c r="H20" s="170">
        <f t="shared" si="1"/>
        <v>0</v>
      </c>
      <c r="I20" s="170">
        <f t="shared" si="2"/>
        <v>0</v>
      </c>
      <c r="J20" s="170">
        <v>350</v>
      </c>
      <c r="K20" s="170">
        <f t="shared" si="4"/>
        <v>0</v>
      </c>
    </row>
    <row r="21" spans="1:11" hidden="1">
      <c r="A21" s="38">
        <f t="shared" si="3"/>
        <v>20</v>
      </c>
      <c r="B21" s="167"/>
      <c r="C21" s="168"/>
      <c r="D21" s="169"/>
      <c r="E21" s="172"/>
      <c r="F21" s="170"/>
      <c r="G21" s="241"/>
      <c r="H21" s="170">
        <f t="shared" si="1"/>
        <v>0</v>
      </c>
      <c r="I21" s="170">
        <f t="shared" si="2"/>
        <v>0</v>
      </c>
      <c r="J21" s="170">
        <v>350</v>
      </c>
      <c r="K21" s="170">
        <f t="shared" si="4"/>
        <v>0</v>
      </c>
    </row>
    <row r="22" spans="1:11" hidden="1">
      <c r="A22" s="38">
        <f t="shared" si="3"/>
        <v>21</v>
      </c>
      <c r="B22" s="167"/>
      <c r="C22" s="168"/>
      <c r="D22" s="169"/>
      <c r="E22" s="172"/>
      <c r="F22" s="170"/>
      <c r="G22" s="241"/>
      <c r="H22" s="170">
        <f t="shared" si="1"/>
        <v>0</v>
      </c>
      <c r="I22" s="170">
        <f t="shared" si="2"/>
        <v>0</v>
      </c>
      <c r="J22" s="170">
        <v>350</v>
      </c>
      <c r="K22" s="170">
        <f t="shared" si="4"/>
        <v>0</v>
      </c>
    </row>
    <row r="23" spans="1:11" hidden="1">
      <c r="A23" s="38">
        <f t="shared" si="3"/>
        <v>22</v>
      </c>
      <c r="B23" s="167"/>
      <c r="C23" s="168"/>
      <c r="D23" s="169"/>
      <c r="E23" s="172"/>
      <c r="F23" s="170"/>
      <c r="G23" s="241"/>
      <c r="H23" s="170">
        <f t="shared" si="1"/>
        <v>0</v>
      </c>
      <c r="I23" s="170">
        <f t="shared" si="2"/>
        <v>0</v>
      </c>
      <c r="J23" s="170">
        <v>350</v>
      </c>
      <c r="K23" s="170">
        <f t="shared" si="4"/>
        <v>0</v>
      </c>
    </row>
    <row r="24" spans="1:11" hidden="1">
      <c r="A24" s="38">
        <f t="shared" si="3"/>
        <v>23</v>
      </c>
      <c r="B24" s="167"/>
      <c r="C24" s="168"/>
      <c r="D24" s="169"/>
      <c r="E24" s="172"/>
      <c r="F24" s="170"/>
      <c r="G24" s="241"/>
      <c r="H24" s="170">
        <f t="shared" si="1"/>
        <v>0</v>
      </c>
      <c r="I24" s="170">
        <f t="shared" si="2"/>
        <v>0</v>
      </c>
      <c r="J24" s="170">
        <v>350</v>
      </c>
      <c r="K24" s="170">
        <f t="shared" si="4"/>
        <v>0</v>
      </c>
    </row>
    <row r="25" spans="1:11" hidden="1">
      <c r="A25" s="38">
        <f t="shared" si="3"/>
        <v>24</v>
      </c>
      <c r="B25" s="167"/>
      <c r="C25" s="168"/>
      <c r="D25" s="169"/>
      <c r="E25" s="172"/>
      <c r="F25" s="170"/>
      <c r="G25" s="241"/>
      <c r="H25" s="170">
        <f t="shared" si="1"/>
        <v>0</v>
      </c>
      <c r="I25" s="170">
        <f t="shared" si="2"/>
        <v>0</v>
      </c>
      <c r="J25" s="170">
        <v>350</v>
      </c>
      <c r="K25" s="170">
        <f t="shared" si="4"/>
        <v>0</v>
      </c>
    </row>
    <row r="26" spans="1:11" hidden="1">
      <c r="A26" s="38">
        <f t="shared" si="3"/>
        <v>25</v>
      </c>
      <c r="B26" s="167"/>
      <c r="C26" s="168"/>
      <c r="D26" s="169"/>
      <c r="E26" s="172"/>
      <c r="F26" s="170"/>
      <c r="G26" s="241"/>
      <c r="H26" s="170">
        <f t="shared" si="1"/>
        <v>0</v>
      </c>
      <c r="I26" s="170">
        <f t="shared" si="2"/>
        <v>0</v>
      </c>
      <c r="J26" s="170">
        <v>350</v>
      </c>
      <c r="K26" s="170">
        <f t="shared" si="4"/>
        <v>0</v>
      </c>
    </row>
    <row r="27" spans="1:11" hidden="1">
      <c r="A27" s="38">
        <f t="shared" si="3"/>
        <v>26</v>
      </c>
      <c r="B27" s="167"/>
      <c r="C27" s="168"/>
      <c r="D27" s="169"/>
      <c r="E27" s="172"/>
      <c r="F27" s="170"/>
      <c r="G27" s="241"/>
      <c r="H27" s="170">
        <f t="shared" si="1"/>
        <v>0</v>
      </c>
      <c r="I27" s="170">
        <f t="shared" si="2"/>
        <v>0</v>
      </c>
      <c r="J27" s="170">
        <v>350</v>
      </c>
      <c r="K27" s="170">
        <f t="shared" si="4"/>
        <v>0</v>
      </c>
    </row>
    <row r="28" spans="1:11" hidden="1">
      <c r="A28" s="38">
        <f t="shared" si="3"/>
        <v>27</v>
      </c>
      <c r="B28" s="167"/>
      <c r="C28" s="168"/>
      <c r="D28" s="169"/>
      <c r="E28" s="172"/>
      <c r="F28" s="170"/>
      <c r="G28" s="241"/>
      <c r="H28" s="170">
        <f t="shared" si="1"/>
        <v>0</v>
      </c>
      <c r="I28" s="170">
        <f t="shared" si="2"/>
        <v>0</v>
      </c>
      <c r="J28" s="170">
        <v>350</v>
      </c>
      <c r="K28" s="170">
        <f t="shared" si="4"/>
        <v>0</v>
      </c>
    </row>
    <row r="29" spans="1:11" hidden="1">
      <c r="A29" s="38">
        <f t="shared" si="3"/>
        <v>28</v>
      </c>
      <c r="B29" s="167"/>
      <c r="C29" s="168"/>
      <c r="D29" s="169"/>
      <c r="E29" s="38"/>
      <c r="F29" s="170"/>
      <c r="G29" s="241"/>
      <c r="H29" s="170">
        <f t="shared" si="1"/>
        <v>0</v>
      </c>
      <c r="I29" s="170">
        <f t="shared" si="2"/>
        <v>0</v>
      </c>
      <c r="J29" s="170">
        <v>350</v>
      </c>
      <c r="K29" s="170">
        <f t="shared" si="4"/>
        <v>0</v>
      </c>
    </row>
    <row r="30" spans="1:11" hidden="1">
      <c r="A30" s="38">
        <f t="shared" si="3"/>
        <v>29</v>
      </c>
      <c r="B30" s="167"/>
      <c r="C30" s="168"/>
      <c r="D30" s="169"/>
      <c r="E30" s="38"/>
      <c r="F30" s="170"/>
      <c r="G30" s="241"/>
      <c r="H30" s="170">
        <f>G30*F30</f>
        <v>0</v>
      </c>
      <c r="I30" s="170">
        <f>ROUNDUP(H30/1000,0)</f>
        <v>0</v>
      </c>
      <c r="J30" s="170">
        <v>350</v>
      </c>
      <c r="K30" s="170">
        <f>J30*I30</f>
        <v>0</v>
      </c>
    </row>
    <row r="31" spans="1:11" hidden="1">
      <c r="A31" s="38">
        <f t="shared" si="3"/>
        <v>30</v>
      </c>
      <c r="B31" s="167"/>
      <c r="C31" s="168"/>
      <c r="D31" s="169"/>
      <c r="E31" s="38"/>
      <c r="F31" s="170"/>
      <c r="G31" s="241"/>
      <c r="H31" s="170">
        <f t="shared" si="1"/>
        <v>0</v>
      </c>
      <c r="I31" s="170">
        <f t="shared" si="2"/>
        <v>0</v>
      </c>
      <c r="J31" s="170">
        <v>350</v>
      </c>
      <c r="K31" s="170">
        <f>J31*I31</f>
        <v>0</v>
      </c>
    </row>
    <row r="32" spans="1:11" hidden="1">
      <c r="A32" s="38">
        <f t="shared" si="3"/>
        <v>31</v>
      </c>
      <c r="B32" s="167"/>
      <c r="C32" s="168"/>
      <c r="D32" s="169"/>
      <c r="E32" s="38"/>
      <c r="F32" s="170"/>
      <c r="G32" s="241"/>
      <c r="H32" s="170">
        <f t="shared" si="1"/>
        <v>0</v>
      </c>
      <c r="I32" s="170">
        <f t="shared" si="2"/>
        <v>0</v>
      </c>
      <c r="J32" s="170">
        <v>350</v>
      </c>
      <c r="K32" s="170">
        <f>J32*I32</f>
        <v>0</v>
      </c>
    </row>
    <row r="33" spans="1:11" hidden="1">
      <c r="A33" s="38">
        <f t="shared" si="3"/>
        <v>32</v>
      </c>
      <c r="B33" s="167"/>
      <c r="C33" s="168"/>
      <c r="D33" s="169"/>
      <c r="E33" s="38"/>
      <c r="F33" s="170"/>
      <c r="G33" s="241"/>
      <c r="H33" s="170">
        <f t="shared" si="1"/>
        <v>0</v>
      </c>
      <c r="I33" s="170">
        <f t="shared" si="2"/>
        <v>0</v>
      </c>
      <c r="J33" s="170">
        <v>350</v>
      </c>
      <c r="K33" s="170">
        <f>J33*I33</f>
        <v>0</v>
      </c>
    </row>
    <row r="34" spans="1:11" hidden="1">
      <c r="A34" s="38">
        <f t="shared" si="3"/>
        <v>33</v>
      </c>
      <c r="B34" s="167"/>
      <c r="C34" s="168"/>
      <c r="D34" s="169"/>
      <c r="E34" s="38"/>
      <c r="F34" s="170"/>
      <c r="G34" s="241"/>
      <c r="H34" s="170">
        <f t="shared" si="1"/>
        <v>0</v>
      </c>
      <c r="I34" s="170">
        <f t="shared" si="2"/>
        <v>0</v>
      </c>
      <c r="J34" s="170">
        <v>350</v>
      </c>
      <c r="K34" s="170">
        <f t="shared" ref="K34:K42" si="5">J34*I34</f>
        <v>0</v>
      </c>
    </row>
    <row r="35" spans="1:11" hidden="1">
      <c r="A35" s="38">
        <f t="shared" si="3"/>
        <v>34</v>
      </c>
      <c r="B35" s="167"/>
      <c r="C35" s="168"/>
      <c r="D35" s="169"/>
      <c r="E35" s="38"/>
      <c r="F35" s="170"/>
      <c r="G35" s="241"/>
      <c r="H35" s="170">
        <f t="shared" si="1"/>
        <v>0</v>
      </c>
      <c r="I35" s="170">
        <f t="shared" si="2"/>
        <v>0</v>
      </c>
      <c r="J35" s="170">
        <v>350</v>
      </c>
      <c r="K35" s="170">
        <f t="shared" si="5"/>
        <v>0</v>
      </c>
    </row>
    <row r="36" spans="1:11" hidden="1">
      <c r="A36" s="38">
        <f t="shared" si="3"/>
        <v>35</v>
      </c>
      <c r="B36" s="167"/>
      <c r="C36" s="168"/>
      <c r="D36" s="169"/>
      <c r="E36" s="38"/>
      <c r="F36" s="170"/>
      <c r="G36" s="241"/>
      <c r="H36" s="170">
        <f t="shared" si="1"/>
        <v>0</v>
      </c>
      <c r="I36" s="170">
        <f t="shared" si="2"/>
        <v>0</v>
      </c>
      <c r="J36" s="170">
        <v>350</v>
      </c>
      <c r="K36" s="170">
        <f t="shared" si="5"/>
        <v>0</v>
      </c>
    </row>
    <row r="37" spans="1:11" hidden="1">
      <c r="A37" s="38">
        <f t="shared" si="3"/>
        <v>36</v>
      </c>
      <c r="B37" s="167"/>
      <c r="C37" s="168"/>
      <c r="D37" s="169"/>
      <c r="E37" s="38"/>
      <c r="F37" s="170"/>
      <c r="G37" s="241"/>
      <c r="H37" s="170">
        <f t="shared" si="1"/>
        <v>0</v>
      </c>
      <c r="I37" s="170">
        <f t="shared" si="2"/>
        <v>0</v>
      </c>
      <c r="J37" s="170">
        <v>350</v>
      </c>
      <c r="K37" s="170">
        <f t="shared" si="5"/>
        <v>0</v>
      </c>
    </row>
    <row r="38" spans="1:11" hidden="1">
      <c r="A38" s="38">
        <f t="shared" si="3"/>
        <v>37</v>
      </c>
      <c r="B38" s="167"/>
      <c r="C38" s="168"/>
      <c r="D38" s="169"/>
      <c r="E38" s="38"/>
      <c r="F38" s="170"/>
      <c r="G38" s="241"/>
      <c r="H38" s="170">
        <f t="shared" si="1"/>
        <v>0</v>
      </c>
      <c r="I38" s="170">
        <f t="shared" si="2"/>
        <v>0</v>
      </c>
      <c r="J38" s="170">
        <v>350</v>
      </c>
      <c r="K38" s="170">
        <f t="shared" si="5"/>
        <v>0</v>
      </c>
    </row>
    <row r="39" spans="1:11" hidden="1">
      <c r="A39" s="38">
        <f t="shared" si="3"/>
        <v>38</v>
      </c>
      <c r="B39" s="167"/>
      <c r="C39" s="168"/>
      <c r="D39" s="169"/>
      <c r="E39" s="38"/>
      <c r="F39" s="170"/>
      <c r="G39" s="241"/>
      <c r="H39" s="170">
        <f t="shared" si="1"/>
        <v>0</v>
      </c>
      <c r="I39" s="170">
        <f t="shared" si="2"/>
        <v>0</v>
      </c>
      <c r="J39" s="170">
        <v>350</v>
      </c>
      <c r="K39" s="170">
        <f t="shared" si="5"/>
        <v>0</v>
      </c>
    </row>
    <row r="40" spans="1:11" hidden="1">
      <c r="A40" s="38">
        <f t="shared" si="3"/>
        <v>39</v>
      </c>
      <c r="B40" s="167"/>
      <c r="C40" s="168"/>
      <c r="D40" s="169"/>
      <c r="E40" s="38"/>
      <c r="F40" s="170"/>
      <c r="G40" s="241"/>
      <c r="H40" s="170">
        <f t="shared" si="1"/>
        <v>0</v>
      </c>
      <c r="I40" s="170">
        <f t="shared" si="2"/>
        <v>0</v>
      </c>
      <c r="J40" s="170">
        <v>350</v>
      </c>
      <c r="K40" s="170">
        <f t="shared" si="5"/>
        <v>0</v>
      </c>
    </row>
    <row r="41" spans="1:11" hidden="1">
      <c r="A41" s="38">
        <f t="shared" si="3"/>
        <v>40</v>
      </c>
      <c r="B41" s="167"/>
      <c r="C41" s="168"/>
      <c r="D41" s="169"/>
      <c r="E41" s="38"/>
      <c r="F41" s="170"/>
      <c r="G41" s="241"/>
      <c r="H41" s="170">
        <f t="shared" si="1"/>
        <v>0</v>
      </c>
      <c r="I41" s="170">
        <f t="shared" si="2"/>
        <v>0</v>
      </c>
      <c r="J41" s="170">
        <v>350</v>
      </c>
      <c r="K41" s="170">
        <f t="shared" si="5"/>
        <v>0</v>
      </c>
    </row>
    <row r="42" spans="1:11" hidden="1">
      <c r="A42" s="38">
        <f t="shared" si="3"/>
        <v>41</v>
      </c>
      <c r="B42" s="167"/>
      <c r="C42" s="168"/>
      <c r="D42" s="169"/>
      <c r="E42" s="38"/>
      <c r="F42" s="170"/>
      <c r="G42" s="241"/>
      <c r="H42" s="170">
        <f t="shared" si="1"/>
        <v>0</v>
      </c>
      <c r="I42" s="170">
        <f t="shared" si="2"/>
        <v>0</v>
      </c>
      <c r="J42" s="170">
        <v>350</v>
      </c>
      <c r="K42" s="170">
        <f t="shared" si="5"/>
        <v>0</v>
      </c>
    </row>
    <row r="43" spans="1:11" hidden="1">
      <c r="A43" s="38">
        <f t="shared" si="3"/>
        <v>42</v>
      </c>
      <c r="B43" s="167"/>
      <c r="C43" s="168"/>
      <c r="D43" s="169"/>
      <c r="E43" s="38"/>
      <c r="F43" s="170"/>
      <c r="G43" s="241"/>
      <c r="H43" s="170">
        <f t="shared" si="1"/>
        <v>0</v>
      </c>
      <c r="I43" s="170">
        <f t="shared" si="2"/>
        <v>0</v>
      </c>
      <c r="J43" s="170">
        <v>350</v>
      </c>
      <c r="K43" s="170">
        <f>J43*I43</f>
        <v>0</v>
      </c>
    </row>
    <row r="44" spans="1:11" hidden="1">
      <c r="A44" s="38">
        <f t="shared" si="3"/>
        <v>43</v>
      </c>
      <c r="B44" s="167"/>
      <c r="C44" s="168"/>
      <c r="D44" s="169"/>
      <c r="E44" s="38"/>
      <c r="F44" s="170"/>
      <c r="G44" s="241"/>
      <c r="H44" s="170">
        <f t="shared" si="1"/>
        <v>0</v>
      </c>
      <c r="I44" s="170">
        <f t="shared" si="2"/>
        <v>0</v>
      </c>
      <c r="J44" s="170">
        <v>350</v>
      </c>
      <c r="K44" s="170">
        <f t="shared" ref="K44:K49" si="6">J44*I44</f>
        <v>0</v>
      </c>
    </row>
    <row r="45" spans="1:11" hidden="1">
      <c r="A45" s="38">
        <f t="shared" si="3"/>
        <v>44</v>
      </c>
      <c r="B45" s="167"/>
      <c r="C45" s="168"/>
      <c r="D45" s="169"/>
      <c r="E45" s="38"/>
      <c r="F45" s="170"/>
      <c r="G45" s="241"/>
      <c r="H45" s="170">
        <f t="shared" si="1"/>
        <v>0</v>
      </c>
      <c r="I45" s="170">
        <f t="shared" si="2"/>
        <v>0</v>
      </c>
      <c r="J45" s="170">
        <v>350</v>
      </c>
      <c r="K45" s="170">
        <f t="shared" si="6"/>
        <v>0</v>
      </c>
    </row>
    <row r="46" spans="1:11" hidden="1">
      <c r="A46" s="38">
        <f>A30+1</f>
        <v>30</v>
      </c>
      <c r="B46" s="167"/>
      <c r="C46" s="168"/>
      <c r="D46" s="169"/>
      <c r="E46" s="38"/>
      <c r="F46" s="170"/>
      <c r="G46" s="241"/>
      <c r="H46" s="170"/>
      <c r="I46" s="170"/>
      <c r="J46" s="170"/>
      <c r="K46" s="170">
        <f t="shared" si="6"/>
        <v>0</v>
      </c>
    </row>
    <row r="47" spans="1:11" hidden="1">
      <c r="A47" s="38">
        <f t="shared" si="3"/>
        <v>31</v>
      </c>
      <c r="B47" s="167"/>
      <c r="C47" s="168"/>
      <c r="D47" s="169"/>
      <c r="E47" s="38"/>
      <c r="F47" s="170"/>
      <c r="G47" s="241"/>
      <c r="H47" s="170"/>
      <c r="I47" s="170"/>
      <c r="J47" s="170"/>
      <c r="K47" s="170">
        <f t="shared" si="6"/>
        <v>0</v>
      </c>
    </row>
    <row r="48" spans="1:11" hidden="1">
      <c r="A48" s="38">
        <f t="shared" si="3"/>
        <v>32</v>
      </c>
      <c r="B48" s="167"/>
      <c r="C48" s="168"/>
      <c r="D48" s="169"/>
      <c r="E48" s="38"/>
      <c r="F48" s="170"/>
      <c r="G48" s="241"/>
      <c r="H48" s="170"/>
      <c r="I48" s="170"/>
      <c r="J48" s="170"/>
      <c r="K48" s="170">
        <f t="shared" si="6"/>
        <v>0</v>
      </c>
    </row>
    <row r="49" spans="1:11" hidden="1">
      <c r="A49" s="38">
        <f t="shared" si="3"/>
        <v>33</v>
      </c>
      <c r="B49" s="167"/>
      <c r="C49" s="168"/>
      <c r="D49" s="169"/>
      <c r="E49" s="38"/>
      <c r="F49" s="170"/>
      <c r="G49" s="241"/>
      <c r="H49" s="170"/>
      <c r="I49" s="170"/>
      <c r="J49" s="170"/>
      <c r="K49" s="170">
        <f t="shared" si="6"/>
        <v>0</v>
      </c>
    </row>
    <row r="50" spans="1:11" hidden="1">
      <c r="A50" s="38">
        <f t="shared" si="3"/>
        <v>34</v>
      </c>
      <c r="B50" s="167"/>
      <c r="C50" s="168"/>
      <c r="D50" s="169"/>
      <c r="E50" s="38"/>
      <c r="F50" s="170"/>
      <c r="G50" s="241"/>
      <c r="H50" s="170"/>
      <c r="I50" s="170"/>
      <c r="J50" s="170"/>
      <c r="K50" s="170"/>
    </row>
    <row r="51" spans="1:11" hidden="1">
      <c r="A51" s="38">
        <f t="shared" si="3"/>
        <v>35</v>
      </c>
      <c r="B51" s="167"/>
      <c r="C51" s="168"/>
      <c r="D51" s="169"/>
      <c r="E51" s="38"/>
      <c r="F51" s="170"/>
      <c r="G51" s="241"/>
      <c r="H51" s="170"/>
      <c r="I51" s="170"/>
      <c r="J51" s="170"/>
      <c r="K51" s="170"/>
    </row>
    <row r="52" spans="1:11" hidden="1">
      <c r="A52" s="38">
        <f t="shared" si="3"/>
        <v>36</v>
      </c>
      <c r="B52" s="167"/>
      <c r="C52" s="168"/>
      <c r="D52" s="169"/>
      <c r="E52" s="38"/>
      <c r="F52" s="170"/>
      <c r="G52" s="241"/>
      <c r="H52" s="170"/>
      <c r="I52" s="170"/>
      <c r="J52" s="170"/>
      <c r="K52" s="170">
        <f>J52*I52</f>
        <v>0</v>
      </c>
    </row>
    <row r="53" spans="1:11">
      <c r="A53" s="469" t="s">
        <v>676</v>
      </c>
      <c r="B53" s="470"/>
      <c r="C53" s="470"/>
      <c r="D53" s="470"/>
      <c r="E53" s="470"/>
      <c r="F53" s="470"/>
      <c r="G53" s="470"/>
      <c r="H53" s="470"/>
      <c r="I53" s="470"/>
      <c r="J53" s="470"/>
      <c r="K53" s="171">
        <f>SUM(K2:K52)</f>
        <v>8400</v>
      </c>
    </row>
    <row r="54" spans="1:11">
      <c r="A54" s="348" t="s">
        <v>757</v>
      </c>
    </row>
  </sheetData>
  <mergeCells count="1">
    <mergeCell ref="A53:J53"/>
  </mergeCells>
  <phoneticPr fontId="2" type="noConversion"/>
  <pageMargins left="0.7" right="0.7" top="0.75" bottom="0.75" header="0.3" footer="0.3"/>
  <pageSetup paperSize="9" orientation="portrait" verticalDpi="203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A1:U398"/>
  <sheetViews>
    <sheetView showGridLines="0" tabSelected="1" topLeftCell="H1" zoomScale="85" zoomScaleNormal="85" workbookViewId="0">
      <pane ySplit="2" topLeftCell="C3" activePane="bottomLeft" state="frozen"/>
      <selection pane="bottomLeft" activeCell="P30" sqref="P30"/>
    </sheetView>
  </sheetViews>
  <sheetFormatPr defaultColWidth="9" defaultRowHeight="17.25"/>
  <cols>
    <col min="1" max="1" width="4.5" bestFit="1" customWidth="1"/>
    <col min="2" max="2" width="11.375" customWidth="1"/>
    <col min="3" max="4" width="8.875" style="18" bestFit="1" customWidth="1"/>
    <col min="5" max="5" width="18.5" style="53" bestFit="1" customWidth="1"/>
    <col min="6" max="6" width="15.875" customWidth="1"/>
    <col min="7" max="7" width="8" customWidth="1"/>
    <col min="8" max="8" width="11.625" bestFit="1" customWidth="1"/>
    <col min="9" max="9" width="14.125" style="53" customWidth="1"/>
    <col min="10" max="10" width="56.75" customWidth="1"/>
    <col min="11" max="11" width="4.75" customWidth="1"/>
    <col min="12" max="12" width="12" style="53" bestFit="1" customWidth="1"/>
    <col min="13" max="13" width="53.375" customWidth="1"/>
    <col min="14" max="14" width="4.75" customWidth="1"/>
    <col min="15" max="15" width="13.125" style="53" customWidth="1"/>
    <col min="16" max="16" width="12.75" style="96" customWidth="1"/>
    <col min="17" max="18" width="9.75" style="96" bestFit="1" customWidth="1"/>
    <col min="19" max="19" width="10.5" style="96" bestFit="1" customWidth="1"/>
    <col min="20" max="20" width="0.875" customWidth="1"/>
  </cols>
  <sheetData>
    <row r="1" spans="1:19" ht="29.25" customHeight="1">
      <c r="A1" s="39" t="s">
        <v>739</v>
      </c>
      <c r="B1" s="40" t="s">
        <v>742</v>
      </c>
      <c r="C1" s="39" t="s">
        <v>758</v>
      </c>
      <c r="D1" s="39" t="s">
        <v>759</v>
      </c>
      <c r="E1" s="97" t="s">
        <v>760</v>
      </c>
      <c r="F1" s="97" t="s">
        <v>761</v>
      </c>
      <c r="G1" s="39" t="s">
        <v>762</v>
      </c>
      <c r="H1" s="39" t="s">
        <v>763</v>
      </c>
      <c r="I1" s="97" t="s">
        <v>764</v>
      </c>
      <c r="J1" s="39" t="s">
        <v>765</v>
      </c>
      <c r="K1" s="39" t="s">
        <v>766</v>
      </c>
      <c r="L1" s="305" t="s">
        <v>764</v>
      </c>
      <c r="M1" s="39" t="s">
        <v>767</v>
      </c>
      <c r="N1" s="39" t="s">
        <v>766</v>
      </c>
      <c r="O1" s="97" t="s">
        <v>768</v>
      </c>
      <c r="P1" s="98" t="s">
        <v>769</v>
      </c>
      <c r="Q1" s="99" t="s">
        <v>770</v>
      </c>
      <c r="R1" s="99" t="s">
        <v>771</v>
      </c>
      <c r="S1" s="100" t="s">
        <v>772</v>
      </c>
    </row>
    <row r="2" spans="1:19" ht="16.5">
      <c r="A2" s="38">
        <v>1</v>
      </c>
      <c r="B2" s="38" t="s">
        <v>752</v>
      </c>
      <c r="C2" s="102" t="s">
        <v>773</v>
      </c>
      <c r="D2" s="102" t="s">
        <v>774</v>
      </c>
      <c r="E2" s="103">
        <v>302039570153</v>
      </c>
      <c r="F2" s="283" t="s">
        <v>775</v>
      </c>
      <c r="G2" s="51" t="s">
        <v>776</v>
      </c>
      <c r="H2" s="38" t="s">
        <v>777</v>
      </c>
      <c r="I2" s="304">
        <v>201978000062</v>
      </c>
      <c r="J2" s="181" t="s">
        <v>778</v>
      </c>
      <c r="K2" s="105">
        <v>5</v>
      </c>
      <c r="L2" s="104"/>
      <c r="M2" s="105"/>
      <c r="N2" s="105"/>
      <c r="O2" s="104">
        <v>302039810264</v>
      </c>
      <c r="P2" s="347"/>
      <c r="Q2" s="208">
        <v>2475</v>
      </c>
      <c r="R2" s="208">
        <v>231</v>
      </c>
      <c r="S2" s="52">
        <f t="shared" ref="S2:S69" si="0">SUM(P2:R2)</f>
        <v>2706</v>
      </c>
    </row>
    <row r="3" spans="1:19" ht="16.5">
      <c r="A3" s="38">
        <f>A2+1</f>
        <v>2</v>
      </c>
      <c r="B3" s="38" t="s">
        <v>752</v>
      </c>
      <c r="C3" s="102" t="s">
        <v>773</v>
      </c>
      <c r="D3" s="102" t="s">
        <v>774</v>
      </c>
      <c r="E3" s="103">
        <v>302039571973</v>
      </c>
      <c r="F3" s="283" t="s">
        <v>779</v>
      </c>
      <c r="G3" s="51" t="s">
        <v>776</v>
      </c>
      <c r="H3" s="38" t="s">
        <v>777</v>
      </c>
      <c r="I3" s="304">
        <v>201987000206</v>
      </c>
      <c r="J3" s="102" t="s">
        <v>780</v>
      </c>
      <c r="K3" s="105">
        <v>1</v>
      </c>
      <c r="L3" s="104"/>
      <c r="M3" s="105"/>
      <c r="N3" s="105"/>
      <c r="O3" s="104">
        <v>302039810290</v>
      </c>
      <c r="P3" s="208"/>
      <c r="Q3" s="380">
        <v>2750</v>
      </c>
      <c r="R3" s="380">
        <v>1485</v>
      </c>
      <c r="S3" s="374">
        <f t="shared" si="0"/>
        <v>4235</v>
      </c>
    </row>
    <row r="4" spans="1:19" ht="16.5">
      <c r="A4" s="38">
        <f t="shared" ref="A4:A97" si="1">A3+1</f>
        <v>3</v>
      </c>
      <c r="B4" s="38" t="s">
        <v>752</v>
      </c>
      <c r="C4" s="102" t="s">
        <v>773</v>
      </c>
      <c r="D4" s="102" t="s">
        <v>774</v>
      </c>
      <c r="E4" s="103">
        <v>302039571973</v>
      </c>
      <c r="F4" s="283" t="s">
        <v>779</v>
      </c>
      <c r="G4" s="51" t="s">
        <v>776</v>
      </c>
      <c r="H4" s="38" t="s">
        <v>777</v>
      </c>
      <c r="I4" s="304">
        <v>201978000041</v>
      </c>
      <c r="J4" s="181" t="s">
        <v>302</v>
      </c>
      <c r="K4" s="105">
        <v>2</v>
      </c>
      <c r="L4" s="104"/>
      <c r="M4" s="105"/>
      <c r="N4" s="105"/>
      <c r="O4" s="104">
        <v>302039810290</v>
      </c>
      <c r="P4" s="208"/>
      <c r="Q4" s="381"/>
      <c r="R4" s="381"/>
      <c r="S4" s="376"/>
    </row>
    <row r="5" spans="1:19" ht="16.5">
      <c r="A5" s="38">
        <f t="shared" si="1"/>
        <v>4</v>
      </c>
      <c r="B5" s="38" t="s">
        <v>752</v>
      </c>
      <c r="C5" s="102" t="s">
        <v>773</v>
      </c>
      <c r="D5" s="102" t="s">
        <v>781</v>
      </c>
      <c r="E5" s="103">
        <v>302039515516</v>
      </c>
      <c r="F5" s="283" t="s">
        <v>782</v>
      </c>
      <c r="G5" s="51" t="s">
        <v>776</v>
      </c>
      <c r="H5" s="38" t="s">
        <v>777</v>
      </c>
      <c r="I5" s="304">
        <v>201987000207</v>
      </c>
      <c r="J5" s="102" t="s">
        <v>783</v>
      </c>
      <c r="K5" s="105">
        <v>1</v>
      </c>
      <c r="L5" s="104"/>
      <c r="M5" s="105"/>
      <c r="N5" s="105"/>
      <c r="O5" s="104">
        <v>302039810301</v>
      </c>
      <c r="P5" s="208"/>
      <c r="Q5" s="208">
        <v>2750</v>
      </c>
      <c r="R5" s="208">
        <v>1320</v>
      </c>
      <c r="S5" s="52">
        <f t="shared" si="0"/>
        <v>4070</v>
      </c>
    </row>
    <row r="6" spans="1:19" ht="16.5">
      <c r="A6" s="38">
        <f t="shared" si="1"/>
        <v>5</v>
      </c>
      <c r="B6" s="38" t="s">
        <v>752</v>
      </c>
      <c r="C6" s="102" t="s">
        <v>784</v>
      </c>
      <c r="D6" s="102" t="s">
        <v>785</v>
      </c>
      <c r="E6" s="103">
        <v>302039606656</v>
      </c>
      <c r="F6" s="283" t="s">
        <v>786</v>
      </c>
      <c r="G6" s="51" t="s">
        <v>776</v>
      </c>
      <c r="H6" s="38" t="s">
        <v>777</v>
      </c>
      <c r="I6" s="304">
        <v>201978000068</v>
      </c>
      <c r="J6" s="102" t="s">
        <v>401</v>
      </c>
      <c r="K6" s="105">
        <v>2</v>
      </c>
      <c r="L6" s="104"/>
      <c r="M6" s="105"/>
      <c r="N6" s="105"/>
      <c r="O6" s="104">
        <v>302039889843</v>
      </c>
      <c r="P6" s="208"/>
      <c r="Q6" s="208">
        <v>2750</v>
      </c>
      <c r="R6" s="208">
        <v>1485</v>
      </c>
      <c r="S6" s="52">
        <f t="shared" si="0"/>
        <v>4235</v>
      </c>
    </row>
    <row r="7" spans="1:19" ht="16.5">
      <c r="A7" s="38">
        <f t="shared" si="1"/>
        <v>6</v>
      </c>
      <c r="B7" s="38" t="s">
        <v>752</v>
      </c>
      <c r="C7" s="102" t="s">
        <v>787</v>
      </c>
      <c r="D7" s="102" t="s">
        <v>774</v>
      </c>
      <c r="E7" s="103">
        <v>302039565544</v>
      </c>
      <c r="F7" s="283" t="s">
        <v>788</v>
      </c>
      <c r="G7" s="51" t="s">
        <v>776</v>
      </c>
      <c r="H7" s="38" t="s">
        <v>777</v>
      </c>
      <c r="I7" s="304">
        <v>201978000062</v>
      </c>
      <c r="J7" s="181" t="s">
        <v>778</v>
      </c>
      <c r="K7" s="105">
        <v>5</v>
      </c>
      <c r="L7" s="104"/>
      <c r="M7" s="105"/>
      <c r="N7" s="105"/>
      <c r="O7" s="104">
        <v>302039965992</v>
      </c>
      <c r="P7" s="208"/>
      <c r="Q7" s="208">
        <v>2970</v>
      </c>
      <c r="R7" s="208">
        <v>231</v>
      </c>
      <c r="S7" s="52">
        <f t="shared" si="0"/>
        <v>3201</v>
      </c>
    </row>
    <row r="8" spans="1:19" ht="16.5">
      <c r="A8" s="38">
        <f t="shared" si="1"/>
        <v>7</v>
      </c>
      <c r="B8" s="38" t="s">
        <v>752</v>
      </c>
      <c r="C8" s="102" t="s">
        <v>787</v>
      </c>
      <c r="D8" s="102" t="s">
        <v>789</v>
      </c>
      <c r="E8" s="103">
        <v>302053303781</v>
      </c>
      <c r="F8" s="283" t="s">
        <v>790</v>
      </c>
      <c r="G8" s="51" t="s">
        <v>776</v>
      </c>
      <c r="H8" s="38" t="s">
        <v>777</v>
      </c>
      <c r="I8" s="304">
        <v>201991000106</v>
      </c>
      <c r="J8" s="181" t="s">
        <v>791</v>
      </c>
      <c r="K8" s="105">
        <v>8</v>
      </c>
      <c r="L8" s="104"/>
      <c r="M8" s="105"/>
      <c r="N8" s="105"/>
      <c r="O8" s="104">
        <v>302053429803</v>
      </c>
      <c r="P8" s="208"/>
      <c r="Q8" s="208">
        <v>3795</v>
      </c>
      <c r="R8" s="208">
        <v>1540</v>
      </c>
      <c r="S8" s="52">
        <f t="shared" si="0"/>
        <v>5335</v>
      </c>
    </row>
    <row r="9" spans="1:19" ht="16.5">
      <c r="A9" s="38">
        <f t="shared" si="1"/>
        <v>8</v>
      </c>
      <c r="B9" s="38" t="s">
        <v>752</v>
      </c>
      <c r="C9" s="102" t="s">
        <v>787</v>
      </c>
      <c r="D9" s="102" t="s">
        <v>785</v>
      </c>
      <c r="E9" s="103">
        <v>302053244303</v>
      </c>
      <c r="F9" s="283" t="s">
        <v>792</v>
      </c>
      <c r="G9" s="51" t="s">
        <v>776</v>
      </c>
      <c r="H9" s="38" t="s">
        <v>777</v>
      </c>
      <c r="I9" s="304">
        <v>201978000045</v>
      </c>
      <c r="J9" s="181" t="s">
        <v>398</v>
      </c>
      <c r="K9" s="105">
        <v>1</v>
      </c>
      <c r="L9" s="104"/>
      <c r="M9" s="105"/>
      <c r="N9" s="105"/>
      <c r="O9" s="104">
        <v>302053430260</v>
      </c>
      <c r="P9" s="208"/>
      <c r="Q9" s="208">
        <v>2750</v>
      </c>
      <c r="R9" s="208">
        <v>1485</v>
      </c>
      <c r="S9" s="52">
        <f t="shared" si="0"/>
        <v>4235</v>
      </c>
    </row>
    <row r="10" spans="1:19" ht="16.5">
      <c r="A10" s="38">
        <f t="shared" si="1"/>
        <v>9</v>
      </c>
      <c r="B10" s="38" t="s">
        <v>752</v>
      </c>
      <c r="C10" s="102" t="s">
        <v>787</v>
      </c>
      <c r="D10" s="102" t="s">
        <v>793</v>
      </c>
      <c r="E10" s="103">
        <v>302053347225</v>
      </c>
      <c r="F10" s="283" t="s">
        <v>794</v>
      </c>
      <c r="G10" s="51" t="s">
        <v>776</v>
      </c>
      <c r="H10" s="38" t="s">
        <v>777</v>
      </c>
      <c r="I10" s="304">
        <v>201978000126</v>
      </c>
      <c r="J10" s="181" t="s">
        <v>404</v>
      </c>
      <c r="K10" s="105">
        <v>1</v>
      </c>
      <c r="L10" s="104"/>
      <c r="M10" s="105"/>
      <c r="N10" s="105"/>
      <c r="O10" s="104">
        <v>302053430293</v>
      </c>
      <c r="P10" s="208"/>
      <c r="Q10" s="208">
        <v>2970</v>
      </c>
      <c r="R10" s="208">
        <v>231</v>
      </c>
      <c r="S10" s="52">
        <f t="shared" si="0"/>
        <v>3201</v>
      </c>
    </row>
    <row r="11" spans="1:19" ht="16.5">
      <c r="A11" s="38">
        <f t="shared" si="1"/>
        <v>10</v>
      </c>
      <c r="B11" s="38" t="s">
        <v>752</v>
      </c>
      <c r="C11" s="102" t="s">
        <v>787</v>
      </c>
      <c r="D11" s="102" t="s">
        <v>793</v>
      </c>
      <c r="E11" s="103">
        <v>302053339816</v>
      </c>
      <c r="F11" s="283" t="s">
        <v>795</v>
      </c>
      <c r="G11" s="51" t="s">
        <v>776</v>
      </c>
      <c r="H11" s="38" t="s">
        <v>777</v>
      </c>
      <c r="I11" s="304">
        <v>202008000058</v>
      </c>
      <c r="J11" s="181" t="s">
        <v>315</v>
      </c>
      <c r="K11" s="105">
        <v>2</v>
      </c>
      <c r="L11" s="104"/>
      <c r="M11" s="105"/>
      <c r="N11" s="105"/>
      <c r="O11" s="104" t="s">
        <v>796</v>
      </c>
      <c r="P11" s="208"/>
      <c r="Q11" s="208">
        <v>2750</v>
      </c>
      <c r="R11" s="208">
        <v>1485</v>
      </c>
      <c r="S11" s="52">
        <f t="shared" si="0"/>
        <v>4235</v>
      </c>
    </row>
    <row r="12" spans="1:19" ht="16.5">
      <c r="A12" s="38">
        <f t="shared" si="1"/>
        <v>11</v>
      </c>
      <c r="B12" s="38" t="s">
        <v>752</v>
      </c>
      <c r="C12" s="102" t="s">
        <v>787</v>
      </c>
      <c r="D12" s="102" t="s">
        <v>774</v>
      </c>
      <c r="E12" s="103">
        <v>302053201301</v>
      </c>
      <c r="F12" s="283" t="s">
        <v>797</v>
      </c>
      <c r="G12" s="51" t="s">
        <v>776</v>
      </c>
      <c r="H12" s="38" t="s">
        <v>777</v>
      </c>
      <c r="I12" s="304">
        <v>201991000056</v>
      </c>
      <c r="J12" s="181" t="s">
        <v>798</v>
      </c>
      <c r="K12" s="105">
        <v>1</v>
      </c>
      <c r="L12" s="104"/>
      <c r="M12" s="105"/>
      <c r="N12" s="105"/>
      <c r="O12" s="104">
        <v>302053430330</v>
      </c>
      <c r="P12" s="208"/>
      <c r="Q12" s="208">
        <v>2970</v>
      </c>
      <c r="R12" s="208">
        <v>231</v>
      </c>
      <c r="S12" s="52">
        <f t="shared" si="0"/>
        <v>3201</v>
      </c>
    </row>
    <row r="13" spans="1:19" ht="16.5">
      <c r="A13" s="38">
        <f t="shared" si="1"/>
        <v>12</v>
      </c>
      <c r="B13" s="38" t="s">
        <v>752</v>
      </c>
      <c r="C13" s="102" t="s">
        <v>787</v>
      </c>
      <c r="D13" s="102" t="s">
        <v>793</v>
      </c>
      <c r="E13" s="103">
        <v>302039730280</v>
      </c>
      <c r="F13" s="283" t="s">
        <v>799</v>
      </c>
      <c r="G13" s="51" t="s">
        <v>776</v>
      </c>
      <c r="H13" s="38" t="s">
        <v>777</v>
      </c>
      <c r="I13" s="304">
        <v>201991000107</v>
      </c>
      <c r="J13" s="181" t="s">
        <v>559</v>
      </c>
      <c r="K13" s="105">
        <v>1</v>
      </c>
      <c r="L13" s="104"/>
      <c r="M13" s="105"/>
      <c r="N13" s="105"/>
      <c r="O13" s="104">
        <v>302040010851</v>
      </c>
      <c r="P13" s="208"/>
      <c r="Q13" s="208">
        <v>3245</v>
      </c>
      <c r="R13" s="208">
        <v>1320</v>
      </c>
      <c r="S13" s="52">
        <f t="shared" si="0"/>
        <v>4565</v>
      </c>
    </row>
    <row r="14" spans="1:19" ht="16.5">
      <c r="A14" s="38">
        <f t="shared" si="1"/>
        <v>13</v>
      </c>
      <c r="B14" s="38" t="s">
        <v>752</v>
      </c>
      <c r="C14" s="102" t="s">
        <v>787</v>
      </c>
      <c r="D14" s="102" t="s">
        <v>789</v>
      </c>
      <c r="E14" s="103">
        <v>302053303221</v>
      </c>
      <c r="F14" s="283" t="s">
        <v>695</v>
      </c>
      <c r="G14" s="51" t="s">
        <v>776</v>
      </c>
      <c r="H14" s="38" t="s">
        <v>777</v>
      </c>
      <c r="I14" s="304">
        <v>201978000034</v>
      </c>
      <c r="J14" s="181" t="s">
        <v>554</v>
      </c>
      <c r="K14" s="105">
        <v>1</v>
      </c>
      <c r="L14" s="104"/>
      <c r="M14" s="105"/>
      <c r="N14" s="105"/>
      <c r="O14" s="104">
        <v>302053430400</v>
      </c>
      <c r="P14" s="208"/>
      <c r="Q14" s="208">
        <v>2750</v>
      </c>
      <c r="R14" s="208">
        <v>605</v>
      </c>
      <c r="S14" s="52">
        <f t="shared" si="0"/>
        <v>3355</v>
      </c>
    </row>
    <row r="15" spans="1:19" ht="16.5">
      <c r="A15" s="38">
        <f t="shared" si="1"/>
        <v>14</v>
      </c>
      <c r="B15" s="38" t="s">
        <v>752</v>
      </c>
      <c r="C15" s="102" t="s">
        <v>787</v>
      </c>
      <c r="D15" s="102" t="s">
        <v>774</v>
      </c>
      <c r="E15" s="103">
        <v>302039561613</v>
      </c>
      <c r="F15" s="283" t="s">
        <v>800</v>
      </c>
      <c r="G15" s="51" t="s">
        <v>776</v>
      </c>
      <c r="H15" s="38" t="s">
        <v>777</v>
      </c>
      <c r="I15" s="304">
        <v>201978000068</v>
      </c>
      <c r="J15" s="181" t="s">
        <v>401</v>
      </c>
      <c r="K15" s="105">
        <v>8</v>
      </c>
      <c r="L15" s="104"/>
      <c r="M15" s="105"/>
      <c r="N15" s="105"/>
      <c r="O15" s="104">
        <v>302053430411</v>
      </c>
      <c r="P15" s="208"/>
      <c r="Q15" s="380">
        <v>2750</v>
      </c>
      <c r="R15" s="380">
        <v>1320</v>
      </c>
      <c r="S15" s="374">
        <f t="shared" si="0"/>
        <v>4070</v>
      </c>
    </row>
    <row r="16" spans="1:19" ht="16.5">
      <c r="A16" s="38">
        <f t="shared" si="1"/>
        <v>15</v>
      </c>
      <c r="B16" s="38" t="s">
        <v>752</v>
      </c>
      <c r="C16" s="102" t="s">
        <v>787</v>
      </c>
      <c r="D16" s="102" t="s">
        <v>774</v>
      </c>
      <c r="E16" s="103">
        <v>302039561613</v>
      </c>
      <c r="F16" s="283" t="s">
        <v>800</v>
      </c>
      <c r="G16" s="51" t="s">
        <v>776</v>
      </c>
      <c r="H16" s="38" t="s">
        <v>777</v>
      </c>
      <c r="I16" s="304">
        <v>201987000207</v>
      </c>
      <c r="J16" s="181" t="s">
        <v>783</v>
      </c>
      <c r="K16" s="105">
        <v>1</v>
      </c>
      <c r="L16" s="104"/>
      <c r="M16" s="105"/>
      <c r="N16" s="105"/>
      <c r="O16" s="104">
        <v>302053430411</v>
      </c>
      <c r="P16" s="208"/>
      <c r="Q16" s="381"/>
      <c r="R16" s="381"/>
      <c r="S16" s="376"/>
    </row>
    <row r="17" spans="1:19" ht="16.5">
      <c r="A17" s="38">
        <f t="shared" si="1"/>
        <v>16</v>
      </c>
      <c r="B17" s="38" t="s">
        <v>752</v>
      </c>
      <c r="C17" s="102" t="s">
        <v>787</v>
      </c>
      <c r="D17" s="102" t="s">
        <v>774</v>
      </c>
      <c r="E17" s="103">
        <v>302039573631</v>
      </c>
      <c r="F17" s="283" t="s">
        <v>801</v>
      </c>
      <c r="G17" s="51" t="s">
        <v>776</v>
      </c>
      <c r="H17" s="38" t="s">
        <v>777</v>
      </c>
      <c r="I17" s="304">
        <v>201978000062</v>
      </c>
      <c r="J17" s="181" t="s">
        <v>778</v>
      </c>
      <c r="K17" s="105">
        <v>5</v>
      </c>
      <c r="L17" s="104"/>
      <c r="M17" s="105"/>
      <c r="N17" s="105"/>
      <c r="O17" s="104">
        <v>302053430503</v>
      </c>
      <c r="P17" s="208"/>
      <c r="Q17" s="208">
        <v>2970</v>
      </c>
      <c r="R17" s="208">
        <v>231</v>
      </c>
      <c r="S17" s="52">
        <f t="shared" si="0"/>
        <v>3201</v>
      </c>
    </row>
    <row r="18" spans="1:19" ht="16.5">
      <c r="A18" s="38">
        <f t="shared" si="1"/>
        <v>17</v>
      </c>
      <c r="B18" s="38" t="s">
        <v>752</v>
      </c>
      <c r="C18" s="102" t="s">
        <v>802</v>
      </c>
      <c r="D18" s="102" t="s">
        <v>789</v>
      </c>
      <c r="E18" s="103">
        <v>302053303571</v>
      </c>
      <c r="F18" s="283" t="s">
        <v>803</v>
      </c>
      <c r="G18" s="51" t="s">
        <v>776</v>
      </c>
      <c r="H18" s="38" t="s">
        <v>777</v>
      </c>
      <c r="I18" s="304">
        <v>201991000158</v>
      </c>
      <c r="J18" s="181" t="s">
        <v>804</v>
      </c>
      <c r="K18" s="105">
        <v>1</v>
      </c>
      <c r="L18" s="104"/>
      <c r="M18" s="105"/>
      <c r="N18" s="105"/>
      <c r="O18" s="104">
        <v>302053442451</v>
      </c>
      <c r="P18" s="208"/>
      <c r="Q18" s="208">
        <v>3245</v>
      </c>
      <c r="R18" s="208">
        <v>1485</v>
      </c>
      <c r="S18" s="52">
        <f t="shared" si="0"/>
        <v>4730</v>
      </c>
    </row>
    <row r="19" spans="1:19" ht="16.5">
      <c r="A19" s="38">
        <f t="shared" si="1"/>
        <v>18</v>
      </c>
      <c r="B19" s="38" t="s">
        <v>752</v>
      </c>
      <c r="C19" s="102" t="s">
        <v>802</v>
      </c>
      <c r="D19" s="102" t="s">
        <v>793</v>
      </c>
      <c r="E19" s="103">
        <v>302053307351</v>
      </c>
      <c r="F19" s="283" t="s">
        <v>805</v>
      </c>
      <c r="G19" s="51" t="s">
        <v>776</v>
      </c>
      <c r="H19" s="38" t="s">
        <v>777</v>
      </c>
      <c r="I19" s="304">
        <v>201991000158</v>
      </c>
      <c r="J19" s="181" t="s">
        <v>804</v>
      </c>
      <c r="K19" s="105">
        <v>1</v>
      </c>
      <c r="L19" s="104"/>
      <c r="M19" s="105"/>
      <c r="N19" s="105"/>
      <c r="O19" s="104">
        <v>302053451260</v>
      </c>
      <c r="P19" s="208"/>
      <c r="Q19" s="208">
        <v>3245</v>
      </c>
      <c r="R19" s="208">
        <v>1485</v>
      </c>
      <c r="S19" s="52">
        <f t="shared" si="0"/>
        <v>4730</v>
      </c>
    </row>
    <row r="20" spans="1:19" ht="16.5">
      <c r="A20" s="38">
        <f t="shared" si="1"/>
        <v>19</v>
      </c>
      <c r="B20" s="38" t="s">
        <v>752</v>
      </c>
      <c r="C20" s="102" t="s">
        <v>802</v>
      </c>
      <c r="D20" s="102" t="s">
        <v>773</v>
      </c>
      <c r="E20" s="103">
        <v>302053356535</v>
      </c>
      <c r="F20" s="283" t="s">
        <v>806</v>
      </c>
      <c r="G20" s="51" t="s">
        <v>776</v>
      </c>
      <c r="H20" s="38" t="s">
        <v>777</v>
      </c>
      <c r="I20" s="304">
        <v>201978000068</v>
      </c>
      <c r="J20" s="181" t="s">
        <v>401</v>
      </c>
      <c r="K20" s="105">
        <v>1</v>
      </c>
      <c r="L20" s="104"/>
      <c r="M20" s="105"/>
      <c r="N20" s="105"/>
      <c r="O20" s="104">
        <v>302053451326</v>
      </c>
      <c r="P20" s="208"/>
      <c r="Q20" s="208">
        <v>2750</v>
      </c>
      <c r="R20" s="208">
        <v>1485</v>
      </c>
      <c r="S20" s="52">
        <f t="shared" si="0"/>
        <v>4235</v>
      </c>
    </row>
    <row r="21" spans="1:19" ht="16.5">
      <c r="A21" s="38">
        <f t="shared" si="1"/>
        <v>20</v>
      </c>
      <c r="B21" s="38" t="s">
        <v>752</v>
      </c>
      <c r="C21" s="102" t="s">
        <v>802</v>
      </c>
      <c r="D21" s="102" t="s">
        <v>787</v>
      </c>
      <c r="E21" s="103">
        <v>302053429663</v>
      </c>
      <c r="F21" s="283" t="s">
        <v>807</v>
      </c>
      <c r="G21" s="51" t="s">
        <v>776</v>
      </c>
      <c r="H21" s="38" t="s">
        <v>777</v>
      </c>
      <c r="I21" s="304">
        <v>201978000043</v>
      </c>
      <c r="J21" s="181" t="s">
        <v>344</v>
      </c>
      <c r="K21" s="105">
        <v>2</v>
      </c>
      <c r="L21" s="104"/>
      <c r="M21" s="105"/>
      <c r="N21" s="105"/>
      <c r="O21" s="104">
        <v>302053457346</v>
      </c>
      <c r="P21" s="208"/>
      <c r="Q21" s="208">
        <v>2750</v>
      </c>
      <c r="R21" s="208">
        <v>1485</v>
      </c>
      <c r="S21" s="52">
        <f t="shared" si="0"/>
        <v>4235</v>
      </c>
    </row>
    <row r="22" spans="1:19" ht="16.5">
      <c r="A22" s="38">
        <f t="shared" si="1"/>
        <v>21</v>
      </c>
      <c r="B22" s="38" t="s">
        <v>752</v>
      </c>
      <c r="C22" s="102" t="s">
        <v>808</v>
      </c>
      <c r="D22" s="102" t="s">
        <v>787</v>
      </c>
      <c r="E22" s="103">
        <v>302039968346</v>
      </c>
      <c r="F22" s="283" t="s">
        <v>373</v>
      </c>
      <c r="G22" s="51" t="s">
        <v>776</v>
      </c>
      <c r="H22" s="38" t="s">
        <v>777</v>
      </c>
      <c r="I22" s="304">
        <v>201978000068</v>
      </c>
      <c r="J22" s="181" t="s">
        <v>401</v>
      </c>
      <c r="K22" s="105">
        <v>1</v>
      </c>
      <c r="L22" s="104"/>
      <c r="M22" s="105"/>
      <c r="N22" s="105"/>
      <c r="O22" s="104">
        <v>302040186853</v>
      </c>
      <c r="P22" s="208"/>
      <c r="Q22" s="208">
        <v>2750</v>
      </c>
      <c r="R22" s="208">
        <v>1595</v>
      </c>
      <c r="S22" s="52">
        <f t="shared" si="0"/>
        <v>4345</v>
      </c>
    </row>
    <row r="23" spans="1:19" ht="16.5">
      <c r="A23" s="38">
        <f t="shared" si="1"/>
        <v>22</v>
      </c>
      <c r="B23" s="38" t="s">
        <v>752</v>
      </c>
      <c r="C23" s="102" t="s">
        <v>808</v>
      </c>
      <c r="D23" s="102" t="s">
        <v>787</v>
      </c>
      <c r="E23" s="103">
        <v>302039926044</v>
      </c>
      <c r="F23" s="283" t="s">
        <v>809</v>
      </c>
      <c r="G23" s="51" t="s">
        <v>776</v>
      </c>
      <c r="H23" s="38" t="s">
        <v>777</v>
      </c>
      <c r="I23" s="304">
        <v>202008000058</v>
      </c>
      <c r="J23" s="181" t="s">
        <v>315</v>
      </c>
      <c r="K23" s="105">
        <v>1</v>
      </c>
      <c r="L23" s="104"/>
      <c r="M23" s="105"/>
      <c r="N23" s="105"/>
      <c r="O23" s="104">
        <v>302040186864</v>
      </c>
      <c r="P23" s="208"/>
      <c r="Q23" s="208">
        <v>2750</v>
      </c>
      <c r="R23" s="208">
        <v>1485</v>
      </c>
      <c r="S23" s="52">
        <f t="shared" si="0"/>
        <v>4235</v>
      </c>
    </row>
    <row r="24" spans="1:19" ht="16.5">
      <c r="A24" s="38">
        <f t="shared" si="1"/>
        <v>23</v>
      </c>
      <c r="B24" s="38" t="s">
        <v>752</v>
      </c>
      <c r="C24" s="102" t="s">
        <v>810</v>
      </c>
      <c r="D24" s="102" t="s">
        <v>787</v>
      </c>
      <c r="E24" s="103">
        <v>302039930340</v>
      </c>
      <c r="F24" s="283" t="s">
        <v>811</v>
      </c>
      <c r="G24" s="51" t="s">
        <v>776</v>
      </c>
      <c r="H24" s="38" t="s">
        <v>777</v>
      </c>
      <c r="I24" s="304">
        <v>201978000068</v>
      </c>
      <c r="J24" s="181" t="s">
        <v>401</v>
      </c>
      <c r="K24" s="105">
        <v>1</v>
      </c>
      <c r="L24" s="104"/>
      <c r="M24" s="105"/>
      <c r="N24" s="105"/>
      <c r="O24" s="104">
        <v>302053560154</v>
      </c>
      <c r="P24" s="208"/>
      <c r="Q24" s="208">
        <v>2750</v>
      </c>
      <c r="R24" s="208">
        <v>1595</v>
      </c>
      <c r="S24" s="52">
        <f t="shared" si="0"/>
        <v>4345</v>
      </c>
    </row>
    <row r="25" spans="1:19" ht="16.5">
      <c r="A25" s="38">
        <f t="shared" si="1"/>
        <v>24</v>
      </c>
      <c r="B25" s="38" t="s">
        <v>752</v>
      </c>
      <c r="C25" s="102" t="s">
        <v>810</v>
      </c>
      <c r="D25" s="102" t="s">
        <v>802</v>
      </c>
      <c r="E25" s="103">
        <v>302053451982</v>
      </c>
      <c r="F25" s="283" t="s">
        <v>812</v>
      </c>
      <c r="G25" s="51" t="s">
        <v>776</v>
      </c>
      <c r="H25" s="38" t="s">
        <v>777</v>
      </c>
      <c r="I25" s="304">
        <v>201991000166</v>
      </c>
      <c r="J25" s="181" t="s">
        <v>357</v>
      </c>
      <c r="K25" s="105">
        <v>1</v>
      </c>
      <c r="L25" s="104"/>
      <c r="M25" s="105"/>
      <c r="N25" s="105"/>
      <c r="O25" s="104">
        <v>302053560191</v>
      </c>
      <c r="P25" s="208"/>
      <c r="Q25" s="208">
        <v>3245</v>
      </c>
      <c r="R25" s="208">
        <v>1320</v>
      </c>
      <c r="S25" s="52">
        <f t="shared" si="0"/>
        <v>4565</v>
      </c>
    </row>
    <row r="26" spans="1:19" ht="16.5">
      <c r="A26" s="38">
        <f t="shared" si="1"/>
        <v>25</v>
      </c>
      <c r="B26" s="38" t="s">
        <v>752</v>
      </c>
      <c r="C26" s="102" t="s">
        <v>810</v>
      </c>
      <c r="D26" s="102" t="s">
        <v>787</v>
      </c>
      <c r="E26" s="103">
        <v>302039969083</v>
      </c>
      <c r="F26" s="283" t="s">
        <v>813</v>
      </c>
      <c r="G26" s="51" t="s">
        <v>776</v>
      </c>
      <c r="H26" s="38" t="s">
        <v>777</v>
      </c>
      <c r="I26" s="304">
        <v>201978000016</v>
      </c>
      <c r="J26" s="181" t="s">
        <v>814</v>
      </c>
      <c r="K26" s="105">
        <v>1</v>
      </c>
      <c r="L26" s="104"/>
      <c r="M26" s="105"/>
      <c r="N26" s="105"/>
      <c r="O26" s="104">
        <v>302053560482</v>
      </c>
      <c r="P26" s="208"/>
      <c r="Q26" s="208">
        <v>3245</v>
      </c>
      <c r="R26" s="208">
        <v>1485</v>
      </c>
      <c r="S26" s="52">
        <f t="shared" si="0"/>
        <v>4730</v>
      </c>
    </row>
    <row r="27" spans="1:19" ht="16.5">
      <c r="A27" s="38">
        <f t="shared" si="1"/>
        <v>26</v>
      </c>
      <c r="B27" s="38" t="s">
        <v>752</v>
      </c>
      <c r="C27" s="102" t="s">
        <v>810</v>
      </c>
      <c r="D27" s="102" t="s">
        <v>774</v>
      </c>
      <c r="E27" s="103">
        <v>302039562350</v>
      </c>
      <c r="F27" s="283" t="s">
        <v>815</v>
      </c>
      <c r="G27" s="51" t="s">
        <v>776</v>
      </c>
      <c r="H27" s="38" t="s">
        <v>777</v>
      </c>
      <c r="I27" s="304">
        <v>201978000062</v>
      </c>
      <c r="J27" s="181" t="s">
        <v>778</v>
      </c>
      <c r="K27" s="105">
        <v>5</v>
      </c>
      <c r="L27" s="104"/>
      <c r="M27" s="105"/>
      <c r="N27" s="105"/>
      <c r="O27" s="104">
        <v>302053570901</v>
      </c>
      <c r="P27" s="208"/>
      <c r="Q27" s="208">
        <v>2970</v>
      </c>
      <c r="R27" s="208">
        <v>231</v>
      </c>
      <c r="S27" s="52">
        <f t="shared" si="0"/>
        <v>3201</v>
      </c>
    </row>
    <row r="28" spans="1:19" ht="16.5">
      <c r="A28" s="38">
        <f t="shared" si="1"/>
        <v>27</v>
      </c>
      <c r="B28" s="38" t="s">
        <v>752</v>
      </c>
      <c r="C28" s="102" t="s">
        <v>816</v>
      </c>
      <c r="D28" s="102" t="s">
        <v>808</v>
      </c>
      <c r="E28" s="103">
        <v>302053522715</v>
      </c>
      <c r="F28" s="283" t="s">
        <v>817</v>
      </c>
      <c r="G28" s="51" t="s">
        <v>776</v>
      </c>
      <c r="H28" s="38" t="s">
        <v>777</v>
      </c>
      <c r="I28" s="304">
        <v>201991000052</v>
      </c>
      <c r="J28" s="181" t="s">
        <v>682</v>
      </c>
      <c r="K28" s="105">
        <v>1</v>
      </c>
      <c r="L28" s="104"/>
      <c r="M28" s="105"/>
      <c r="N28" s="105"/>
      <c r="O28" s="104">
        <v>302053608852</v>
      </c>
      <c r="P28" s="208"/>
      <c r="Q28" s="208">
        <v>3245</v>
      </c>
      <c r="R28" s="208">
        <v>1320</v>
      </c>
      <c r="S28" s="52">
        <f t="shared" si="0"/>
        <v>4565</v>
      </c>
    </row>
    <row r="29" spans="1:19" ht="16.5">
      <c r="A29" s="38">
        <f t="shared" si="1"/>
        <v>28</v>
      </c>
      <c r="B29" s="38" t="s">
        <v>752</v>
      </c>
      <c r="C29" s="102" t="s">
        <v>816</v>
      </c>
      <c r="D29" s="102" t="s">
        <v>810</v>
      </c>
      <c r="E29" s="103">
        <v>302040276372</v>
      </c>
      <c r="F29" s="283" t="s">
        <v>818</v>
      </c>
      <c r="G29" s="51" t="s">
        <v>776</v>
      </c>
      <c r="H29" s="38" t="s">
        <v>777</v>
      </c>
      <c r="I29" s="304">
        <v>201978000138</v>
      </c>
      <c r="J29" s="181" t="s">
        <v>407</v>
      </c>
      <c r="K29" s="105">
        <v>2</v>
      </c>
      <c r="L29" s="104">
        <v>201978000107</v>
      </c>
      <c r="M29" s="105" t="s">
        <v>819</v>
      </c>
      <c r="N29" s="105">
        <v>2</v>
      </c>
      <c r="O29" s="104">
        <v>302040407213</v>
      </c>
      <c r="P29" s="208">
        <v>5627</v>
      </c>
      <c r="Q29" s="208">
        <v>3795</v>
      </c>
      <c r="R29" s="208">
        <v>1540</v>
      </c>
      <c r="S29" s="52">
        <f t="shared" si="0"/>
        <v>10962</v>
      </c>
    </row>
    <row r="30" spans="1:19" ht="16.5">
      <c r="A30" s="38">
        <f t="shared" si="1"/>
        <v>29</v>
      </c>
      <c r="B30" s="38" t="s">
        <v>752</v>
      </c>
      <c r="C30" s="102" t="s">
        <v>816</v>
      </c>
      <c r="D30" s="102" t="s">
        <v>787</v>
      </c>
      <c r="E30" s="103">
        <v>302039967016</v>
      </c>
      <c r="F30" s="283" t="s">
        <v>820</v>
      </c>
      <c r="G30" s="51" t="s">
        <v>776</v>
      </c>
      <c r="H30" s="38" t="s">
        <v>777</v>
      </c>
      <c r="I30" s="304">
        <v>201978000018</v>
      </c>
      <c r="J30" s="181" t="s">
        <v>821</v>
      </c>
      <c r="K30" s="105">
        <v>1</v>
      </c>
      <c r="L30" s="104"/>
      <c r="M30" s="105"/>
      <c r="N30" s="105"/>
      <c r="O30" s="104">
        <v>302053609342</v>
      </c>
      <c r="P30" s="208"/>
      <c r="Q30" s="208">
        <v>3245</v>
      </c>
      <c r="R30" s="208">
        <v>1485</v>
      </c>
      <c r="S30" s="52">
        <f t="shared" si="0"/>
        <v>4730</v>
      </c>
    </row>
    <row r="31" spans="1:19" ht="16.5">
      <c r="A31" s="38">
        <f t="shared" si="1"/>
        <v>30</v>
      </c>
      <c r="B31" s="38" t="s">
        <v>752</v>
      </c>
      <c r="C31" s="102" t="s">
        <v>822</v>
      </c>
      <c r="D31" s="102" t="s">
        <v>802</v>
      </c>
      <c r="E31" s="103">
        <v>302039991774</v>
      </c>
      <c r="F31" s="283" t="s">
        <v>823</v>
      </c>
      <c r="G31" s="51" t="s">
        <v>776</v>
      </c>
      <c r="H31" s="38" t="s">
        <v>777</v>
      </c>
      <c r="I31" s="304">
        <v>201991000054</v>
      </c>
      <c r="J31" s="181" t="s">
        <v>824</v>
      </c>
      <c r="K31" s="105">
        <v>1</v>
      </c>
      <c r="L31" s="104"/>
      <c r="M31" s="105"/>
      <c r="N31" s="105"/>
      <c r="O31" s="104">
        <v>302053703363</v>
      </c>
      <c r="P31" s="208"/>
      <c r="Q31" s="208">
        <v>3300</v>
      </c>
      <c r="R31" s="208">
        <v>1375</v>
      </c>
      <c r="S31" s="52">
        <f t="shared" si="0"/>
        <v>4675</v>
      </c>
    </row>
    <row r="32" spans="1:19" ht="16.5">
      <c r="A32" s="38">
        <f t="shared" si="1"/>
        <v>31</v>
      </c>
      <c r="B32" s="38" t="s">
        <v>752</v>
      </c>
      <c r="C32" s="102" t="s">
        <v>825</v>
      </c>
      <c r="D32" s="102" t="s">
        <v>808</v>
      </c>
      <c r="E32" s="103">
        <v>302040139216</v>
      </c>
      <c r="F32" s="283" t="s">
        <v>826</v>
      </c>
      <c r="G32" s="51" t="s">
        <v>776</v>
      </c>
      <c r="H32" s="38" t="s">
        <v>777</v>
      </c>
      <c r="I32" s="304">
        <v>201987000206</v>
      </c>
      <c r="J32" s="181" t="s">
        <v>780</v>
      </c>
      <c r="K32" s="105">
        <v>2</v>
      </c>
      <c r="L32" s="104"/>
      <c r="M32" s="105"/>
      <c r="N32" s="105"/>
      <c r="O32" s="104">
        <v>302040602071</v>
      </c>
      <c r="P32" s="208"/>
      <c r="Q32" s="208">
        <v>2475</v>
      </c>
      <c r="R32" s="208">
        <v>231</v>
      </c>
      <c r="S32" s="52">
        <f t="shared" si="0"/>
        <v>2706</v>
      </c>
    </row>
    <row r="33" spans="1:19" ht="16.5">
      <c r="A33" s="38">
        <f t="shared" si="1"/>
        <v>32</v>
      </c>
      <c r="B33" s="38" t="s">
        <v>752</v>
      </c>
      <c r="C33" s="102" t="s">
        <v>825</v>
      </c>
      <c r="D33" s="102" t="s">
        <v>808</v>
      </c>
      <c r="E33" s="103">
        <v>302040119642</v>
      </c>
      <c r="F33" s="283" t="s">
        <v>827</v>
      </c>
      <c r="G33" s="51" t="s">
        <v>776</v>
      </c>
      <c r="H33" s="38" t="s">
        <v>777</v>
      </c>
      <c r="I33" s="304">
        <v>201987000206</v>
      </c>
      <c r="J33" s="181" t="s">
        <v>780</v>
      </c>
      <c r="K33" s="105">
        <v>4</v>
      </c>
      <c r="L33" s="104"/>
      <c r="M33" s="105"/>
      <c r="N33" s="105"/>
      <c r="O33" s="104">
        <v>302040602104</v>
      </c>
      <c r="P33" s="208"/>
      <c r="Q33" s="208">
        <v>2475</v>
      </c>
      <c r="R33" s="208">
        <v>231</v>
      </c>
      <c r="S33" s="52">
        <f t="shared" si="0"/>
        <v>2706</v>
      </c>
    </row>
    <row r="34" spans="1:19" ht="16.5">
      <c r="A34" s="38">
        <f t="shared" si="1"/>
        <v>33</v>
      </c>
      <c r="B34" s="38" t="s">
        <v>752</v>
      </c>
      <c r="C34" s="102" t="s">
        <v>825</v>
      </c>
      <c r="D34" s="102" t="s">
        <v>816</v>
      </c>
      <c r="E34" s="103">
        <v>302040370076</v>
      </c>
      <c r="F34" s="283" t="s">
        <v>828</v>
      </c>
      <c r="G34" s="51" t="s">
        <v>776</v>
      </c>
      <c r="H34" s="38" t="s">
        <v>777</v>
      </c>
      <c r="I34" s="304">
        <v>201991000109</v>
      </c>
      <c r="J34" s="181" t="s">
        <v>829</v>
      </c>
      <c r="K34" s="105">
        <v>5</v>
      </c>
      <c r="L34" s="104"/>
      <c r="M34" s="105"/>
      <c r="N34" s="105"/>
      <c r="O34" s="104">
        <v>302040602115</v>
      </c>
      <c r="P34" s="208"/>
      <c r="Q34" s="208">
        <v>3245</v>
      </c>
      <c r="R34" s="208">
        <v>1320</v>
      </c>
      <c r="S34" s="52">
        <f t="shared" si="0"/>
        <v>4565</v>
      </c>
    </row>
    <row r="35" spans="1:19" ht="16.5">
      <c r="A35" s="38">
        <f t="shared" si="1"/>
        <v>34</v>
      </c>
      <c r="B35" s="38" t="s">
        <v>752</v>
      </c>
      <c r="C35" s="102" t="s">
        <v>825</v>
      </c>
      <c r="D35" s="102" t="s">
        <v>816</v>
      </c>
      <c r="E35" s="103">
        <v>302053605993</v>
      </c>
      <c r="F35" s="283" t="s">
        <v>830</v>
      </c>
      <c r="G35" s="51" t="s">
        <v>776</v>
      </c>
      <c r="H35" s="38" t="s">
        <v>777</v>
      </c>
      <c r="I35" s="304">
        <v>201978000043</v>
      </c>
      <c r="J35" s="181" t="s">
        <v>344</v>
      </c>
      <c r="K35" s="105">
        <v>1</v>
      </c>
      <c r="L35" s="104"/>
      <c r="M35" s="105"/>
      <c r="N35" s="105"/>
      <c r="O35" s="104">
        <v>302053788903</v>
      </c>
      <c r="P35" s="208"/>
      <c r="Q35" s="208">
        <v>2750</v>
      </c>
      <c r="R35" s="208">
        <v>1485</v>
      </c>
      <c r="S35" s="52">
        <f t="shared" si="0"/>
        <v>4235</v>
      </c>
    </row>
    <row r="36" spans="1:19" ht="16.5">
      <c r="A36" s="38">
        <f t="shared" si="1"/>
        <v>35</v>
      </c>
      <c r="B36" s="38" t="s">
        <v>752</v>
      </c>
      <c r="C36" s="102" t="s">
        <v>831</v>
      </c>
      <c r="D36" s="102" t="s">
        <v>802</v>
      </c>
      <c r="E36" s="103">
        <v>302040022574</v>
      </c>
      <c r="F36" s="283" t="s">
        <v>832</v>
      </c>
      <c r="G36" s="51" t="s">
        <v>776</v>
      </c>
      <c r="H36" s="38" t="s">
        <v>777</v>
      </c>
      <c r="I36" s="304">
        <v>201988000028</v>
      </c>
      <c r="J36" s="181" t="s">
        <v>833</v>
      </c>
      <c r="K36" s="105">
        <v>1</v>
      </c>
      <c r="L36" s="104"/>
      <c r="M36" s="105"/>
      <c r="N36" s="105"/>
      <c r="O36" s="104">
        <v>302040759512</v>
      </c>
      <c r="P36" s="208"/>
      <c r="Q36" s="208">
        <v>3245</v>
      </c>
      <c r="R36" s="208">
        <v>1320</v>
      </c>
      <c r="S36" s="52">
        <f t="shared" si="0"/>
        <v>4565</v>
      </c>
    </row>
    <row r="37" spans="1:19" ht="16.5">
      <c r="A37" s="38">
        <f t="shared" si="1"/>
        <v>36</v>
      </c>
      <c r="B37" s="38" t="s">
        <v>752</v>
      </c>
      <c r="C37" s="102" t="s">
        <v>831</v>
      </c>
      <c r="D37" s="102" t="s">
        <v>825</v>
      </c>
      <c r="E37" s="103">
        <v>302040635354</v>
      </c>
      <c r="F37" s="283" t="s">
        <v>834</v>
      </c>
      <c r="G37" s="51" t="s">
        <v>776</v>
      </c>
      <c r="H37" s="38" t="s">
        <v>777</v>
      </c>
      <c r="I37" s="304">
        <v>201978000043</v>
      </c>
      <c r="J37" s="181" t="s">
        <v>344</v>
      </c>
      <c r="K37" s="105">
        <v>1</v>
      </c>
      <c r="L37" s="104"/>
      <c r="M37" s="105"/>
      <c r="N37" s="105"/>
      <c r="O37" s="104">
        <v>302040759593</v>
      </c>
      <c r="P37" s="208"/>
      <c r="Q37" s="208">
        <v>3245</v>
      </c>
      <c r="R37" s="208">
        <v>1485</v>
      </c>
      <c r="S37" s="52">
        <f t="shared" si="0"/>
        <v>4730</v>
      </c>
    </row>
    <row r="38" spans="1:19" ht="16.5">
      <c r="A38" s="38">
        <f t="shared" si="1"/>
        <v>37</v>
      </c>
      <c r="B38" s="38" t="s">
        <v>752</v>
      </c>
      <c r="C38" s="102" t="s">
        <v>831</v>
      </c>
      <c r="D38" s="102" t="s">
        <v>825</v>
      </c>
      <c r="E38" s="103">
        <v>302040635542</v>
      </c>
      <c r="F38" s="283" t="s">
        <v>835</v>
      </c>
      <c r="G38" s="51" t="s">
        <v>776</v>
      </c>
      <c r="H38" s="38" t="s">
        <v>777</v>
      </c>
      <c r="I38" s="304">
        <v>201978000043</v>
      </c>
      <c r="J38" s="102" t="s">
        <v>344</v>
      </c>
      <c r="K38" s="105">
        <v>1</v>
      </c>
      <c r="L38" s="104"/>
      <c r="M38" s="105"/>
      <c r="N38" s="105"/>
      <c r="O38" s="104">
        <v>302040759604</v>
      </c>
      <c r="P38" s="208"/>
      <c r="Q38" s="208">
        <v>3245</v>
      </c>
      <c r="R38" s="208">
        <v>1485</v>
      </c>
      <c r="S38" s="52">
        <f t="shared" si="0"/>
        <v>4730</v>
      </c>
    </row>
    <row r="39" spans="1:19" ht="16.5">
      <c r="A39" s="38">
        <f t="shared" si="1"/>
        <v>38</v>
      </c>
      <c r="B39" s="38" t="s">
        <v>752</v>
      </c>
      <c r="C39" s="102" t="s">
        <v>831</v>
      </c>
      <c r="D39" s="102" t="s">
        <v>825</v>
      </c>
      <c r="E39" s="103">
        <v>302040600273</v>
      </c>
      <c r="F39" s="283" t="s">
        <v>836</v>
      </c>
      <c r="G39" s="51" t="s">
        <v>776</v>
      </c>
      <c r="H39" s="38" t="s">
        <v>777</v>
      </c>
      <c r="I39" s="304">
        <v>201991000108</v>
      </c>
      <c r="J39" s="102" t="s">
        <v>837</v>
      </c>
      <c r="K39" s="105">
        <v>3</v>
      </c>
      <c r="L39" s="104"/>
      <c r="M39" s="105"/>
      <c r="N39" s="105"/>
      <c r="O39" s="104">
        <v>302053830100</v>
      </c>
      <c r="P39" s="208"/>
      <c r="Q39" s="380">
        <v>2750</v>
      </c>
      <c r="R39" s="380">
        <v>1320</v>
      </c>
      <c r="S39" s="374">
        <f t="shared" si="0"/>
        <v>4070</v>
      </c>
    </row>
    <row r="40" spans="1:19" ht="16.5">
      <c r="A40" s="38">
        <f t="shared" si="1"/>
        <v>39</v>
      </c>
      <c r="B40" s="38" t="s">
        <v>752</v>
      </c>
      <c r="C40" s="102" t="s">
        <v>831</v>
      </c>
      <c r="D40" s="102" t="s">
        <v>825</v>
      </c>
      <c r="E40" s="103">
        <v>302040600273</v>
      </c>
      <c r="F40" s="283" t="s">
        <v>836</v>
      </c>
      <c r="G40" s="51" t="s">
        <v>776</v>
      </c>
      <c r="H40" s="38" t="s">
        <v>777</v>
      </c>
      <c r="I40" s="304">
        <v>201991000107</v>
      </c>
      <c r="J40" s="102" t="s">
        <v>559</v>
      </c>
      <c r="K40" s="105">
        <v>3</v>
      </c>
      <c r="L40" s="104"/>
      <c r="M40" s="105"/>
      <c r="N40" s="105"/>
      <c r="O40" s="283">
        <v>302053830100</v>
      </c>
      <c r="P40" s="208"/>
      <c r="Q40" s="381"/>
      <c r="R40" s="381"/>
      <c r="S40" s="376"/>
    </row>
    <row r="41" spans="1:19" ht="16.5">
      <c r="A41" s="38">
        <f t="shared" si="1"/>
        <v>40</v>
      </c>
      <c r="B41" s="38" t="s">
        <v>752</v>
      </c>
      <c r="C41" s="102" t="s">
        <v>838</v>
      </c>
      <c r="D41" s="102" t="s">
        <v>825</v>
      </c>
      <c r="E41" s="103">
        <v>302040650135</v>
      </c>
      <c r="F41" s="283" t="s">
        <v>839</v>
      </c>
      <c r="G41" s="51" t="s">
        <v>776</v>
      </c>
      <c r="H41" s="38" t="s">
        <v>777</v>
      </c>
      <c r="I41" s="304">
        <v>201978000041</v>
      </c>
      <c r="J41" s="102" t="s">
        <v>302</v>
      </c>
      <c r="K41" s="105">
        <v>1</v>
      </c>
      <c r="L41" s="104"/>
      <c r="M41" s="106"/>
      <c r="N41" s="105"/>
      <c r="O41" s="104">
        <v>302040791351</v>
      </c>
      <c r="P41" s="208"/>
      <c r="Q41" s="208">
        <v>2750</v>
      </c>
      <c r="R41" s="208">
        <v>1485</v>
      </c>
      <c r="S41" s="52">
        <f t="shared" si="0"/>
        <v>4235</v>
      </c>
    </row>
    <row r="42" spans="1:19" ht="16.5">
      <c r="A42" s="38">
        <f t="shared" si="1"/>
        <v>41</v>
      </c>
      <c r="B42" s="38" t="s">
        <v>752</v>
      </c>
      <c r="C42" s="102" t="s">
        <v>838</v>
      </c>
      <c r="D42" s="102" t="s">
        <v>840</v>
      </c>
      <c r="E42" s="103">
        <v>302040635844</v>
      </c>
      <c r="F42" s="283" t="s">
        <v>841</v>
      </c>
      <c r="G42" s="51" t="s">
        <v>776</v>
      </c>
      <c r="H42" s="38" t="s">
        <v>777</v>
      </c>
      <c r="I42" s="304">
        <v>201978000043</v>
      </c>
      <c r="J42" s="181" t="s">
        <v>344</v>
      </c>
      <c r="K42" s="105">
        <v>1</v>
      </c>
      <c r="L42" s="104"/>
      <c r="M42" s="106"/>
      <c r="N42" s="105"/>
      <c r="O42" s="104">
        <v>302040791384</v>
      </c>
      <c r="P42" s="208"/>
      <c r="Q42" s="208">
        <v>3245</v>
      </c>
      <c r="R42" s="208">
        <v>1485</v>
      </c>
      <c r="S42" s="52">
        <f t="shared" si="0"/>
        <v>4730</v>
      </c>
    </row>
    <row r="43" spans="1:19" ht="16.5">
      <c r="A43" s="38">
        <f t="shared" si="1"/>
        <v>42</v>
      </c>
      <c r="B43" s="38" t="s">
        <v>752</v>
      </c>
      <c r="C43" s="102" t="s">
        <v>838</v>
      </c>
      <c r="D43" s="102" t="s">
        <v>842</v>
      </c>
      <c r="E43" s="103">
        <v>302040277886</v>
      </c>
      <c r="F43" s="283" t="s">
        <v>843</v>
      </c>
      <c r="G43" s="51" t="s">
        <v>776</v>
      </c>
      <c r="H43" s="38" t="s">
        <v>777</v>
      </c>
      <c r="I43" s="304">
        <v>201978000151</v>
      </c>
      <c r="J43" s="181" t="s">
        <v>312</v>
      </c>
      <c r="K43" s="105">
        <v>4</v>
      </c>
      <c r="L43" s="104">
        <v>201987000002</v>
      </c>
      <c r="M43" s="106" t="s">
        <v>844</v>
      </c>
      <c r="N43" s="105">
        <v>4</v>
      </c>
      <c r="O43" s="104">
        <v>302040800344</v>
      </c>
      <c r="P43" s="208"/>
      <c r="Q43" s="208">
        <v>3795</v>
      </c>
      <c r="R43" s="208">
        <v>1540</v>
      </c>
      <c r="S43" s="52">
        <f t="shared" si="0"/>
        <v>5335</v>
      </c>
    </row>
    <row r="44" spans="1:19" ht="16.5">
      <c r="A44" s="38">
        <f t="shared" si="1"/>
        <v>43</v>
      </c>
      <c r="B44" s="38" t="s">
        <v>752</v>
      </c>
      <c r="C44" s="102" t="s">
        <v>845</v>
      </c>
      <c r="D44" s="102" t="s">
        <v>846</v>
      </c>
      <c r="E44" s="103">
        <v>302053816785</v>
      </c>
      <c r="F44" s="283" t="s">
        <v>847</v>
      </c>
      <c r="G44" s="51" t="s">
        <v>776</v>
      </c>
      <c r="H44" s="38" t="s">
        <v>777</v>
      </c>
      <c r="I44" s="304">
        <v>201991000151</v>
      </c>
      <c r="J44" s="102" t="s">
        <v>848</v>
      </c>
      <c r="K44" s="105">
        <v>1</v>
      </c>
      <c r="L44" s="104"/>
      <c r="M44" s="106"/>
      <c r="N44" s="105"/>
      <c r="O44" s="104">
        <v>302053947604</v>
      </c>
      <c r="P44" s="208"/>
      <c r="Q44" s="208">
        <v>3245</v>
      </c>
      <c r="R44" s="208">
        <v>1485</v>
      </c>
      <c r="S44" s="52">
        <f t="shared" si="0"/>
        <v>4730</v>
      </c>
    </row>
    <row r="45" spans="1:19" ht="16.5">
      <c r="A45" s="38">
        <f t="shared" si="1"/>
        <v>44</v>
      </c>
      <c r="B45" s="38" t="s">
        <v>752</v>
      </c>
      <c r="C45" s="102" t="s">
        <v>845</v>
      </c>
      <c r="D45" s="102" t="s">
        <v>849</v>
      </c>
      <c r="E45" s="103">
        <v>302040743784</v>
      </c>
      <c r="F45" s="283" t="s">
        <v>850</v>
      </c>
      <c r="G45" s="51" t="s">
        <v>776</v>
      </c>
      <c r="H45" s="38" t="s">
        <v>777</v>
      </c>
      <c r="I45" s="304">
        <v>201978000149</v>
      </c>
      <c r="J45" s="181" t="s">
        <v>851</v>
      </c>
      <c r="K45" s="105">
        <v>1</v>
      </c>
      <c r="L45" s="104"/>
      <c r="M45" s="106"/>
      <c r="N45" s="105"/>
      <c r="O45" s="104">
        <v>302040904913</v>
      </c>
      <c r="P45" s="208"/>
      <c r="Q45" s="208">
        <v>3795</v>
      </c>
      <c r="R45" s="208">
        <v>1100</v>
      </c>
      <c r="S45" s="52">
        <f t="shared" si="0"/>
        <v>4895</v>
      </c>
    </row>
    <row r="46" spans="1:19" ht="16.5">
      <c r="A46" s="38">
        <f t="shared" si="1"/>
        <v>45</v>
      </c>
      <c r="B46" s="38" t="s">
        <v>752</v>
      </c>
      <c r="C46" s="102" t="s">
        <v>845</v>
      </c>
      <c r="D46" s="102" t="s">
        <v>849</v>
      </c>
      <c r="E46" s="103">
        <v>302053843676</v>
      </c>
      <c r="F46" s="283" t="s">
        <v>852</v>
      </c>
      <c r="G46" s="51" t="s">
        <v>776</v>
      </c>
      <c r="H46" s="38" t="s">
        <v>777</v>
      </c>
      <c r="I46" s="304">
        <v>201978000150</v>
      </c>
      <c r="J46" s="181" t="s">
        <v>435</v>
      </c>
      <c r="K46" s="105">
        <v>4</v>
      </c>
      <c r="L46" s="104">
        <v>201991000041</v>
      </c>
      <c r="M46" s="105" t="s">
        <v>356</v>
      </c>
      <c r="N46" s="105">
        <v>2</v>
      </c>
      <c r="O46" s="104">
        <v>302053957474</v>
      </c>
      <c r="P46" s="208"/>
      <c r="Q46" s="208">
        <v>3795</v>
      </c>
      <c r="R46" s="208">
        <v>1100</v>
      </c>
      <c r="S46" s="52">
        <f t="shared" si="0"/>
        <v>4895</v>
      </c>
    </row>
    <row r="47" spans="1:19" ht="16.5">
      <c r="A47" s="38">
        <f t="shared" si="1"/>
        <v>46</v>
      </c>
      <c r="B47" s="38" t="s">
        <v>752</v>
      </c>
      <c r="C47" s="102" t="s">
        <v>845</v>
      </c>
      <c r="D47" s="102" t="s">
        <v>853</v>
      </c>
      <c r="E47" s="103">
        <v>302053869484</v>
      </c>
      <c r="F47" s="283" t="s">
        <v>854</v>
      </c>
      <c r="G47" s="51" t="s">
        <v>776</v>
      </c>
      <c r="H47" s="38" t="s">
        <v>777</v>
      </c>
      <c r="I47" s="304">
        <v>201978000034</v>
      </c>
      <c r="J47" s="102" t="s">
        <v>554</v>
      </c>
      <c r="K47" s="105">
        <v>24</v>
      </c>
      <c r="L47" s="104">
        <v>201991000005</v>
      </c>
      <c r="M47" s="106" t="s">
        <v>855</v>
      </c>
      <c r="N47" s="105">
        <v>24</v>
      </c>
      <c r="O47" s="104">
        <v>302053946786</v>
      </c>
      <c r="P47" s="208"/>
      <c r="Q47" s="208">
        <v>2475</v>
      </c>
      <c r="R47" s="208">
        <v>231</v>
      </c>
      <c r="S47" s="52">
        <f>SUM(P47:R47)</f>
        <v>2706</v>
      </c>
    </row>
    <row r="48" spans="1:19" ht="16.5">
      <c r="A48" s="38">
        <f t="shared" si="1"/>
        <v>47</v>
      </c>
      <c r="B48" s="38" t="s">
        <v>752</v>
      </c>
      <c r="C48" s="102" t="s">
        <v>856</v>
      </c>
      <c r="D48" s="102" t="s">
        <v>857</v>
      </c>
      <c r="E48" s="103">
        <v>302054160894</v>
      </c>
      <c r="F48" s="283" t="s">
        <v>858</v>
      </c>
      <c r="G48" s="51" t="s">
        <v>776</v>
      </c>
      <c r="H48" s="38" t="s">
        <v>777</v>
      </c>
      <c r="I48" s="304">
        <v>201987000291</v>
      </c>
      <c r="J48" s="102" t="s">
        <v>859</v>
      </c>
      <c r="K48" s="105">
        <v>1</v>
      </c>
      <c r="L48" s="104"/>
      <c r="M48" s="105"/>
      <c r="N48" s="105"/>
      <c r="O48" s="104">
        <v>302054259325</v>
      </c>
      <c r="P48" s="208"/>
      <c r="Q48" s="208">
        <v>3245</v>
      </c>
      <c r="R48" s="208">
        <v>1595</v>
      </c>
      <c r="S48" s="52">
        <f t="shared" si="0"/>
        <v>4840</v>
      </c>
    </row>
    <row r="49" spans="1:19" ht="16.5">
      <c r="A49" s="38">
        <f t="shared" si="1"/>
        <v>48</v>
      </c>
      <c r="B49" s="38" t="s">
        <v>752</v>
      </c>
      <c r="C49" s="102" t="s">
        <v>856</v>
      </c>
      <c r="D49" s="102" t="s">
        <v>857</v>
      </c>
      <c r="E49" s="103">
        <v>302054165923</v>
      </c>
      <c r="F49" s="283" t="s">
        <v>860</v>
      </c>
      <c r="G49" s="51" t="s">
        <v>776</v>
      </c>
      <c r="H49" s="38" t="s">
        <v>861</v>
      </c>
      <c r="I49" s="304"/>
      <c r="J49" s="102"/>
      <c r="K49" s="105"/>
      <c r="L49" s="104">
        <v>202008000058</v>
      </c>
      <c r="M49" s="105" t="s">
        <v>315</v>
      </c>
      <c r="N49" s="105">
        <v>4</v>
      </c>
      <c r="O49" s="104" t="s">
        <v>796</v>
      </c>
      <c r="P49" s="208">
        <v>2413</v>
      </c>
      <c r="Q49" s="208">
        <v>2750</v>
      </c>
      <c r="R49" s="208">
        <v>1485</v>
      </c>
      <c r="S49" s="52">
        <f t="shared" si="0"/>
        <v>6648</v>
      </c>
    </row>
    <row r="50" spans="1:19" ht="16.5">
      <c r="A50" s="38">
        <f t="shared" si="1"/>
        <v>49</v>
      </c>
      <c r="B50" s="38" t="s">
        <v>752</v>
      </c>
      <c r="C50" s="102" t="s">
        <v>802</v>
      </c>
      <c r="D50" s="102" t="s">
        <v>862</v>
      </c>
      <c r="E50" s="103">
        <v>302039437116</v>
      </c>
      <c r="F50" s="283" t="s">
        <v>686</v>
      </c>
      <c r="G50" s="51" t="s">
        <v>776</v>
      </c>
      <c r="H50" s="38" t="s">
        <v>863</v>
      </c>
      <c r="I50" s="304"/>
      <c r="J50" s="181"/>
      <c r="K50" s="105"/>
      <c r="L50" s="104">
        <v>201978000068</v>
      </c>
      <c r="M50" s="105" t="s">
        <v>401</v>
      </c>
      <c r="N50" s="105">
        <v>10</v>
      </c>
      <c r="O50" s="104">
        <v>302040018805</v>
      </c>
      <c r="P50" s="208">
        <v>2267</v>
      </c>
      <c r="Q50" s="208">
        <v>2750</v>
      </c>
      <c r="R50" s="208">
        <v>1595</v>
      </c>
      <c r="S50" s="52">
        <f t="shared" si="0"/>
        <v>6612</v>
      </c>
    </row>
    <row r="51" spans="1:19" ht="16.5">
      <c r="A51" s="38">
        <f t="shared" si="1"/>
        <v>50</v>
      </c>
      <c r="B51" s="38" t="s">
        <v>752</v>
      </c>
      <c r="C51" s="102" t="s">
        <v>864</v>
      </c>
      <c r="D51" s="102" t="s">
        <v>810</v>
      </c>
      <c r="E51" s="103">
        <v>302040220383</v>
      </c>
      <c r="F51" s="283" t="s">
        <v>865</v>
      </c>
      <c r="G51" s="51" t="s">
        <v>776</v>
      </c>
      <c r="H51" s="38" t="s">
        <v>863</v>
      </c>
      <c r="I51" s="304"/>
      <c r="J51" s="181"/>
      <c r="K51" s="105"/>
      <c r="L51" s="104">
        <v>201987000293</v>
      </c>
      <c r="M51" s="105" t="s">
        <v>866</v>
      </c>
      <c r="N51" s="105">
        <v>1</v>
      </c>
      <c r="O51" s="283">
        <v>302040702845</v>
      </c>
      <c r="P51" s="208" t="s">
        <v>867</v>
      </c>
      <c r="Q51" s="208">
        <v>3300</v>
      </c>
      <c r="R51" s="208">
        <v>1375</v>
      </c>
      <c r="S51" s="52">
        <f t="shared" si="0"/>
        <v>4675</v>
      </c>
    </row>
    <row r="52" spans="1:19" ht="16.5">
      <c r="A52" s="38">
        <f t="shared" si="1"/>
        <v>51</v>
      </c>
      <c r="B52" s="38" t="s">
        <v>752</v>
      </c>
      <c r="C52" s="102" t="s">
        <v>793</v>
      </c>
      <c r="D52" s="102" t="s">
        <v>781</v>
      </c>
      <c r="E52" s="103">
        <v>302039493481</v>
      </c>
      <c r="F52" s="283" t="s">
        <v>868</v>
      </c>
      <c r="G52" s="51" t="s">
        <v>776</v>
      </c>
      <c r="H52" s="38" t="s">
        <v>869</v>
      </c>
      <c r="I52" s="304"/>
      <c r="J52" s="181"/>
      <c r="K52" s="105"/>
      <c r="L52" s="104">
        <v>201978000041</v>
      </c>
      <c r="M52" s="105" t="s">
        <v>302</v>
      </c>
      <c r="N52" s="105">
        <v>2</v>
      </c>
      <c r="O52" s="104">
        <v>302053346934</v>
      </c>
      <c r="P52" s="208">
        <v>5862</v>
      </c>
      <c r="Q52" s="380">
        <v>2750</v>
      </c>
      <c r="R52" s="380">
        <v>1485</v>
      </c>
      <c r="S52" s="374">
        <f>SUM(P52:R53)</f>
        <v>11597</v>
      </c>
    </row>
    <row r="53" spans="1:19" ht="16.5">
      <c r="A53" s="38">
        <f t="shared" si="1"/>
        <v>52</v>
      </c>
      <c r="B53" s="38" t="s">
        <v>752</v>
      </c>
      <c r="C53" s="102" t="s">
        <v>793</v>
      </c>
      <c r="D53" s="102" t="s">
        <v>781</v>
      </c>
      <c r="E53" s="103">
        <v>302039493481</v>
      </c>
      <c r="F53" s="283" t="s">
        <v>868</v>
      </c>
      <c r="G53" s="51" t="s">
        <v>776</v>
      </c>
      <c r="H53" s="38" t="s">
        <v>869</v>
      </c>
      <c r="I53" s="304"/>
      <c r="J53" s="102"/>
      <c r="K53" s="105"/>
      <c r="L53" s="104">
        <v>201978000043</v>
      </c>
      <c r="M53" s="105" t="s">
        <v>344</v>
      </c>
      <c r="N53" s="105">
        <v>1</v>
      </c>
      <c r="O53" s="104">
        <v>302053346934</v>
      </c>
      <c r="P53" s="208">
        <v>1500</v>
      </c>
      <c r="Q53" s="381"/>
      <c r="R53" s="381"/>
      <c r="S53" s="376"/>
    </row>
    <row r="54" spans="1:19" ht="16.5">
      <c r="A54" s="38">
        <f t="shared" si="1"/>
        <v>53</v>
      </c>
      <c r="B54" s="38" t="s">
        <v>752</v>
      </c>
      <c r="C54" s="102" t="s">
        <v>784</v>
      </c>
      <c r="D54" s="102" t="s">
        <v>785</v>
      </c>
      <c r="E54" s="103">
        <v>302039606881</v>
      </c>
      <c r="F54" s="283" t="s">
        <v>870</v>
      </c>
      <c r="G54" s="51" t="s">
        <v>776</v>
      </c>
      <c r="H54" s="38" t="s">
        <v>869</v>
      </c>
      <c r="I54" s="304"/>
      <c r="J54" s="102"/>
      <c r="K54" s="105"/>
      <c r="L54" s="104">
        <v>201978000041</v>
      </c>
      <c r="M54" s="105" t="s">
        <v>302</v>
      </c>
      <c r="N54" s="105">
        <v>2</v>
      </c>
      <c r="O54" s="104">
        <v>302039889854</v>
      </c>
      <c r="P54" s="208">
        <v>5862</v>
      </c>
      <c r="Q54" s="380">
        <v>2750</v>
      </c>
      <c r="R54" s="380">
        <v>1485</v>
      </c>
      <c r="S54" s="374">
        <f>SUM(P54:R55)</f>
        <v>11597</v>
      </c>
    </row>
    <row r="55" spans="1:19" ht="16.5">
      <c r="A55" s="38">
        <f t="shared" si="1"/>
        <v>54</v>
      </c>
      <c r="B55" s="38" t="s">
        <v>752</v>
      </c>
      <c r="C55" s="102" t="s">
        <v>784</v>
      </c>
      <c r="D55" s="102" t="s">
        <v>785</v>
      </c>
      <c r="E55" s="103">
        <v>302039606881</v>
      </c>
      <c r="F55" s="283" t="s">
        <v>870</v>
      </c>
      <c r="G55" s="51" t="s">
        <v>776</v>
      </c>
      <c r="H55" s="38" t="s">
        <v>869</v>
      </c>
      <c r="I55" s="304"/>
      <c r="J55" s="102"/>
      <c r="K55" s="105"/>
      <c r="L55" s="104">
        <v>201978000043</v>
      </c>
      <c r="M55" s="106" t="s">
        <v>344</v>
      </c>
      <c r="N55" s="105">
        <v>1</v>
      </c>
      <c r="O55" s="104">
        <v>302039889854</v>
      </c>
      <c r="P55" s="208">
        <v>1500</v>
      </c>
      <c r="Q55" s="381"/>
      <c r="R55" s="381"/>
      <c r="S55" s="376"/>
    </row>
    <row r="56" spans="1:19" ht="16.5">
      <c r="A56" s="38">
        <f t="shared" si="1"/>
        <v>55</v>
      </c>
      <c r="B56" s="38" t="s">
        <v>752</v>
      </c>
      <c r="C56" s="102" t="s">
        <v>784</v>
      </c>
      <c r="D56" s="102" t="s">
        <v>774</v>
      </c>
      <c r="E56" s="103">
        <v>302039561403</v>
      </c>
      <c r="F56" s="283" t="s">
        <v>871</v>
      </c>
      <c r="G56" s="51" t="s">
        <v>776</v>
      </c>
      <c r="H56" s="38" t="s">
        <v>869</v>
      </c>
      <c r="I56" s="304"/>
      <c r="J56" s="181"/>
      <c r="K56" s="105"/>
      <c r="L56" s="104">
        <v>201978000041</v>
      </c>
      <c r="M56" s="105" t="s">
        <v>302</v>
      </c>
      <c r="N56" s="105">
        <v>2</v>
      </c>
      <c r="O56" s="104">
        <v>302039889865</v>
      </c>
      <c r="P56" s="208">
        <v>5862</v>
      </c>
      <c r="Q56" s="380">
        <v>2750</v>
      </c>
      <c r="R56" s="380">
        <v>1485</v>
      </c>
      <c r="S56" s="374">
        <f t="shared" ref="S56:S59" si="2">SUM(P56:R57)</f>
        <v>11597</v>
      </c>
    </row>
    <row r="57" spans="1:19" ht="16.5">
      <c r="A57" s="38">
        <f t="shared" si="1"/>
        <v>56</v>
      </c>
      <c r="B57" s="38" t="s">
        <v>752</v>
      </c>
      <c r="C57" s="102" t="s">
        <v>784</v>
      </c>
      <c r="D57" s="102" t="s">
        <v>774</v>
      </c>
      <c r="E57" s="103">
        <v>302039561403</v>
      </c>
      <c r="F57" s="283" t="s">
        <v>871</v>
      </c>
      <c r="G57" s="51" t="s">
        <v>776</v>
      </c>
      <c r="H57" s="38" t="s">
        <v>869</v>
      </c>
      <c r="I57" s="304"/>
      <c r="J57" s="102"/>
      <c r="K57" s="105"/>
      <c r="L57" s="104">
        <v>201978000043</v>
      </c>
      <c r="M57" s="276" t="s">
        <v>344</v>
      </c>
      <c r="N57" s="105">
        <v>1</v>
      </c>
      <c r="O57" s="283">
        <v>302039889865</v>
      </c>
      <c r="P57" s="208">
        <v>1500</v>
      </c>
      <c r="Q57" s="381"/>
      <c r="R57" s="381"/>
      <c r="S57" s="376"/>
    </row>
    <row r="58" spans="1:19" ht="16.5">
      <c r="A58" s="38">
        <f t="shared" si="1"/>
        <v>57</v>
      </c>
      <c r="B58" s="38" t="s">
        <v>752</v>
      </c>
      <c r="C58" s="102" t="s">
        <v>773</v>
      </c>
      <c r="D58" s="102" t="s">
        <v>774</v>
      </c>
      <c r="E58" s="103">
        <v>302053201883</v>
      </c>
      <c r="F58" s="283" t="s">
        <v>872</v>
      </c>
      <c r="G58" s="51" t="s">
        <v>776</v>
      </c>
      <c r="H58" s="38" t="s">
        <v>873</v>
      </c>
      <c r="I58" s="304"/>
      <c r="J58" s="181"/>
      <c r="K58" s="105"/>
      <c r="L58" s="104">
        <v>201978000045</v>
      </c>
      <c r="M58" s="106" t="s">
        <v>398</v>
      </c>
      <c r="N58" s="105">
        <v>1</v>
      </c>
      <c r="O58" s="104" t="s">
        <v>796</v>
      </c>
      <c r="P58" s="208">
        <v>3597</v>
      </c>
      <c r="Q58" s="380">
        <v>2750</v>
      </c>
      <c r="R58" s="380">
        <v>1485</v>
      </c>
      <c r="S58" s="374">
        <f t="shared" ref="S58:S59" si="3">SUM(P58:R59)</f>
        <v>13694</v>
      </c>
    </row>
    <row r="59" spans="1:19" ht="16.5">
      <c r="A59" s="38">
        <f t="shared" si="1"/>
        <v>58</v>
      </c>
      <c r="B59" s="38" t="s">
        <v>752</v>
      </c>
      <c r="C59" s="102" t="s">
        <v>773</v>
      </c>
      <c r="D59" s="102" t="s">
        <v>774</v>
      </c>
      <c r="E59" s="103">
        <v>302053201883</v>
      </c>
      <c r="F59" s="283" t="s">
        <v>872</v>
      </c>
      <c r="G59" s="51" t="s">
        <v>776</v>
      </c>
      <c r="H59" s="38" t="s">
        <v>873</v>
      </c>
      <c r="I59" s="304"/>
      <c r="J59" s="102"/>
      <c r="K59" s="105"/>
      <c r="L59" s="104">
        <v>201978000041</v>
      </c>
      <c r="M59" s="106" t="s">
        <v>302</v>
      </c>
      <c r="N59" s="105">
        <v>1</v>
      </c>
      <c r="O59" s="104" t="s">
        <v>796</v>
      </c>
      <c r="P59" s="208">
        <v>5862</v>
      </c>
      <c r="Q59" s="381"/>
      <c r="R59" s="381"/>
      <c r="S59" s="376"/>
    </row>
    <row r="60" spans="1:19" ht="16.5">
      <c r="A60" s="38">
        <f t="shared" si="1"/>
        <v>59</v>
      </c>
      <c r="B60" s="38" t="s">
        <v>752</v>
      </c>
      <c r="C60" s="102" t="s">
        <v>808</v>
      </c>
      <c r="D60" s="102" t="s">
        <v>793</v>
      </c>
      <c r="E60" s="103">
        <v>302039756073</v>
      </c>
      <c r="F60" s="283" t="s">
        <v>688</v>
      </c>
      <c r="G60" s="51" t="s">
        <v>776</v>
      </c>
      <c r="H60" s="38" t="s">
        <v>873</v>
      </c>
      <c r="I60" s="304"/>
      <c r="J60" s="181"/>
      <c r="K60" s="105"/>
      <c r="L60" s="104">
        <v>201991000143</v>
      </c>
      <c r="M60" s="106" t="s">
        <v>689</v>
      </c>
      <c r="N60" s="105">
        <v>2</v>
      </c>
      <c r="O60" s="104" t="s">
        <v>796</v>
      </c>
      <c r="P60" s="208">
        <v>6562</v>
      </c>
      <c r="Q60" s="208">
        <v>3245</v>
      </c>
      <c r="R60" s="208">
        <v>1485</v>
      </c>
      <c r="S60" s="52">
        <f t="shared" si="0"/>
        <v>11292</v>
      </c>
    </row>
    <row r="61" spans="1:19" ht="16.5">
      <c r="A61" s="38">
        <f t="shared" si="1"/>
        <v>60</v>
      </c>
      <c r="B61" s="38" t="s">
        <v>752</v>
      </c>
      <c r="C61" s="102" t="s">
        <v>787</v>
      </c>
      <c r="D61" s="102" t="s">
        <v>793</v>
      </c>
      <c r="E61" s="103">
        <v>302053349071</v>
      </c>
      <c r="F61" s="283" t="s">
        <v>874</v>
      </c>
      <c r="G61" s="51" t="s">
        <v>776</v>
      </c>
      <c r="H61" s="38" t="s">
        <v>875</v>
      </c>
      <c r="I61" s="304"/>
      <c r="J61" s="102"/>
      <c r="K61" s="105"/>
      <c r="L61" s="104">
        <v>201978000043</v>
      </c>
      <c r="M61" s="106" t="s">
        <v>344</v>
      </c>
      <c r="N61" s="105">
        <v>4</v>
      </c>
      <c r="O61" s="104">
        <v>302053430326</v>
      </c>
      <c r="P61" s="208">
        <v>9900</v>
      </c>
      <c r="Q61" s="370">
        <v>2750</v>
      </c>
      <c r="R61" s="208">
        <v>1485</v>
      </c>
      <c r="S61" s="52">
        <f t="shared" si="0"/>
        <v>14135</v>
      </c>
    </row>
    <row r="62" spans="1:19" ht="16.5">
      <c r="A62" s="38">
        <f t="shared" si="1"/>
        <v>61</v>
      </c>
      <c r="B62" s="38" t="s">
        <v>752</v>
      </c>
      <c r="C62" s="102" t="s">
        <v>825</v>
      </c>
      <c r="D62" s="102" t="s">
        <v>816</v>
      </c>
      <c r="E62" s="103">
        <v>302053609180</v>
      </c>
      <c r="F62" s="283" t="s">
        <v>876</v>
      </c>
      <c r="G62" s="51" t="s">
        <v>776</v>
      </c>
      <c r="H62" s="38" t="s">
        <v>877</v>
      </c>
      <c r="I62" s="304"/>
      <c r="J62" s="102"/>
      <c r="K62" s="105"/>
      <c r="L62" s="104">
        <v>201978000061</v>
      </c>
      <c r="M62" s="106" t="s">
        <v>693</v>
      </c>
      <c r="N62" s="105">
        <v>1</v>
      </c>
      <c r="O62" s="104" t="s">
        <v>796</v>
      </c>
      <c r="P62" s="208">
        <v>5862</v>
      </c>
      <c r="Q62" s="370">
        <v>3245</v>
      </c>
      <c r="R62" s="208">
        <v>1485</v>
      </c>
      <c r="S62" s="52">
        <f t="shared" si="0"/>
        <v>10592</v>
      </c>
    </row>
    <row r="63" spans="1:19" ht="16.5">
      <c r="A63" s="38">
        <f t="shared" si="1"/>
        <v>62</v>
      </c>
      <c r="B63" s="38" t="s">
        <v>752</v>
      </c>
      <c r="C63" s="102" t="s">
        <v>802</v>
      </c>
      <c r="D63" s="102" t="s">
        <v>773</v>
      </c>
      <c r="E63" s="103">
        <v>302053371946</v>
      </c>
      <c r="F63" s="283" t="s">
        <v>878</v>
      </c>
      <c r="G63" s="51" t="s">
        <v>879</v>
      </c>
      <c r="H63" s="38" t="s">
        <v>880</v>
      </c>
      <c r="I63" s="304"/>
      <c r="J63" s="102"/>
      <c r="K63" s="105"/>
      <c r="L63" s="104">
        <v>201978000016</v>
      </c>
      <c r="M63" s="106" t="s">
        <v>814</v>
      </c>
      <c r="N63" s="105">
        <v>2</v>
      </c>
      <c r="O63" s="104">
        <v>302053451374</v>
      </c>
      <c r="P63" s="108">
        <v>7800</v>
      </c>
      <c r="Q63" s="107">
        <v>3245</v>
      </c>
      <c r="R63" s="108">
        <v>1485</v>
      </c>
      <c r="S63" s="52">
        <f t="shared" si="0"/>
        <v>12530</v>
      </c>
    </row>
    <row r="64" spans="1:19" ht="16.5">
      <c r="A64" s="38">
        <f t="shared" si="1"/>
        <v>63</v>
      </c>
      <c r="B64" s="38" t="s">
        <v>752</v>
      </c>
      <c r="C64" s="102" t="s">
        <v>845</v>
      </c>
      <c r="D64" s="102" t="s">
        <v>840</v>
      </c>
      <c r="E64" s="103">
        <v>302040642251</v>
      </c>
      <c r="F64" s="283" t="s">
        <v>881</v>
      </c>
      <c r="G64" s="51" t="s">
        <v>879</v>
      </c>
      <c r="H64" s="38" t="s">
        <v>882</v>
      </c>
      <c r="I64" s="304"/>
      <c r="J64" s="102"/>
      <c r="K64" s="105"/>
      <c r="L64" s="104">
        <v>201978000138</v>
      </c>
      <c r="M64" s="106" t="s">
        <v>407</v>
      </c>
      <c r="N64" s="105">
        <v>2</v>
      </c>
      <c r="O64" s="104" t="s">
        <v>796</v>
      </c>
      <c r="P64" s="107">
        <v>19730</v>
      </c>
      <c r="Q64" s="107">
        <v>2750</v>
      </c>
      <c r="R64" s="108">
        <v>1430</v>
      </c>
      <c r="S64" s="52">
        <f t="shared" si="0"/>
        <v>23910</v>
      </c>
    </row>
    <row r="65" spans="1:19" ht="16.5">
      <c r="A65" s="38">
        <f t="shared" si="1"/>
        <v>64</v>
      </c>
      <c r="B65" s="38" t="s">
        <v>752</v>
      </c>
      <c r="C65" s="102" t="s">
        <v>793</v>
      </c>
      <c r="D65" s="102" t="s">
        <v>883</v>
      </c>
      <c r="E65" s="103">
        <v>302053271662</v>
      </c>
      <c r="F65" s="283" t="s">
        <v>884</v>
      </c>
      <c r="G65" s="51" t="s">
        <v>879</v>
      </c>
      <c r="H65" s="38" t="s">
        <v>885</v>
      </c>
      <c r="I65" s="304"/>
      <c r="J65" s="102"/>
      <c r="K65" s="105"/>
      <c r="L65" s="104">
        <v>201978000068</v>
      </c>
      <c r="M65" s="106" t="s">
        <v>401</v>
      </c>
      <c r="N65" s="105">
        <v>3</v>
      </c>
      <c r="O65" s="104" t="s">
        <v>796</v>
      </c>
      <c r="P65" s="107">
        <v>13950</v>
      </c>
      <c r="Q65" s="107">
        <v>3245</v>
      </c>
      <c r="R65" s="108">
        <v>1485</v>
      </c>
      <c r="S65" s="52">
        <f t="shared" si="0"/>
        <v>18680</v>
      </c>
    </row>
    <row r="66" spans="1:19" ht="16.5">
      <c r="A66" s="38">
        <f t="shared" si="1"/>
        <v>65</v>
      </c>
      <c r="B66" s="38" t="s">
        <v>752</v>
      </c>
      <c r="C66" s="102" t="s">
        <v>793</v>
      </c>
      <c r="D66" s="102" t="s">
        <v>774</v>
      </c>
      <c r="E66" s="103">
        <v>302053196110</v>
      </c>
      <c r="F66" s="283" t="s">
        <v>886</v>
      </c>
      <c r="G66" s="51" t="s">
        <v>879</v>
      </c>
      <c r="H66" s="38" t="s">
        <v>885</v>
      </c>
      <c r="I66" s="304"/>
      <c r="J66" s="102"/>
      <c r="K66" s="105"/>
      <c r="L66" s="104">
        <v>201978000045</v>
      </c>
      <c r="M66" s="106" t="s">
        <v>398</v>
      </c>
      <c r="N66" s="105">
        <v>1</v>
      </c>
      <c r="O66" s="104" t="s">
        <v>796</v>
      </c>
      <c r="P66" s="371">
        <v>12900</v>
      </c>
      <c r="Q66" s="371">
        <v>3245</v>
      </c>
      <c r="R66" s="371">
        <v>1485</v>
      </c>
      <c r="S66" s="374">
        <f t="shared" si="0"/>
        <v>17630</v>
      </c>
    </row>
    <row r="67" spans="1:19" ht="16.5">
      <c r="A67" s="38">
        <f t="shared" si="1"/>
        <v>66</v>
      </c>
      <c r="B67" s="38" t="s">
        <v>752</v>
      </c>
      <c r="C67" s="102" t="s">
        <v>793</v>
      </c>
      <c r="D67" s="102" t="s">
        <v>774</v>
      </c>
      <c r="E67" s="103">
        <v>302053196110</v>
      </c>
      <c r="F67" s="283" t="s">
        <v>886</v>
      </c>
      <c r="G67" s="51" t="s">
        <v>879</v>
      </c>
      <c r="H67" s="38" t="s">
        <v>885</v>
      </c>
      <c r="I67" s="304"/>
      <c r="J67" s="102"/>
      <c r="K67" s="105"/>
      <c r="L67" s="104">
        <v>201978000041</v>
      </c>
      <c r="M67" s="106" t="s">
        <v>302</v>
      </c>
      <c r="N67" s="105">
        <v>1</v>
      </c>
      <c r="O67" s="104" t="s">
        <v>796</v>
      </c>
      <c r="P67" s="373"/>
      <c r="Q67" s="373"/>
      <c r="R67" s="373"/>
      <c r="S67" s="376"/>
    </row>
    <row r="68" spans="1:19" ht="16.5">
      <c r="A68" s="38">
        <f t="shared" si="1"/>
        <v>67</v>
      </c>
      <c r="B68" s="38" t="s">
        <v>752</v>
      </c>
      <c r="C68" s="102" t="s">
        <v>773</v>
      </c>
      <c r="D68" s="102" t="s">
        <v>887</v>
      </c>
      <c r="E68" s="103">
        <v>302039321104</v>
      </c>
      <c r="F68" s="283" t="s">
        <v>547</v>
      </c>
      <c r="G68" s="51" t="s">
        <v>879</v>
      </c>
      <c r="H68" s="38" t="s">
        <v>885</v>
      </c>
      <c r="I68" s="304"/>
      <c r="J68" s="102"/>
      <c r="K68" s="105"/>
      <c r="L68" s="104">
        <v>201978000151</v>
      </c>
      <c r="M68" s="106" t="s">
        <v>312</v>
      </c>
      <c r="N68" s="105">
        <v>10</v>
      </c>
      <c r="O68" s="104" t="s">
        <v>796</v>
      </c>
      <c r="P68" s="107">
        <v>68800</v>
      </c>
      <c r="Q68" s="108">
        <v>6215</v>
      </c>
      <c r="R68" s="108">
        <v>2695</v>
      </c>
      <c r="S68" s="52">
        <f t="shared" si="0"/>
        <v>77710</v>
      </c>
    </row>
    <row r="69" spans="1:19" ht="16.5">
      <c r="A69" s="38">
        <f t="shared" si="1"/>
        <v>68</v>
      </c>
      <c r="B69" s="38" t="s">
        <v>752</v>
      </c>
      <c r="C69" s="102" t="s">
        <v>773</v>
      </c>
      <c r="D69" s="102" t="s">
        <v>781</v>
      </c>
      <c r="E69" s="103">
        <v>302039496174</v>
      </c>
      <c r="F69" s="283" t="s">
        <v>888</v>
      </c>
      <c r="G69" s="38" t="s">
        <v>879</v>
      </c>
      <c r="H69" s="38" t="s">
        <v>885</v>
      </c>
      <c r="I69" s="304"/>
      <c r="J69" s="102"/>
      <c r="K69" s="105"/>
      <c r="L69" s="104">
        <v>201978000041</v>
      </c>
      <c r="M69" s="106" t="s">
        <v>302</v>
      </c>
      <c r="N69" s="105">
        <v>2</v>
      </c>
      <c r="O69" s="283">
        <v>302039824076</v>
      </c>
      <c r="P69" s="371">
        <v>18900</v>
      </c>
      <c r="Q69" s="371">
        <v>2750</v>
      </c>
      <c r="R69" s="371">
        <v>1485</v>
      </c>
      <c r="S69" s="374">
        <f t="shared" si="0"/>
        <v>23135</v>
      </c>
    </row>
    <row r="70" spans="1:19" ht="16.5">
      <c r="A70" s="38">
        <f t="shared" si="1"/>
        <v>69</v>
      </c>
      <c r="B70" s="38" t="s">
        <v>752</v>
      </c>
      <c r="C70" s="102" t="s">
        <v>773</v>
      </c>
      <c r="D70" s="102" t="s">
        <v>781</v>
      </c>
      <c r="E70" s="103">
        <v>302039496174</v>
      </c>
      <c r="F70" s="283" t="s">
        <v>888</v>
      </c>
      <c r="G70" s="51" t="s">
        <v>879</v>
      </c>
      <c r="H70" s="38" t="s">
        <v>885</v>
      </c>
      <c r="I70" s="304"/>
      <c r="J70" s="102"/>
      <c r="K70" s="105"/>
      <c r="L70" s="104">
        <v>201978000043</v>
      </c>
      <c r="M70" s="106" t="s">
        <v>344</v>
      </c>
      <c r="N70" s="105">
        <v>1</v>
      </c>
      <c r="O70" s="104">
        <v>302039824076</v>
      </c>
      <c r="P70" s="373"/>
      <c r="Q70" s="373"/>
      <c r="R70" s="373"/>
      <c r="S70" s="376"/>
    </row>
    <row r="71" spans="1:19" ht="16.5">
      <c r="A71" s="38">
        <f t="shared" si="1"/>
        <v>70</v>
      </c>
      <c r="B71" s="38" t="s">
        <v>752</v>
      </c>
      <c r="C71" s="102" t="s">
        <v>808</v>
      </c>
      <c r="D71" s="102" t="s">
        <v>784</v>
      </c>
      <c r="E71" s="103">
        <v>302053410284</v>
      </c>
      <c r="F71" s="283" t="s">
        <v>889</v>
      </c>
      <c r="G71" s="51" t="s">
        <v>879</v>
      </c>
      <c r="H71" s="38" t="s">
        <v>885</v>
      </c>
      <c r="I71" s="304"/>
      <c r="J71" s="102"/>
      <c r="K71" s="105"/>
      <c r="L71" s="104">
        <v>201978000068</v>
      </c>
      <c r="M71" s="106" t="s">
        <v>401</v>
      </c>
      <c r="N71" s="105">
        <v>8</v>
      </c>
      <c r="O71" s="104" t="s">
        <v>796</v>
      </c>
      <c r="P71" s="107">
        <v>29900</v>
      </c>
      <c r="Q71" s="107">
        <v>2750</v>
      </c>
      <c r="R71" s="108">
        <v>1485</v>
      </c>
      <c r="S71" s="52">
        <f t="shared" ref="S70:S94" si="4">SUM(P71:R71)</f>
        <v>34135</v>
      </c>
    </row>
    <row r="72" spans="1:19" ht="16.5">
      <c r="A72" s="38">
        <f t="shared" si="1"/>
        <v>71</v>
      </c>
      <c r="B72" s="38" t="s">
        <v>752</v>
      </c>
      <c r="C72" s="102" t="s">
        <v>808</v>
      </c>
      <c r="D72" s="102" t="s">
        <v>781</v>
      </c>
      <c r="E72" s="103">
        <v>302039513361</v>
      </c>
      <c r="F72" s="283" t="s">
        <v>890</v>
      </c>
      <c r="G72" s="51" t="s">
        <v>879</v>
      </c>
      <c r="H72" s="38" t="s">
        <v>885</v>
      </c>
      <c r="I72" s="304"/>
      <c r="J72" s="102"/>
      <c r="K72" s="105"/>
      <c r="L72" s="104">
        <v>201978000043</v>
      </c>
      <c r="M72" s="106" t="s">
        <v>344</v>
      </c>
      <c r="N72" s="105">
        <v>4</v>
      </c>
      <c r="O72" s="104">
        <v>302040186890</v>
      </c>
      <c r="P72" s="107">
        <v>11900</v>
      </c>
      <c r="Q72" s="107">
        <v>2750</v>
      </c>
      <c r="R72" s="108">
        <v>1485</v>
      </c>
      <c r="S72" s="52">
        <f t="shared" si="4"/>
        <v>16135</v>
      </c>
    </row>
    <row r="73" spans="1:19" ht="16.5">
      <c r="A73" s="38">
        <f t="shared" si="1"/>
        <v>72</v>
      </c>
      <c r="B73" s="38" t="s">
        <v>752</v>
      </c>
      <c r="C73" s="102" t="s">
        <v>808</v>
      </c>
      <c r="D73" s="102" t="s">
        <v>802</v>
      </c>
      <c r="E73" s="103">
        <v>302040000351</v>
      </c>
      <c r="F73" s="283" t="s">
        <v>891</v>
      </c>
      <c r="G73" s="51" t="s">
        <v>879</v>
      </c>
      <c r="H73" s="38" t="s">
        <v>885</v>
      </c>
      <c r="I73" s="304"/>
      <c r="J73" s="102"/>
      <c r="K73" s="105"/>
      <c r="L73" s="104">
        <v>201978000068</v>
      </c>
      <c r="M73" s="106" t="s">
        <v>401</v>
      </c>
      <c r="N73" s="105">
        <v>10</v>
      </c>
      <c r="O73" s="104">
        <v>302053530872</v>
      </c>
      <c r="P73" s="306">
        <v>29900</v>
      </c>
      <c r="Q73" s="306">
        <v>2750</v>
      </c>
      <c r="R73" s="306">
        <v>1595</v>
      </c>
      <c r="S73" s="52">
        <f t="shared" si="4"/>
        <v>34245</v>
      </c>
    </row>
    <row r="74" spans="1:19" ht="16.5">
      <c r="A74" s="38">
        <f t="shared" si="1"/>
        <v>73</v>
      </c>
      <c r="B74" s="38" t="s">
        <v>752</v>
      </c>
      <c r="C74" s="102" t="s">
        <v>808</v>
      </c>
      <c r="D74" s="102" t="s">
        <v>802</v>
      </c>
      <c r="E74" s="103">
        <v>302053450755</v>
      </c>
      <c r="F74" s="283" t="s">
        <v>892</v>
      </c>
      <c r="G74" s="51" t="s">
        <v>879</v>
      </c>
      <c r="H74" s="38" t="s">
        <v>885</v>
      </c>
      <c r="I74" s="304"/>
      <c r="J74" s="102"/>
      <c r="K74" s="105"/>
      <c r="L74" s="104">
        <v>201978000086</v>
      </c>
      <c r="M74" s="106" t="s">
        <v>893</v>
      </c>
      <c r="N74" s="105">
        <v>2</v>
      </c>
      <c r="O74" s="104">
        <v>302053523533</v>
      </c>
      <c r="P74" s="371">
        <v>22220</v>
      </c>
      <c r="Q74" s="371">
        <v>3245</v>
      </c>
      <c r="R74" s="371">
        <v>1320</v>
      </c>
      <c r="S74" s="374">
        <f t="shared" si="4"/>
        <v>26785</v>
      </c>
    </row>
    <row r="75" spans="1:19" ht="16.5">
      <c r="A75" s="38">
        <f t="shared" si="1"/>
        <v>74</v>
      </c>
      <c r="B75" s="38" t="s">
        <v>752</v>
      </c>
      <c r="C75" s="102" t="s">
        <v>808</v>
      </c>
      <c r="D75" s="102" t="s">
        <v>802</v>
      </c>
      <c r="E75" s="103">
        <v>302053450755</v>
      </c>
      <c r="F75" s="283" t="s">
        <v>892</v>
      </c>
      <c r="G75" s="51" t="s">
        <v>879</v>
      </c>
      <c r="H75" s="38" t="s">
        <v>885</v>
      </c>
      <c r="I75" s="304"/>
      <c r="J75" s="102"/>
      <c r="K75" s="105"/>
      <c r="L75" s="104">
        <v>201978000087</v>
      </c>
      <c r="M75" s="106" t="s">
        <v>894</v>
      </c>
      <c r="N75" s="105">
        <v>2</v>
      </c>
      <c r="O75" s="104">
        <v>302053523533</v>
      </c>
      <c r="P75" s="373"/>
      <c r="Q75" s="373"/>
      <c r="R75" s="373"/>
      <c r="S75" s="376"/>
    </row>
    <row r="76" spans="1:19" ht="16.5">
      <c r="A76" s="38">
        <f t="shared" si="1"/>
        <v>75</v>
      </c>
      <c r="B76" s="38" t="s">
        <v>752</v>
      </c>
      <c r="C76" s="102" t="s">
        <v>810</v>
      </c>
      <c r="D76" s="102" t="s">
        <v>787</v>
      </c>
      <c r="E76" s="103">
        <v>302053428683</v>
      </c>
      <c r="F76" s="283" t="s">
        <v>895</v>
      </c>
      <c r="G76" s="51" t="s">
        <v>879</v>
      </c>
      <c r="H76" s="38" t="s">
        <v>885</v>
      </c>
      <c r="I76" s="304"/>
      <c r="J76" s="102"/>
      <c r="K76" s="105"/>
      <c r="L76" s="104">
        <v>201978000041</v>
      </c>
      <c r="M76" s="106" t="s">
        <v>302</v>
      </c>
      <c r="N76" s="105">
        <v>2</v>
      </c>
      <c r="O76" s="104" t="s">
        <v>796</v>
      </c>
      <c r="P76" s="107">
        <v>20500</v>
      </c>
      <c r="Q76" s="107">
        <v>2750</v>
      </c>
      <c r="R76" s="108">
        <v>1485</v>
      </c>
      <c r="S76" s="52">
        <f t="shared" si="4"/>
        <v>24735</v>
      </c>
    </row>
    <row r="77" spans="1:19" ht="16.5">
      <c r="A77" s="38">
        <f t="shared" si="1"/>
        <v>76</v>
      </c>
      <c r="B77" s="38" t="s">
        <v>752</v>
      </c>
      <c r="C77" s="102" t="s">
        <v>810</v>
      </c>
      <c r="D77" s="102" t="s">
        <v>802</v>
      </c>
      <c r="E77" s="103">
        <v>302053456753</v>
      </c>
      <c r="F77" s="283" t="s">
        <v>896</v>
      </c>
      <c r="G77" s="51" t="s">
        <v>879</v>
      </c>
      <c r="H77" s="38" t="s">
        <v>885</v>
      </c>
      <c r="I77" s="304"/>
      <c r="J77" s="102"/>
      <c r="K77" s="105"/>
      <c r="L77" s="104">
        <v>201978000079</v>
      </c>
      <c r="M77" s="106" t="s">
        <v>380</v>
      </c>
      <c r="N77" s="105">
        <v>3</v>
      </c>
      <c r="O77" s="104">
        <v>302053560213</v>
      </c>
      <c r="P77" s="371">
        <v>47900</v>
      </c>
      <c r="Q77" s="371">
        <v>3410</v>
      </c>
      <c r="R77" s="371">
        <v>594</v>
      </c>
      <c r="S77" s="374">
        <f t="shared" si="4"/>
        <v>51904</v>
      </c>
    </row>
    <row r="78" spans="1:19" ht="16.5">
      <c r="A78" s="38">
        <f t="shared" si="1"/>
        <v>77</v>
      </c>
      <c r="B78" s="38" t="s">
        <v>752</v>
      </c>
      <c r="C78" s="102" t="s">
        <v>810</v>
      </c>
      <c r="D78" s="102" t="s">
        <v>802</v>
      </c>
      <c r="E78" s="103">
        <v>302053456753</v>
      </c>
      <c r="F78" s="283" t="s">
        <v>896</v>
      </c>
      <c r="G78" s="51" t="s">
        <v>879</v>
      </c>
      <c r="H78" s="38" t="s">
        <v>885</v>
      </c>
      <c r="I78" s="304"/>
      <c r="J78" s="102"/>
      <c r="K78" s="105"/>
      <c r="L78" s="104">
        <v>201991000083</v>
      </c>
      <c r="M78" s="106" t="s">
        <v>738</v>
      </c>
      <c r="N78" s="105">
        <v>3</v>
      </c>
      <c r="O78" s="104">
        <v>302053560213</v>
      </c>
      <c r="P78" s="373"/>
      <c r="Q78" s="373"/>
      <c r="R78" s="373"/>
      <c r="S78" s="376"/>
    </row>
    <row r="79" spans="1:19" ht="16.5">
      <c r="A79" s="38">
        <f t="shared" si="1"/>
        <v>78</v>
      </c>
      <c r="B79" s="38" t="s">
        <v>752</v>
      </c>
      <c r="C79" s="102" t="s">
        <v>810</v>
      </c>
      <c r="D79" s="102" t="s">
        <v>787</v>
      </c>
      <c r="E79" s="103">
        <v>302053429405</v>
      </c>
      <c r="F79" s="283" t="s">
        <v>897</v>
      </c>
      <c r="G79" s="51" t="s">
        <v>879</v>
      </c>
      <c r="H79" s="38" t="s">
        <v>885</v>
      </c>
      <c r="I79" s="304"/>
      <c r="J79" s="102"/>
      <c r="K79" s="105"/>
      <c r="L79" s="104">
        <v>201991000166</v>
      </c>
      <c r="M79" s="106" t="s">
        <v>357</v>
      </c>
      <c r="N79" s="105">
        <v>1</v>
      </c>
      <c r="O79" s="104" t="s">
        <v>796</v>
      </c>
      <c r="P79" s="107">
        <v>17570</v>
      </c>
      <c r="Q79" s="108">
        <v>3245</v>
      </c>
      <c r="R79" s="108">
        <v>1320</v>
      </c>
      <c r="S79" s="52">
        <f t="shared" si="4"/>
        <v>22135</v>
      </c>
    </row>
    <row r="80" spans="1:19" ht="16.5">
      <c r="A80" s="38">
        <f t="shared" si="1"/>
        <v>79</v>
      </c>
      <c r="B80" s="38" t="s">
        <v>752</v>
      </c>
      <c r="C80" s="102" t="s">
        <v>810</v>
      </c>
      <c r="D80" s="102" t="s">
        <v>802</v>
      </c>
      <c r="E80" s="103">
        <v>302053451595</v>
      </c>
      <c r="F80" s="283" t="s">
        <v>898</v>
      </c>
      <c r="G80" s="51" t="s">
        <v>879</v>
      </c>
      <c r="H80" s="38" t="s">
        <v>885</v>
      </c>
      <c r="I80" s="304"/>
      <c r="J80" s="102"/>
      <c r="K80" s="105"/>
      <c r="L80" s="104">
        <v>202008000058</v>
      </c>
      <c r="M80" s="106" t="s">
        <v>315</v>
      </c>
      <c r="N80" s="105">
        <v>2</v>
      </c>
      <c r="O80" s="104" t="s">
        <v>796</v>
      </c>
      <c r="P80" s="107">
        <v>11760</v>
      </c>
      <c r="Q80" s="108">
        <v>2750</v>
      </c>
      <c r="R80" s="108">
        <v>1485</v>
      </c>
      <c r="S80" s="52">
        <f t="shared" si="4"/>
        <v>15995</v>
      </c>
    </row>
    <row r="81" spans="1:19" ht="16.5">
      <c r="A81" s="38">
        <f t="shared" si="1"/>
        <v>80</v>
      </c>
      <c r="B81" s="38" t="s">
        <v>752</v>
      </c>
      <c r="C81" s="102" t="s">
        <v>810</v>
      </c>
      <c r="D81" s="102" t="s">
        <v>802</v>
      </c>
      <c r="E81" s="103">
        <v>302053452391</v>
      </c>
      <c r="F81" s="283" t="s">
        <v>899</v>
      </c>
      <c r="G81" s="51" t="s">
        <v>879</v>
      </c>
      <c r="H81" s="38" t="s">
        <v>885</v>
      </c>
      <c r="I81" s="304"/>
      <c r="J81" s="102"/>
      <c r="K81" s="105"/>
      <c r="L81" s="104">
        <v>201978000149</v>
      </c>
      <c r="M81" s="106" t="s">
        <v>851</v>
      </c>
      <c r="N81" s="105">
        <v>1</v>
      </c>
      <c r="O81" s="104" t="s">
        <v>796</v>
      </c>
      <c r="P81" s="107">
        <v>7700</v>
      </c>
      <c r="Q81" s="371">
        <v>3245</v>
      </c>
      <c r="R81" s="371">
        <v>1485</v>
      </c>
      <c r="S81" s="374">
        <f>SUM(P81:R82)</f>
        <v>26430</v>
      </c>
    </row>
    <row r="82" spans="1:19" ht="16.5">
      <c r="A82" s="38">
        <f t="shared" si="1"/>
        <v>81</v>
      </c>
      <c r="B82" s="38" t="s">
        <v>752</v>
      </c>
      <c r="C82" s="102" t="s">
        <v>810</v>
      </c>
      <c r="D82" s="102" t="s">
        <v>802</v>
      </c>
      <c r="E82" s="103">
        <v>302053452391</v>
      </c>
      <c r="F82" s="283" t="s">
        <v>899</v>
      </c>
      <c r="G82" s="51" t="s">
        <v>879</v>
      </c>
      <c r="H82" s="38" t="s">
        <v>885</v>
      </c>
      <c r="I82" s="304"/>
      <c r="J82" s="102"/>
      <c r="K82" s="105"/>
      <c r="L82" s="104">
        <v>201978000046</v>
      </c>
      <c r="M82" s="106" t="s">
        <v>900</v>
      </c>
      <c r="N82" s="105">
        <v>2</v>
      </c>
      <c r="O82" s="104" t="s">
        <v>796</v>
      </c>
      <c r="P82" s="107">
        <v>14000</v>
      </c>
      <c r="Q82" s="373"/>
      <c r="R82" s="373"/>
      <c r="S82" s="376"/>
    </row>
    <row r="83" spans="1:19" ht="16.5">
      <c r="A83" s="38">
        <f t="shared" si="1"/>
        <v>82</v>
      </c>
      <c r="B83" s="38" t="s">
        <v>752</v>
      </c>
      <c r="C83" s="102" t="s">
        <v>810</v>
      </c>
      <c r="D83" s="102" t="s">
        <v>802</v>
      </c>
      <c r="E83" s="103">
        <v>302053461620</v>
      </c>
      <c r="F83" s="283" t="s">
        <v>901</v>
      </c>
      <c r="G83" s="51" t="s">
        <v>879</v>
      </c>
      <c r="H83" s="38" t="s">
        <v>885</v>
      </c>
      <c r="I83" s="304"/>
      <c r="J83" s="102"/>
      <c r="K83" s="105"/>
      <c r="L83" s="104">
        <v>201978000150</v>
      </c>
      <c r="M83" s="106" t="s">
        <v>435</v>
      </c>
      <c r="N83" s="105">
        <v>1</v>
      </c>
      <c r="O83" s="104" t="s">
        <v>796</v>
      </c>
      <c r="P83" s="107">
        <v>8400</v>
      </c>
      <c r="Q83" s="108">
        <v>3245</v>
      </c>
      <c r="R83" s="108">
        <v>1485</v>
      </c>
      <c r="S83" s="52">
        <f t="shared" si="4"/>
        <v>13130</v>
      </c>
    </row>
    <row r="84" spans="1:19" ht="16.5">
      <c r="A84" s="38">
        <f t="shared" si="1"/>
        <v>83</v>
      </c>
      <c r="B84" s="38" t="s">
        <v>752</v>
      </c>
      <c r="C84" s="102" t="s">
        <v>810</v>
      </c>
      <c r="D84" s="102" t="s">
        <v>802</v>
      </c>
      <c r="E84" s="103">
        <v>302053465562</v>
      </c>
      <c r="F84" s="283" t="s">
        <v>902</v>
      </c>
      <c r="G84" s="51" t="s">
        <v>879</v>
      </c>
      <c r="H84" s="38" t="s">
        <v>885</v>
      </c>
      <c r="I84" s="304"/>
      <c r="J84" s="102"/>
      <c r="K84" s="105"/>
      <c r="L84" s="104">
        <v>201991000079</v>
      </c>
      <c r="M84" s="106" t="s">
        <v>903</v>
      </c>
      <c r="N84" s="105">
        <v>5</v>
      </c>
      <c r="O84" s="104" t="s">
        <v>796</v>
      </c>
      <c r="P84" s="107">
        <v>34900</v>
      </c>
      <c r="Q84" s="108">
        <v>3245</v>
      </c>
      <c r="R84" s="108">
        <v>1485</v>
      </c>
      <c r="S84" s="52">
        <f t="shared" si="4"/>
        <v>39630</v>
      </c>
    </row>
    <row r="85" spans="1:19" ht="16.5">
      <c r="A85" s="38">
        <f t="shared" si="1"/>
        <v>84</v>
      </c>
      <c r="B85" s="38" t="s">
        <v>752</v>
      </c>
      <c r="C85" s="102" t="s">
        <v>810</v>
      </c>
      <c r="D85" s="102" t="s">
        <v>802</v>
      </c>
      <c r="E85" s="103">
        <v>302040006603</v>
      </c>
      <c r="F85" s="283" t="s">
        <v>904</v>
      </c>
      <c r="G85" s="51" t="s">
        <v>879</v>
      </c>
      <c r="H85" s="38" t="s">
        <v>885</v>
      </c>
      <c r="I85" s="304"/>
      <c r="J85" s="102"/>
      <c r="K85" s="105"/>
      <c r="L85" s="104">
        <v>202008000058</v>
      </c>
      <c r="M85" s="106" t="s">
        <v>315</v>
      </c>
      <c r="N85" s="105">
        <v>6</v>
      </c>
      <c r="O85" s="104" t="s">
        <v>796</v>
      </c>
      <c r="P85" s="306">
        <v>20900</v>
      </c>
      <c r="Q85" s="108">
        <v>2750</v>
      </c>
      <c r="R85" s="108">
        <v>1485</v>
      </c>
      <c r="S85" s="52">
        <f t="shared" si="4"/>
        <v>25135</v>
      </c>
    </row>
    <row r="86" spans="1:19" ht="16.5">
      <c r="A86" s="38">
        <f t="shared" si="1"/>
        <v>85</v>
      </c>
      <c r="B86" s="38" t="s">
        <v>752</v>
      </c>
      <c r="C86" s="102" t="s">
        <v>810</v>
      </c>
      <c r="D86" s="102" t="s">
        <v>802</v>
      </c>
      <c r="E86" s="103">
        <v>302053452015</v>
      </c>
      <c r="F86" s="283" t="s">
        <v>905</v>
      </c>
      <c r="G86" s="51" t="s">
        <v>879</v>
      </c>
      <c r="H86" s="38" t="s">
        <v>885</v>
      </c>
      <c r="I86" s="304"/>
      <c r="J86" s="102"/>
      <c r="K86" s="105"/>
      <c r="L86" s="104">
        <v>201978000017</v>
      </c>
      <c r="M86" s="106" t="s">
        <v>906</v>
      </c>
      <c r="N86" s="105">
        <v>1</v>
      </c>
      <c r="O86" s="104" t="s">
        <v>796</v>
      </c>
      <c r="P86" s="371">
        <v>17570</v>
      </c>
      <c r="Q86" s="371">
        <v>3245</v>
      </c>
      <c r="R86" s="371">
        <v>1485</v>
      </c>
      <c r="S86" s="374">
        <f t="shared" si="4"/>
        <v>22300</v>
      </c>
    </row>
    <row r="87" spans="1:19" ht="16.5">
      <c r="A87" s="38">
        <f t="shared" si="1"/>
        <v>86</v>
      </c>
      <c r="B87" s="38" t="s">
        <v>752</v>
      </c>
      <c r="C87" s="102" t="s">
        <v>810</v>
      </c>
      <c r="D87" s="102" t="s">
        <v>802</v>
      </c>
      <c r="E87" s="103">
        <v>302053452015</v>
      </c>
      <c r="F87" s="283" t="s">
        <v>905</v>
      </c>
      <c r="G87" s="51" t="s">
        <v>879</v>
      </c>
      <c r="H87" s="38" t="s">
        <v>885</v>
      </c>
      <c r="I87" s="304"/>
      <c r="J87" s="102"/>
      <c r="K87" s="105"/>
      <c r="L87" s="104">
        <v>201978000018</v>
      </c>
      <c r="M87" s="106" t="s">
        <v>821</v>
      </c>
      <c r="N87" s="105">
        <v>1</v>
      </c>
      <c r="O87" s="104" t="s">
        <v>796</v>
      </c>
      <c r="P87" s="373"/>
      <c r="Q87" s="373"/>
      <c r="R87" s="373"/>
      <c r="S87" s="376"/>
    </row>
    <row r="88" spans="1:19" ht="16.5">
      <c r="A88" s="38">
        <f t="shared" si="1"/>
        <v>87</v>
      </c>
      <c r="B88" s="38" t="s">
        <v>752</v>
      </c>
      <c r="C88" s="102" t="s">
        <v>810</v>
      </c>
      <c r="D88" s="102" t="s">
        <v>802</v>
      </c>
      <c r="E88" s="103">
        <v>302040024921</v>
      </c>
      <c r="F88" s="283" t="s">
        <v>907</v>
      </c>
      <c r="G88" s="51" t="s">
        <v>879</v>
      </c>
      <c r="H88" s="38" t="s">
        <v>885</v>
      </c>
      <c r="I88" s="304"/>
      <c r="J88" s="102"/>
      <c r="K88" s="105"/>
      <c r="L88" s="104">
        <v>201978000041</v>
      </c>
      <c r="M88" s="106" t="s">
        <v>302</v>
      </c>
      <c r="N88" s="105">
        <v>4</v>
      </c>
      <c r="O88" s="104">
        <v>302053560316</v>
      </c>
      <c r="P88" s="107">
        <v>35690</v>
      </c>
      <c r="Q88" s="108">
        <v>3795</v>
      </c>
      <c r="R88" s="108">
        <v>1100</v>
      </c>
      <c r="S88" s="52">
        <f t="shared" si="4"/>
        <v>40585</v>
      </c>
    </row>
    <row r="89" spans="1:19" ht="16.5">
      <c r="A89" s="38">
        <f t="shared" si="1"/>
        <v>88</v>
      </c>
      <c r="B89" s="38" t="s">
        <v>752</v>
      </c>
      <c r="C89" s="102" t="s">
        <v>810</v>
      </c>
      <c r="D89" s="102" t="s">
        <v>802</v>
      </c>
      <c r="E89" s="103">
        <v>302053465536</v>
      </c>
      <c r="F89" s="283" t="s">
        <v>908</v>
      </c>
      <c r="G89" s="51" t="s">
        <v>879</v>
      </c>
      <c r="H89" s="38" t="s">
        <v>885</v>
      </c>
      <c r="I89" s="304"/>
      <c r="J89" s="102"/>
      <c r="K89" s="105"/>
      <c r="L89" s="104">
        <v>201978000080</v>
      </c>
      <c r="M89" s="106" t="s">
        <v>669</v>
      </c>
      <c r="N89" s="105">
        <v>12</v>
      </c>
      <c r="O89" s="104" t="s">
        <v>796</v>
      </c>
      <c r="P89" s="107">
        <v>114700</v>
      </c>
      <c r="Q89" s="108">
        <v>3960</v>
      </c>
      <c r="R89" s="108">
        <v>770</v>
      </c>
      <c r="S89" s="52">
        <f t="shared" si="4"/>
        <v>119430</v>
      </c>
    </row>
    <row r="90" spans="1:19" ht="16.5">
      <c r="A90" s="38">
        <f t="shared" si="1"/>
        <v>89</v>
      </c>
      <c r="B90" s="38" t="s">
        <v>752</v>
      </c>
      <c r="C90" s="102" t="s">
        <v>810</v>
      </c>
      <c r="D90" s="102" t="s">
        <v>802</v>
      </c>
      <c r="E90" s="103">
        <v>302053450346</v>
      </c>
      <c r="F90" s="283" t="s">
        <v>909</v>
      </c>
      <c r="G90" s="51" t="s">
        <v>879</v>
      </c>
      <c r="H90" s="38" t="s">
        <v>885</v>
      </c>
      <c r="I90" s="304"/>
      <c r="J90" s="102"/>
      <c r="K90" s="105"/>
      <c r="L90" s="104">
        <v>201978000150</v>
      </c>
      <c r="M90" s="106" t="s">
        <v>435</v>
      </c>
      <c r="N90" s="105">
        <v>2</v>
      </c>
      <c r="O90" s="104">
        <v>302053560353</v>
      </c>
      <c r="P90" s="107">
        <v>16470</v>
      </c>
      <c r="Q90" s="371">
        <v>3795</v>
      </c>
      <c r="R90" s="371">
        <v>1100</v>
      </c>
      <c r="S90" s="374">
        <f>SUM(P90:R92)</f>
        <v>55655</v>
      </c>
    </row>
    <row r="91" spans="1:19" ht="16.5">
      <c r="A91" s="38">
        <f t="shared" si="1"/>
        <v>90</v>
      </c>
      <c r="B91" s="38" t="s">
        <v>752</v>
      </c>
      <c r="C91" s="102" t="s">
        <v>810</v>
      </c>
      <c r="D91" s="102" t="s">
        <v>802</v>
      </c>
      <c r="E91" s="103">
        <v>302053450346</v>
      </c>
      <c r="F91" s="283" t="s">
        <v>909</v>
      </c>
      <c r="G91" s="51" t="s">
        <v>879</v>
      </c>
      <c r="H91" s="38" t="s">
        <v>885</v>
      </c>
      <c r="I91" s="304"/>
      <c r="J91" s="102"/>
      <c r="K91" s="105"/>
      <c r="L91" s="104">
        <v>201978000106</v>
      </c>
      <c r="M91" s="106" t="s">
        <v>412</v>
      </c>
      <c r="N91" s="105">
        <v>6</v>
      </c>
      <c r="O91" s="104">
        <v>302053560353</v>
      </c>
      <c r="P91" s="107">
        <v>17060</v>
      </c>
      <c r="Q91" s="372"/>
      <c r="R91" s="372"/>
      <c r="S91" s="375"/>
    </row>
    <row r="92" spans="1:19" ht="16.5">
      <c r="A92" s="38">
        <f t="shared" si="1"/>
        <v>91</v>
      </c>
      <c r="B92" s="38" t="s">
        <v>752</v>
      </c>
      <c r="C92" s="102" t="s">
        <v>810</v>
      </c>
      <c r="D92" s="102" t="s">
        <v>802</v>
      </c>
      <c r="E92" s="103">
        <v>302053450346</v>
      </c>
      <c r="F92" s="283" t="s">
        <v>909</v>
      </c>
      <c r="G92" s="51" t="s">
        <v>879</v>
      </c>
      <c r="H92" s="38" t="s">
        <v>885</v>
      </c>
      <c r="I92" s="304"/>
      <c r="J92" s="102"/>
      <c r="K92" s="105"/>
      <c r="L92" s="104">
        <v>201991000002</v>
      </c>
      <c r="M92" s="106" t="s">
        <v>910</v>
      </c>
      <c r="N92" s="105">
        <v>3</v>
      </c>
      <c r="O92" s="104">
        <v>302053560353</v>
      </c>
      <c r="P92" s="107">
        <v>17230</v>
      </c>
      <c r="Q92" s="373"/>
      <c r="R92" s="373"/>
      <c r="S92" s="376"/>
    </row>
    <row r="93" spans="1:19" ht="16.5">
      <c r="A93" s="38">
        <f t="shared" si="1"/>
        <v>92</v>
      </c>
      <c r="B93" s="38" t="s">
        <v>752</v>
      </c>
      <c r="C93" s="102" t="s">
        <v>816</v>
      </c>
      <c r="D93" s="102" t="s">
        <v>802</v>
      </c>
      <c r="E93" s="103">
        <v>302053452634</v>
      </c>
      <c r="F93" s="283" t="s">
        <v>911</v>
      </c>
      <c r="G93" s="51" t="s">
        <v>879</v>
      </c>
      <c r="H93" s="38" t="s">
        <v>885</v>
      </c>
      <c r="I93" s="304"/>
      <c r="J93" s="102"/>
      <c r="K93" s="105"/>
      <c r="L93" s="104">
        <v>201978000068</v>
      </c>
      <c r="M93" s="106" t="s">
        <v>401</v>
      </c>
      <c r="N93" s="105">
        <v>10</v>
      </c>
      <c r="O93" s="104" t="s">
        <v>796</v>
      </c>
      <c r="P93" s="107">
        <v>36900</v>
      </c>
      <c r="Q93" s="108">
        <v>3245</v>
      </c>
      <c r="R93" s="108">
        <v>1595</v>
      </c>
      <c r="S93" s="52">
        <f t="shared" si="4"/>
        <v>41740</v>
      </c>
    </row>
    <row r="94" spans="1:19" ht="16.5">
      <c r="A94" s="38">
        <f t="shared" si="1"/>
        <v>93</v>
      </c>
      <c r="B94" s="38" t="s">
        <v>752</v>
      </c>
      <c r="C94" s="102" t="s">
        <v>816</v>
      </c>
      <c r="D94" s="102" t="s">
        <v>912</v>
      </c>
      <c r="E94" s="103">
        <v>302053469191</v>
      </c>
      <c r="F94" s="283" t="s">
        <v>913</v>
      </c>
      <c r="G94" s="51" t="s">
        <v>879</v>
      </c>
      <c r="H94" s="38" t="s">
        <v>885</v>
      </c>
      <c r="I94" s="304"/>
      <c r="J94" s="102"/>
      <c r="K94" s="105"/>
      <c r="L94" s="104">
        <v>201991000131</v>
      </c>
      <c r="M94" s="106" t="s">
        <v>914</v>
      </c>
      <c r="N94" s="105">
        <v>1</v>
      </c>
      <c r="O94" s="104">
        <v>302053607566</v>
      </c>
      <c r="P94" s="107">
        <v>5480</v>
      </c>
      <c r="Q94" s="371">
        <v>3245</v>
      </c>
      <c r="R94" s="371">
        <v>1320</v>
      </c>
      <c r="S94" s="374">
        <f>SUM(P94:R95)</f>
        <v>15045</v>
      </c>
    </row>
    <row r="95" spans="1:19" ht="16.5">
      <c r="A95" s="38">
        <f t="shared" si="1"/>
        <v>94</v>
      </c>
      <c r="B95" s="38" t="s">
        <v>752</v>
      </c>
      <c r="C95" s="102" t="s">
        <v>816</v>
      </c>
      <c r="D95" s="102" t="s">
        <v>912</v>
      </c>
      <c r="E95" s="103">
        <v>302053469191</v>
      </c>
      <c r="F95" s="283" t="s">
        <v>913</v>
      </c>
      <c r="G95" s="51" t="s">
        <v>879</v>
      </c>
      <c r="H95" s="38" t="s">
        <v>885</v>
      </c>
      <c r="I95" s="304"/>
      <c r="J95" s="102"/>
      <c r="K95" s="105"/>
      <c r="L95" s="104">
        <v>201987000165</v>
      </c>
      <c r="M95" s="106" t="s">
        <v>318</v>
      </c>
      <c r="N95" s="105">
        <v>1</v>
      </c>
      <c r="O95" s="104">
        <v>302053607566</v>
      </c>
      <c r="P95" s="107">
        <v>5000</v>
      </c>
      <c r="Q95" s="373"/>
      <c r="R95" s="373"/>
      <c r="S95" s="376"/>
    </row>
    <row r="96" spans="1:19" ht="16.5">
      <c r="A96" s="38">
        <f t="shared" si="1"/>
        <v>95</v>
      </c>
      <c r="B96" s="38" t="s">
        <v>752</v>
      </c>
      <c r="C96" s="102" t="s">
        <v>816</v>
      </c>
      <c r="D96" s="102" t="s">
        <v>787</v>
      </c>
      <c r="E96" s="103">
        <v>302039970984</v>
      </c>
      <c r="F96" s="283" t="s">
        <v>915</v>
      </c>
      <c r="G96" s="51" t="s">
        <v>879</v>
      </c>
      <c r="H96" s="38" t="s">
        <v>885</v>
      </c>
      <c r="I96" s="304"/>
      <c r="J96" s="102"/>
      <c r="K96" s="105"/>
      <c r="L96" s="104">
        <v>201978000041</v>
      </c>
      <c r="M96" s="106" t="s">
        <v>302</v>
      </c>
      <c r="N96" s="105">
        <v>2</v>
      </c>
      <c r="O96" s="104" t="s">
        <v>796</v>
      </c>
      <c r="P96" s="107">
        <v>21440</v>
      </c>
      <c r="Q96" s="108">
        <v>2750</v>
      </c>
      <c r="R96" s="108">
        <v>1485</v>
      </c>
      <c r="S96" s="52">
        <f t="shared" ref="S95:S101" si="5">SUM(P96:R96)</f>
        <v>25675</v>
      </c>
    </row>
    <row r="97" spans="1:19" ht="16.5">
      <c r="A97" s="38">
        <f t="shared" si="1"/>
        <v>96</v>
      </c>
      <c r="B97" s="38" t="s">
        <v>752</v>
      </c>
      <c r="C97" s="102" t="s">
        <v>816</v>
      </c>
      <c r="D97" s="102" t="s">
        <v>802</v>
      </c>
      <c r="E97" s="103">
        <v>302053465816</v>
      </c>
      <c r="F97" s="283" t="s">
        <v>690</v>
      </c>
      <c r="G97" s="51" t="s">
        <v>879</v>
      </c>
      <c r="H97" s="38" t="s">
        <v>885</v>
      </c>
      <c r="I97" s="304"/>
      <c r="J97" s="102"/>
      <c r="K97" s="105"/>
      <c r="L97" s="104">
        <v>201978000041</v>
      </c>
      <c r="M97" s="106" t="s">
        <v>302</v>
      </c>
      <c r="N97" s="105">
        <v>2</v>
      </c>
      <c r="O97" s="104" t="s">
        <v>796</v>
      </c>
      <c r="P97" s="107">
        <v>20920</v>
      </c>
      <c r="Q97" s="108">
        <v>2750</v>
      </c>
      <c r="R97" s="108">
        <v>1485</v>
      </c>
      <c r="S97" s="52">
        <f t="shared" si="5"/>
        <v>25155</v>
      </c>
    </row>
    <row r="98" spans="1:19" ht="16.5">
      <c r="A98" s="38">
        <f t="shared" ref="A98:A161" si="6">A97+1</f>
        <v>97</v>
      </c>
      <c r="B98" s="38" t="s">
        <v>752</v>
      </c>
      <c r="C98" s="102" t="s">
        <v>816</v>
      </c>
      <c r="D98" s="102" t="s">
        <v>808</v>
      </c>
      <c r="E98" s="103">
        <v>302053531793</v>
      </c>
      <c r="F98" s="283" t="s">
        <v>916</v>
      </c>
      <c r="G98" s="51" t="s">
        <v>879</v>
      </c>
      <c r="H98" s="38" t="s">
        <v>885</v>
      </c>
      <c r="I98" s="304"/>
      <c r="J98" s="102"/>
      <c r="K98" s="105"/>
      <c r="L98" s="104">
        <v>201978000093</v>
      </c>
      <c r="M98" s="106" t="s">
        <v>917</v>
      </c>
      <c r="N98" s="105">
        <v>2</v>
      </c>
      <c r="O98" s="104">
        <v>302053608874</v>
      </c>
      <c r="P98" s="107">
        <v>15710</v>
      </c>
      <c r="Q98" s="108">
        <v>3795</v>
      </c>
      <c r="R98" s="108">
        <v>1540</v>
      </c>
      <c r="S98" s="52">
        <f t="shared" si="5"/>
        <v>21045</v>
      </c>
    </row>
    <row r="99" spans="1:19" ht="16.5">
      <c r="A99" s="38">
        <f t="shared" si="6"/>
        <v>98</v>
      </c>
      <c r="B99" s="38" t="s">
        <v>752</v>
      </c>
      <c r="C99" s="102" t="s">
        <v>825</v>
      </c>
      <c r="D99" s="102" t="s">
        <v>816</v>
      </c>
      <c r="E99" s="103">
        <v>302040381744</v>
      </c>
      <c r="F99" s="283" t="s">
        <v>918</v>
      </c>
      <c r="G99" s="51" t="s">
        <v>879</v>
      </c>
      <c r="H99" s="38" t="s">
        <v>885</v>
      </c>
      <c r="I99" s="304"/>
      <c r="J99" s="102"/>
      <c r="K99" s="105"/>
      <c r="L99" s="104">
        <v>201978000068</v>
      </c>
      <c r="M99" s="106" t="s">
        <v>401</v>
      </c>
      <c r="N99" s="105">
        <v>8</v>
      </c>
      <c r="O99" s="104" t="s">
        <v>796</v>
      </c>
      <c r="P99" s="371">
        <v>25900</v>
      </c>
      <c r="Q99" s="371">
        <v>2750</v>
      </c>
      <c r="R99" s="371">
        <v>1320</v>
      </c>
      <c r="S99" s="374">
        <f t="shared" si="5"/>
        <v>29970</v>
      </c>
    </row>
    <row r="100" spans="1:19" ht="16.5">
      <c r="A100" s="38">
        <f t="shared" si="6"/>
        <v>99</v>
      </c>
      <c r="B100" s="38" t="s">
        <v>752</v>
      </c>
      <c r="C100" s="102" t="s">
        <v>825</v>
      </c>
      <c r="D100" s="102" t="s">
        <v>816</v>
      </c>
      <c r="E100" s="103">
        <v>302040381744</v>
      </c>
      <c r="F100" s="283" t="s">
        <v>918</v>
      </c>
      <c r="G100" s="51" t="s">
        <v>879</v>
      </c>
      <c r="H100" s="38" t="s">
        <v>885</v>
      </c>
      <c r="I100" s="304"/>
      <c r="J100" s="102"/>
      <c r="K100" s="105"/>
      <c r="L100" s="104">
        <v>201987000208</v>
      </c>
      <c r="M100" s="106" t="s">
        <v>919</v>
      </c>
      <c r="N100" s="105">
        <v>1</v>
      </c>
      <c r="O100" s="104" t="s">
        <v>796</v>
      </c>
      <c r="P100" s="373"/>
      <c r="Q100" s="373"/>
      <c r="R100" s="373"/>
      <c r="S100" s="376"/>
    </row>
    <row r="101" spans="1:19" ht="16.5">
      <c r="A101" s="38">
        <f t="shared" si="6"/>
        <v>100</v>
      </c>
      <c r="B101" s="38" t="s">
        <v>752</v>
      </c>
      <c r="C101" s="102" t="s">
        <v>825</v>
      </c>
      <c r="D101" s="102" t="s">
        <v>808</v>
      </c>
      <c r="E101" s="103">
        <v>302053503480</v>
      </c>
      <c r="F101" s="283" t="s">
        <v>920</v>
      </c>
      <c r="G101" s="51" t="s">
        <v>879</v>
      </c>
      <c r="H101" s="38" t="s">
        <v>885</v>
      </c>
      <c r="I101" s="304"/>
      <c r="J101" s="102"/>
      <c r="K101" s="105"/>
      <c r="L101" s="104">
        <v>201978000043</v>
      </c>
      <c r="M101" s="106" t="s">
        <v>344</v>
      </c>
      <c r="N101" s="105">
        <v>4</v>
      </c>
      <c r="O101" s="104">
        <v>302053790082</v>
      </c>
      <c r="P101" s="107">
        <v>10000</v>
      </c>
      <c r="Q101" s="107">
        <v>2750</v>
      </c>
      <c r="R101" s="108">
        <v>1485</v>
      </c>
      <c r="S101" s="52">
        <f t="shared" si="5"/>
        <v>14235</v>
      </c>
    </row>
    <row r="102" spans="1:19" ht="16.5">
      <c r="A102" s="38">
        <f t="shared" si="6"/>
        <v>101</v>
      </c>
      <c r="B102" s="38" t="s">
        <v>752</v>
      </c>
      <c r="C102" s="102" t="s">
        <v>825</v>
      </c>
      <c r="D102" s="102" t="s">
        <v>810</v>
      </c>
      <c r="E102" s="103">
        <v>302053559911</v>
      </c>
      <c r="F102" s="283" t="s">
        <v>921</v>
      </c>
      <c r="G102" s="51" t="s">
        <v>879</v>
      </c>
      <c r="H102" s="38" t="s">
        <v>885</v>
      </c>
      <c r="I102" s="304"/>
      <c r="J102" s="102"/>
      <c r="K102" s="105"/>
      <c r="L102" s="104">
        <v>201978000041</v>
      </c>
      <c r="M102" s="106" t="s">
        <v>302</v>
      </c>
      <c r="N102" s="105">
        <v>2</v>
      </c>
      <c r="O102" s="104">
        <v>302053790093</v>
      </c>
      <c r="P102" s="107">
        <v>17570</v>
      </c>
      <c r="Q102" s="107">
        <v>2750</v>
      </c>
      <c r="R102" s="108">
        <v>1485</v>
      </c>
      <c r="S102" s="52">
        <f t="shared" ref="S102:S364" si="7">SUM(P102:R102)</f>
        <v>21805</v>
      </c>
    </row>
    <row r="103" spans="1:19" ht="16.5">
      <c r="A103" s="38">
        <f t="shared" si="6"/>
        <v>102</v>
      </c>
      <c r="B103" s="38" t="s">
        <v>752</v>
      </c>
      <c r="C103" s="102" t="s">
        <v>825</v>
      </c>
      <c r="D103" s="102" t="s">
        <v>810</v>
      </c>
      <c r="E103" s="103">
        <v>302053558183</v>
      </c>
      <c r="F103" s="283" t="s">
        <v>922</v>
      </c>
      <c r="G103" s="51" t="s">
        <v>879</v>
      </c>
      <c r="H103" s="38" t="s">
        <v>885</v>
      </c>
      <c r="I103" s="304"/>
      <c r="J103" s="102"/>
      <c r="K103" s="105"/>
      <c r="L103" s="104">
        <v>201978000041</v>
      </c>
      <c r="M103" s="106" t="s">
        <v>302</v>
      </c>
      <c r="N103" s="105">
        <v>2</v>
      </c>
      <c r="O103" s="104" t="s">
        <v>796</v>
      </c>
      <c r="P103" s="107">
        <v>16690</v>
      </c>
      <c r="Q103" s="107">
        <v>2750</v>
      </c>
      <c r="R103" s="108">
        <v>1485</v>
      </c>
      <c r="S103" s="52">
        <f t="shared" si="7"/>
        <v>20925</v>
      </c>
    </row>
    <row r="104" spans="1:19" ht="16.5">
      <c r="A104" s="38">
        <f t="shared" si="6"/>
        <v>103</v>
      </c>
      <c r="B104" s="38" t="s">
        <v>752</v>
      </c>
      <c r="C104" s="102" t="s">
        <v>825</v>
      </c>
      <c r="D104" s="102" t="s">
        <v>816</v>
      </c>
      <c r="E104" s="103">
        <v>302053588445</v>
      </c>
      <c r="F104" s="283" t="s">
        <v>923</v>
      </c>
      <c r="G104" s="51" t="s">
        <v>879</v>
      </c>
      <c r="H104" s="38" t="s">
        <v>885</v>
      </c>
      <c r="I104" s="304"/>
      <c r="J104" s="102"/>
      <c r="K104" s="105"/>
      <c r="L104" s="104">
        <v>201978000043</v>
      </c>
      <c r="M104" s="106" t="s">
        <v>344</v>
      </c>
      <c r="N104" s="105">
        <v>4</v>
      </c>
      <c r="O104" s="104" t="s">
        <v>796</v>
      </c>
      <c r="P104" s="107">
        <v>8000</v>
      </c>
      <c r="Q104" s="107">
        <v>2750</v>
      </c>
      <c r="R104" s="108">
        <v>1485</v>
      </c>
      <c r="S104" s="52">
        <f t="shared" si="7"/>
        <v>12235</v>
      </c>
    </row>
    <row r="105" spans="1:19" ht="16.5">
      <c r="A105" s="38">
        <f t="shared" si="6"/>
        <v>104</v>
      </c>
      <c r="B105" s="38" t="s">
        <v>752</v>
      </c>
      <c r="C105" s="102" t="s">
        <v>825</v>
      </c>
      <c r="D105" s="102" t="s">
        <v>816</v>
      </c>
      <c r="E105" s="103">
        <v>302053583254</v>
      </c>
      <c r="F105" s="283" t="s">
        <v>924</v>
      </c>
      <c r="G105" s="51" t="s">
        <v>879</v>
      </c>
      <c r="H105" s="38" t="s">
        <v>885</v>
      </c>
      <c r="I105" s="304"/>
      <c r="J105" s="102"/>
      <c r="K105" s="105"/>
      <c r="L105" s="104">
        <v>201978000045</v>
      </c>
      <c r="M105" s="106" t="s">
        <v>398</v>
      </c>
      <c r="N105" s="105">
        <v>3</v>
      </c>
      <c r="O105" s="104" t="s">
        <v>796</v>
      </c>
      <c r="P105" s="107">
        <v>13520</v>
      </c>
      <c r="Q105" s="107">
        <v>2750</v>
      </c>
      <c r="R105" s="108">
        <v>1485</v>
      </c>
      <c r="S105" s="52">
        <f t="shared" si="7"/>
        <v>17755</v>
      </c>
    </row>
    <row r="106" spans="1:19" ht="16.5">
      <c r="A106" s="38">
        <f t="shared" si="6"/>
        <v>105</v>
      </c>
      <c r="B106" s="38" t="s">
        <v>752</v>
      </c>
      <c r="C106" s="102" t="s">
        <v>825</v>
      </c>
      <c r="D106" s="102" t="s">
        <v>816</v>
      </c>
      <c r="E106" s="103">
        <v>302053605665</v>
      </c>
      <c r="F106" s="283" t="s">
        <v>372</v>
      </c>
      <c r="G106" s="51" t="s">
        <v>879</v>
      </c>
      <c r="H106" s="38" t="s">
        <v>885</v>
      </c>
      <c r="I106" s="304"/>
      <c r="J106" s="102"/>
      <c r="K106" s="105"/>
      <c r="L106" s="104">
        <v>201978000041</v>
      </c>
      <c r="M106" s="106" t="s">
        <v>302</v>
      </c>
      <c r="N106" s="105">
        <v>2</v>
      </c>
      <c r="O106" s="104">
        <v>302053788984</v>
      </c>
      <c r="P106" s="107">
        <v>14930</v>
      </c>
      <c r="Q106" s="107">
        <v>2750</v>
      </c>
      <c r="R106" s="108">
        <v>1485</v>
      </c>
      <c r="S106" s="52">
        <f t="shared" si="7"/>
        <v>19165</v>
      </c>
    </row>
    <row r="107" spans="1:19" ht="16.5">
      <c r="A107" s="38">
        <f t="shared" si="6"/>
        <v>106</v>
      </c>
      <c r="B107" s="38" t="s">
        <v>752</v>
      </c>
      <c r="C107" s="102" t="s">
        <v>825</v>
      </c>
      <c r="D107" s="102" t="s">
        <v>816</v>
      </c>
      <c r="E107" s="103">
        <v>302053611125</v>
      </c>
      <c r="F107" s="283" t="s">
        <v>925</v>
      </c>
      <c r="G107" s="51" t="s">
        <v>879</v>
      </c>
      <c r="H107" s="38" t="s">
        <v>885</v>
      </c>
      <c r="I107" s="304"/>
      <c r="J107" s="102"/>
      <c r="K107" s="105"/>
      <c r="L107" s="104">
        <v>201978000041</v>
      </c>
      <c r="M107" s="106" t="s">
        <v>302</v>
      </c>
      <c r="N107" s="105">
        <v>2</v>
      </c>
      <c r="O107" s="104">
        <v>302053788995</v>
      </c>
      <c r="P107" s="107">
        <v>14930</v>
      </c>
      <c r="Q107" s="107">
        <v>2750</v>
      </c>
      <c r="R107" s="108">
        <v>1485</v>
      </c>
      <c r="S107" s="52">
        <f t="shared" si="7"/>
        <v>19165</v>
      </c>
    </row>
    <row r="108" spans="1:19" ht="16.5">
      <c r="A108" s="38">
        <f t="shared" si="6"/>
        <v>107</v>
      </c>
      <c r="B108" s="38" t="s">
        <v>752</v>
      </c>
      <c r="C108" s="102" t="s">
        <v>864</v>
      </c>
      <c r="D108" s="102" t="s">
        <v>810</v>
      </c>
      <c r="E108" s="103">
        <v>302040270573</v>
      </c>
      <c r="F108" s="283" t="s">
        <v>926</v>
      </c>
      <c r="G108" s="51" t="s">
        <v>879</v>
      </c>
      <c r="H108" s="38" t="s">
        <v>885</v>
      </c>
      <c r="I108" s="304"/>
      <c r="J108" s="102"/>
      <c r="K108" s="105"/>
      <c r="L108" s="104">
        <v>201978000041</v>
      </c>
      <c r="M108" s="106" t="s">
        <v>302</v>
      </c>
      <c r="N108" s="105">
        <v>2</v>
      </c>
      <c r="O108" s="104">
        <v>302040703556</v>
      </c>
      <c r="P108" s="371">
        <v>22018</v>
      </c>
      <c r="Q108" s="371">
        <v>2750</v>
      </c>
      <c r="R108" s="371">
        <v>1485</v>
      </c>
      <c r="S108" s="374">
        <f t="shared" si="7"/>
        <v>26253</v>
      </c>
    </row>
    <row r="109" spans="1:19" ht="16.5">
      <c r="A109" s="38">
        <f t="shared" si="6"/>
        <v>108</v>
      </c>
      <c r="B109" s="38" t="s">
        <v>752</v>
      </c>
      <c r="C109" s="102" t="s">
        <v>864</v>
      </c>
      <c r="D109" s="102" t="s">
        <v>810</v>
      </c>
      <c r="E109" s="103">
        <v>302040270573</v>
      </c>
      <c r="F109" s="283" t="s">
        <v>926</v>
      </c>
      <c r="G109" s="51" t="s">
        <v>879</v>
      </c>
      <c r="H109" s="38" t="s">
        <v>885</v>
      </c>
      <c r="I109" s="304"/>
      <c r="J109" s="102"/>
      <c r="K109" s="105"/>
      <c r="L109" s="104">
        <v>201978000045</v>
      </c>
      <c r="M109" s="106" t="s">
        <v>398</v>
      </c>
      <c r="N109" s="105">
        <v>1</v>
      </c>
      <c r="O109" s="104">
        <v>302040703556</v>
      </c>
      <c r="P109" s="373"/>
      <c r="Q109" s="373"/>
      <c r="R109" s="373"/>
      <c r="S109" s="376"/>
    </row>
    <row r="110" spans="1:19" ht="16.5">
      <c r="A110" s="38">
        <f t="shared" si="6"/>
        <v>109</v>
      </c>
      <c r="B110" s="38" t="s">
        <v>752</v>
      </c>
      <c r="C110" s="102" t="s">
        <v>864</v>
      </c>
      <c r="D110" s="102" t="s">
        <v>810</v>
      </c>
      <c r="E110" s="103">
        <v>302040275333</v>
      </c>
      <c r="F110" s="283" t="s">
        <v>927</v>
      </c>
      <c r="G110" s="51" t="s">
        <v>879</v>
      </c>
      <c r="H110" s="38" t="s">
        <v>885</v>
      </c>
      <c r="I110" s="304"/>
      <c r="J110" s="102"/>
      <c r="K110" s="105"/>
      <c r="L110" s="104">
        <v>201978000149</v>
      </c>
      <c r="M110" s="106" t="s">
        <v>851</v>
      </c>
      <c r="N110" s="105">
        <v>3</v>
      </c>
      <c r="O110" s="104" t="s">
        <v>796</v>
      </c>
      <c r="P110" s="107">
        <v>24900</v>
      </c>
      <c r="Q110" s="107">
        <v>2750</v>
      </c>
      <c r="R110" s="108">
        <v>1485</v>
      </c>
      <c r="S110" s="52">
        <f t="shared" si="7"/>
        <v>29135</v>
      </c>
    </row>
    <row r="111" spans="1:19" ht="16.5">
      <c r="A111" s="38">
        <f t="shared" si="6"/>
        <v>110</v>
      </c>
      <c r="B111" s="38" t="s">
        <v>752</v>
      </c>
      <c r="C111" s="102" t="s">
        <v>831</v>
      </c>
      <c r="D111" s="102" t="s">
        <v>928</v>
      </c>
      <c r="E111" s="103">
        <v>302053711936</v>
      </c>
      <c r="F111" s="283" t="s">
        <v>929</v>
      </c>
      <c r="G111" s="51" t="s">
        <v>879</v>
      </c>
      <c r="H111" s="38" t="s">
        <v>885</v>
      </c>
      <c r="I111" s="304"/>
      <c r="J111" s="102"/>
      <c r="K111" s="105"/>
      <c r="L111" s="104">
        <v>201978000041</v>
      </c>
      <c r="M111" s="106" t="s">
        <v>302</v>
      </c>
      <c r="N111" s="105">
        <v>2</v>
      </c>
      <c r="O111" s="104">
        <v>302053843514</v>
      </c>
      <c r="P111" s="107">
        <v>15810</v>
      </c>
      <c r="Q111" s="107">
        <v>2750</v>
      </c>
      <c r="R111" s="108">
        <v>1485</v>
      </c>
      <c r="S111" s="52">
        <f t="shared" si="7"/>
        <v>20045</v>
      </c>
    </row>
    <row r="112" spans="1:19" ht="16.5">
      <c r="A112" s="38">
        <f t="shared" si="6"/>
        <v>111</v>
      </c>
      <c r="B112" s="38" t="s">
        <v>752</v>
      </c>
      <c r="C112" s="102" t="s">
        <v>831</v>
      </c>
      <c r="D112" s="102" t="s">
        <v>810</v>
      </c>
      <c r="E112" s="103">
        <v>302040252550</v>
      </c>
      <c r="F112" s="283" t="s">
        <v>545</v>
      </c>
      <c r="G112" s="51" t="s">
        <v>879</v>
      </c>
      <c r="H112" s="38" t="s">
        <v>885</v>
      </c>
      <c r="I112" s="304"/>
      <c r="J112" s="102"/>
      <c r="K112" s="105"/>
      <c r="L112" s="104">
        <v>201978000019</v>
      </c>
      <c r="M112" s="106" t="s">
        <v>546</v>
      </c>
      <c r="N112" s="105">
        <v>1</v>
      </c>
      <c r="O112" s="104" t="s">
        <v>796</v>
      </c>
      <c r="P112" s="371">
        <v>16000</v>
      </c>
      <c r="Q112" s="371">
        <v>3245</v>
      </c>
      <c r="R112" s="371">
        <v>1320</v>
      </c>
      <c r="S112" s="374">
        <f t="shared" si="7"/>
        <v>20565</v>
      </c>
    </row>
    <row r="113" spans="1:19" ht="16.5">
      <c r="A113" s="38">
        <f t="shared" si="6"/>
        <v>112</v>
      </c>
      <c r="B113" s="38" t="s">
        <v>752</v>
      </c>
      <c r="C113" s="102" t="s">
        <v>831</v>
      </c>
      <c r="D113" s="102" t="s">
        <v>810</v>
      </c>
      <c r="E113" s="103">
        <v>302040252550</v>
      </c>
      <c r="F113" s="283" t="s">
        <v>545</v>
      </c>
      <c r="G113" s="51" t="s">
        <v>879</v>
      </c>
      <c r="H113" s="38" t="s">
        <v>885</v>
      </c>
      <c r="I113" s="304"/>
      <c r="J113" s="102"/>
      <c r="K113" s="105"/>
      <c r="L113" s="104">
        <v>201991000106</v>
      </c>
      <c r="M113" s="106" t="s">
        <v>791</v>
      </c>
      <c r="N113" s="105">
        <v>6</v>
      </c>
      <c r="O113" s="104" t="s">
        <v>796</v>
      </c>
      <c r="P113" s="373"/>
      <c r="Q113" s="373"/>
      <c r="R113" s="373"/>
      <c r="S113" s="376"/>
    </row>
    <row r="114" spans="1:19" ht="16.5">
      <c r="A114" s="38">
        <f t="shared" si="6"/>
        <v>113</v>
      </c>
      <c r="B114" s="38" t="s">
        <v>752</v>
      </c>
      <c r="C114" s="102" t="s">
        <v>831</v>
      </c>
      <c r="D114" s="102" t="s">
        <v>825</v>
      </c>
      <c r="E114" s="103">
        <v>302040644023</v>
      </c>
      <c r="F114" s="283" t="s">
        <v>930</v>
      </c>
      <c r="G114" s="51" t="s">
        <v>879</v>
      </c>
      <c r="H114" s="38" t="s">
        <v>885</v>
      </c>
      <c r="I114" s="304"/>
      <c r="J114" s="102"/>
      <c r="K114" s="105"/>
      <c r="L114" s="104">
        <v>201978000041</v>
      </c>
      <c r="M114" s="106" t="s">
        <v>302</v>
      </c>
      <c r="N114" s="105">
        <v>2</v>
      </c>
      <c r="O114" s="104">
        <v>302053830111</v>
      </c>
      <c r="P114" s="371">
        <v>45800</v>
      </c>
      <c r="Q114" s="371">
        <v>3795</v>
      </c>
      <c r="R114" s="371">
        <v>1815</v>
      </c>
      <c r="S114" s="374">
        <f t="shared" si="7"/>
        <v>51410</v>
      </c>
    </row>
    <row r="115" spans="1:19" ht="16.5">
      <c r="A115" s="38">
        <f t="shared" si="6"/>
        <v>114</v>
      </c>
      <c r="B115" s="38" t="s">
        <v>752</v>
      </c>
      <c r="C115" s="102" t="s">
        <v>831</v>
      </c>
      <c r="D115" s="102" t="s">
        <v>825</v>
      </c>
      <c r="E115" s="103">
        <v>302040644023</v>
      </c>
      <c r="F115" s="283" t="s">
        <v>930</v>
      </c>
      <c r="G115" s="51" t="s">
        <v>879</v>
      </c>
      <c r="H115" s="38" t="s">
        <v>885</v>
      </c>
      <c r="I115" s="304"/>
      <c r="J115" s="102"/>
      <c r="K115" s="105"/>
      <c r="L115" s="104">
        <v>201978000043</v>
      </c>
      <c r="M115" s="106" t="s">
        <v>344</v>
      </c>
      <c r="N115" s="105">
        <v>1</v>
      </c>
      <c r="O115" s="104">
        <v>302053830111</v>
      </c>
      <c r="P115" s="372"/>
      <c r="Q115" s="372"/>
      <c r="R115" s="372"/>
      <c r="S115" s="375"/>
    </row>
    <row r="116" spans="1:19" ht="16.5">
      <c r="A116" s="38">
        <f t="shared" si="6"/>
        <v>115</v>
      </c>
      <c r="B116" s="38" t="s">
        <v>752</v>
      </c>
      <c r="C116" s="102" t="s">
        <v>831</v>
      </c>
      <c r="D116" s="102" t="s">
        <v>825</v>
      </c>
      <c r="E116" s="103">
        <v>302040644023</v>
      </c>
      <c r="F116" s="283" t="s">
        <v>930</v>
      </c>
      <c r="G116" s="51" t="s">
        <v>879</v>
      </c>
      <c r="H116" s="38" t="s">
        <v>885</v>
      </c>
      <c r="I116" s="304"/>
      <c r="J116" s="102"/>
      <c r="K116" s="105"/>
      <c r="L116" s="104">
        <v>201978000068</v>
      </c>
      <c r="M116" s="106" t="s">
        <v>401</v>
      </c>
      <c r="N116" s="105">
        <v>8</v>
      </c>
      <c r="O116" s="104">
        <v>302053830111</v>
      </c>
      <c r="P116" s="372"/>
      <c r="Q116" s="372"/>
      <c r="R116" s="372"/>
      <c r="S116" s="375"/>
    </row>
    <row r="117" spans="1:19" ht="16.5">
      <c r="A117" s="38">
        <f t="shared" si="6"/>
        <v>116</v>
      </c>
      <c r="B117" s="38" t="s">
        <v>752</v>
      </c>
      <c r="C117" s="102" t="s">
        <v>831</v>
      </c>
      <c r="D117" s="102" t="s">
        <v>825</v>
      </c>
      <c r="E117" s="103">
        <v>302040644023</v>
      </c>
      <c r="F117" s="283" t="s">
        <v>930</v>
      </c>
      <c r="G117" s="51" t="s">
        <v>879</v>
      </c>
      <c r="H117" s="38" t="s">
        <v>885</v>
      </c>
      <c r="I117" s="304"/>
      <c r="J117" s="102"/>
      <c r="K117" s="105"/>
      <c r="L117" s="104">
        <v>201987000207</v>
      </c>
      <c r="M117" s="106" t="s">
        <v>783</v>
      </c>
      <c r="N117" s="105">
        <v>1</v>
      </c>
      <c r="O117" s="104">
        <v>302053830111</v>
      </c>
      <c r="P117" s="373"/>
      <c r="Q117" s="373"/>
      <c r="R117" s="373"/>
      <c r="S117" s="376"/>
    </row>
    <row r="118" spans="1:19" ht="16.5">
      <c r="A118" s="38">
        <f t="shared" si="6"/>
        <v>117</v>
      </c>
      <c r="B118" s="38" t="s">
        <v>752</v>
      </c>
      <c r="C118" s="102" t="s">
        <v>838</v>
      </c>
      <c r="D118" s="102" t="s">
        <v>840</v>
      </c>
      <c r="E118" s="103">
        <v>302040603375</v>
      </c>
      <c r="F118" s="283" t="s">
        <v>931</v>
      </c>
      <c r="G118" s="51" t="s">
        <v>879</v>
      </c>
      <c r="H118" s="38" t="s">
        <v>885</v>
      </c>
      <c r="I118" s="304"/>
      <c r="J118" s="102"/>
      <c r="K118" s="105"/>
      <c r="L118" s="104">
        <v>201991000104</v>
      </c>
      <c r="M118" s="106" t="s">
        <v>386</v>
      </c>
      <c r="N118" s="105">
        <v>3</v>
      </c>
      <c r="O118" s="104">
        <v>302040791362</v>
      </c>
      <c r="P118" s="371">
        <v>23500</v>
      </c>
      <c r="Q118" s="371">
        <v>3300</v>
      </c>
      <c r="R118" s="371">
        <v>1540</v>
      </c>
      <c r="S118" s="374">
        <f t="shared" si="7"/>
        <v>28340</v>
      </c>
    </row>
    <row r="119" spans="1:19" ht="16.5">
      <c r="A119" s="38">
        <f t="shared" si="6"/>
        <v>118</v>
      </c>
      <c r="B119" s="38" t="s">
        <v>752</v>
      </c>
      <c r="C119" s="102" t="s">
        <v>838</v>
      </c>
      <c r="D119" s="102" t="s">
        <v>840</v>
      </c>
      <c r="E119" s="103">
        <v>302040603375</v>
      </c>
      <c r="F119" s="283" t="s">
        <v>931</v>
      </c>
      <c r="G119" s="51" t="s">
        <v>879</v>
      </c>
      <c r="H119" s="38" t="s">
        <v>885</v>
      </c>
      <c r="I119" s="304"/>
      <c r="J119" s="105"/>
      <c r="K119" s="105"/>
      <c r="L119" s="104">
        <v>201991000105</v>
      </c>
      <c r="M119" s="106" t="s">
        <v>932</v>
      </c>
      <c r="N119" s="105">
        <v>3</v>
      </c>
      <c r="O119" s="104">
        <v>302040791362</v>
      </c>
      <c r="P119" s="372"/>
      <c r="Q119" s="372"/>
      <c r="R119" s="372"/>
      <c r="S119" s="375"/>
    </row>
    <row r="120" spans="1:19" ht="16.5">
      <c r="A120" s="38">
        <f t="shared" si="6"/>
        <v>119</v>
      </c>
      <c r="B120" s="38" t="s">
        <v>752</v>
      </c>
      <c r="C120" s="102" t="s">
        <v>838</v>
      </c>
      <c r="D120" s="102" t="s">
        <v>840</v>
      </c>
      <c r="E120" s="103">
        <v>302040603375</v>
      </c>
      <c r="F120" s="283" t="s">
        <v>931</v>
      </c>
      <c r="G120" s="51" t="s">
        <v>879</v>
      </c>
      <c r="H120" s="38" t="s">
        <v>885</v>
      </c>
      <c r="I120" s="304"/>
      <c r="J120" s="102"/>
      <c r="K120" s="105"/>
      <c r="L120" s="104">
        <v>201991000106</v>
      </c>
      <c r="M120" s="106" t="s">
        <v>791</v>
      </c>
      <c r="N120" s="105">
        <v>3</v>
      </c>
      <c r="O120" s="104">
        <v>302040791362</v>
      </c>
      <c r="P120" s="372"/>
      <c r="Q120" s="372"/>
      <c r="R120" s="372"/>
      <c r="S120" s="375"/>
    </row>
    <row r="121" spans="1:19" ht="16.5">
      <c r="A121" s="38">
        <f t="shared" si="6"/>
        <v>120</v>
      </c>
      <c r="B121" s="38" t="s">
        <v>752</v>
      </c>
      <c r="C121" s="102" t="s">
        <v>838</v>
      </c>
      <c r="D121" s="102" t="s">
        <v>840</v>
      </c>
      <c r="E121" s="103">
        <v>302040603375</v>
      </c>
      <c r="F121" s="283" t="s">
        <v>931</v>
      </c>
      <c r="G121" s="51" t="s">
        <v>879</v>
      </c>
      <c r="H121" s="38" t="s">
        <v>885</v>
      </c>
      <c r="I121" s="304"/>
      <c r="J121" s="102"/>
      <c r="K121" s="105"/>
      <c r="L121" s="104">
        <v>201991000107</v>
      </c>
      <c r="M121" s="106" t="s">
        <v>559</v>
      </c>
      <c r="N121" s="105">
        <v>3</v>
      </c>
      <c r="O121" s="104">
        <v>302040791362</v>
      </c>
      <c r="P121" s="372"/>
      <c r="Q121" s="372"/>
      <c r="R121" s="372"/>
      <c r="S121" s="375"/>
    </row>
    <row r="122" spans="1:19" ht="16.5">
      <c r="A122" s="38">
        <f t="shared" si="6"/>
        <v>121</v>
      </c>
      <c r="B122" s="38" t="s">
        <v>752</v>
      </c>
      <c r="C122" s="102" t="s">
        <v>838</v>
      </c>
      <c r="D122" s="102" t="s">
        <v>840</v>
      </c>
      <c r="E122" s="103">
        <v>302040603375</v>
      </c>
      <c r="F122" s="283" t="s">
        <v>931</v>
      </c>
      <c r="G122" s="51" t="s">
        <v>879</v>
      </c>
      <c r="H122" s="38" t="s">
        <v>885</v>
      </c>
      <c r="I122" s="304"/>
      <c r="J122" s="102"/>
      <c r="K122" s="105"/>
      <c r="L122" s="104">
        <v>201991000108</v>
      </c>
      <c r="M122" s="106" t="s">
        <v>837</v>
      </c>
      <c r="N122" s="105">
        <v>3</v>
      </c>
      <c r="O122" s="104">
        <v>302040791362</v>
      </c>
      <c r="P122" s="372"/>
      <c r="Q122" s="372"/>
      <c r="R122" s="372"/>
      <c r="S122" s="375"/>
    </row>
    <row r="123" spans="1:19" ht="16.5">
      <c r="A123" s="38">
        <f t="shared" si="6"/>
        <v>122</v>
      </c>
      <c r="B123" s="38" t="s">
        <v>752</v>
      </c>
      <c r="C123" s="102" t="s">
        <v>838</v>
      </c>
      <c r="D123" s="102" t="s">
        <v>840</v>
      </c>
      <c r="E123" s="103">
        <v>302040603375</v>
      </c>
      <c r="F123" s="283" t="s">
        <v>931</v>
      </c>
      <c r="G123" s="51" t="s">
        <v>879</v>
      </c>
      <c r="H123" s="38" t="s">
        <v>885</v>
      </c>
      <c r="I123" s="304"/>
      <c r="J123" s="102"/>
      <c r="K123" s="105"/>
      <c r="L123" s="104">
        <v>201991000109</v>
      </c>
      <c r="M123" s="106" t="s">
        <v>829</v>
      </c>
      <c r="N123" s="105">
        <v>3</v>
      </c>
      <c r="O123" s="104">
        <v>302040791362</v>
      </c>
      <c r="P123" s="373"/>
      <c r="Q123" s="373"/>
      <c r="R123" s="373"/>
      <c r="S123" s="376"/>
    </row>
    <row r="124" spans="1:19" ht="16.5">
      <c r="A124" s="38">
        <f t="shared" si="6"/>
        <v>123</v>
      </c>
      <c r="B124" s="38" t="s">
        <v>752</v>
      </c>
      <c r="C124" s="102" t="s">
        <v>838</v>
      </c>
      <c r="D124" s="102" t="s">
        <v>840</v>
      </c>
      <c r="E124" s="103">
        <v>302040646591</v>
      </c>
      <c r="F124" s="283" t="s">
        <v>933</v>
      </c>
      <c r="G124" s="51" t="s">
        <v>879</v>
      </c>
      <c r="H124" s="38" t="s">
        <v>885</v>
      </c>
      <c r="I124" s="304"/>
      <c r="J124" s="102"/>
      <c r="K124" s="105"/>
      <c r="L124" s="104">
        <v>201978000041</v>
      </c>
      <c r="M124" s="106" t="s">
        <v>302</v>
      </c>
      <c r="N124" s="105">
        <v>3</v>
      </c>
      <c r="O124" s="104" t="s">
        <v>796</v>
      </c>
      <c r="P124" s="107">
        <v>29730</v>
      </c>
      <c r="Q124" s="107">
        <v>3795</v>
      </c>
      <c r="R124" s="108">
        <v>1100</v>
      </c>
      <c r="S124" s="52">
        <f t="shared" si="7"/>
        <v>34625</v>
      </c>
    </row>
    <row r="125" spans="1:19" ht="16.5">
      <c r="A125" s="38">
        <f t="shared" si="6"/>
        <v>124</v>
      </c>
      <c r="B125" s="38" t="s">
        <v>752</v>
      </c>
      <c r="C125" s="102" t="s">
        <v>838</v>
      </c>
      <c r="D125" s="102" t="s">
        <v>846</v>
      </c>
      <c r="E125" s="103">
        <v>302053822654</v>
      </c>
      <c r="F125" s="283" t="s">
        <v>934</v>
      </c>
      <c r="G125" s="51" t="s">
        <v>879</v>
      </c>
      <c r="H125" s="38" t="s">
        <v>885</v>
      </c>
      <c r="I125" s="304"/>
      <c r="J125" s="102"/>
      <c r="K125" s="105"/>
      <c r="L125" s="104">
        <v>201978000103</v>
      </c>
      <c r="M125" s="106" t="s">
        <v>935</v>
      </c>
      <c r="N125" s="105">
        <v>2</v>
      </c>
      <c r="O125" s="104">
        <v>302053870405</v>
      </c>
      <c r="P125" s="107">
        <v>27000</v>
      </c>
      <c r="Q125" s="107">
        <v>3300</v>
      </c>
      <c r="R125" s="108">
        <v>1540</v>
      </c>
      <c r="S125" s="52">
        <f t="shared" si="7"/>
        <v>31840</v>
      </c>
    </row>
    <row r="126" spans="1:19" ht="16.5">
      <c r="A126" s="38">
        <f t="shared" si="6"/>
        <v>125</v>
      </c>
      <c r="B126" s="38" t="s">
        <v>752</v>
      </c>
      <c r="C126" s="102" t="s">
        <v>845</v>
      </c>
      <c r="D126" s="102" t="s">
        <v>936</v>
      </c>
      <c r="E126" s="103">
        <v>302053583792</v>
      </c>
      <c r="F126" s="283" t="s">
        <v>937</v>
      </c>
      <c r="G126" s="51" t="s">
        <v>879</v>
      </c>
      <c r="H126" s="38" t="s">
        <v>885</v>
      </c>
      <c r="I126" s="304"/>
      <c r="J126" s="102"/>
      <c r="K126" s="105"/>
      <c r="L126" s="104">
        <v>201978000041</v>
      </c>
      <c r="M126" s="106" t="s">
        <v>302</v>
      </c>
      <c r="N126" s="105">
        <v>2</v>
      </c>
      <c r="O126" s="104">
        <v>302053947372</v>
      </c>
      <c r="P126" s="107">
        <v>14060</v>
      </c>
      <c r="Q126" s="107">
        <v>2750</v>
      </c>
      <c r="R126" s="108">
        <v>1485</v>
      </c>
      <c r="S126" s="52">
        <f t="shared" si="7"/>
        <v>18295</v>
      </c>
    </row>
    <row r="127" spans="1:19" ht="16.5">
      <c r="A127" s="38">
        <f t="shared" si="6"/>
        <v>126</v>
      </c>
      <c r="B127" s="38" t="s">
        <v>752</v>
      </c>
      <c r="C127" s="102" t="s">
        <v>845</v>
      </c>
      <c r="D127" s="102" t="s">
        <v>846</v>
      </c>
      <c r="E127" s="103">
        <v>302053810010</v>
      </c>
      <c r="F127" s="283" t="s">
        <v>938</v>
      </c>
      <c r="G127" s="51" t="s">
        <v>879</v>
      </c>
      <c r="H127" s="38" t="s">
        <v>885</v>
      </c>
      <c r="I127" s="304"/>
      <c r="J127" s="102"/>
      <c r="K127" s="105"/>
      <c r="L127" s="104">
        <v>201978000068</v>
      </c>
      <c r="M127" s="106" t="s">
        <v>401</v>
      </c>
      <c r="N127" s="105">
        <v>10</v>
      </c>
      <c r="O127" s="104">
        <v>302053947523</v>
      </c>
      <c r="P127" s="107">
        <v>35900</v>
      </c>
      <c r="Q127" s="107">
        <v>2750</v>
      </c>
      <c r="R127" s="108">
        <v>1595</v>
      </c>
      <c r="S127" s="52">
        <f t="shared" si="7"/>
        <v>40245</v>
      </c>
    </row>
    <row r="128" spans="1:19" ht="16.5">
      <c r="A128" s="38">
        <f t="shared" si="6"/>
        <v>127</v>
      </c>
      <c r="B128" s="38" t="s">
        <v>752</v>
      </c>
      <c r="C128" s="102" t="s">
        <v>845</v>
      </c>
      <c r="D128" s="102" t="s">
        <v>846</v>
      </c>
      <c r="E128" s="103">
        <v>302053817150</v>
      </c>
      <c r="F128" s="283" t="s">
        <v>939</v>
      </c>
      <c r="G128" s="51" t="s">
        <v>879</v>
      </c>
      <c r="H128" s="38" t="s">
        <v>885</v>
      </c>
      <c r="I128" s="304"/>
      <c r="J128" s="102"/>
      <c r="K128" s="105"/>
      <c r="L128" s="104">
        <v>201991000097</v>
      </c>
      <c r="M128" s="106" t="s">
        <v>330</v>
      </c>
      <c r="N128" s="105">
        <v>2</v>
      </c>
      <c r="O128" s="104" t="s">
        <v>796</v>
      </c>
      <c r="P128" s="371">
        <v>30000</v>
      </c>
      <c r="Q128" s="371">
        <v>3245</v>
      </c>
      <c r="R128" s="371">
        <v>1320</v>
      </c>
      <c r="S128" s="374">
        <f t="shared" si="7"/>
        <v>34565</v>
      </c>
    </row>
    <row r="129" spans="1:19" ht="16.5">
      <c r="A129" s="38">
        <f t="shared" si="6"/>
        <v>128</v>
      </c>
      <c r="B129" s="38" t="s">
        <v>752</v>
      </c>
      <c r="C129" s="102" t="s">
        <v>845</v>
      </c>
      <c r="D129" s="102" t="s">
        <v>846</v>
      </c>
      <c r="E129" s="103">
        <v>302053817150</v>
      </c>
      <c r="F129" s="283" t="s">
        <v>939</v>
      </c>
      <c r="G129" s="51" t="s">
        <v>879</v>
      </c>
      <c r="H129" s="38" t="s">
        <v>885</v>
      </c>
      <c r="I129" s="304"/>
      <c r="J129" s="102"/>
      <c r="K129" s="105"/>
      <c r="L129" s="104">
        <v>201988000034</v>
      </c>
      <c r="M129" s="106" t="s">
        <v>940</v>
      </c>
      <c r="N129" s="105">
        <v>1</v>
      </c>
      <c r="O129" s="104" t="s">
        <v>796</v>
      </c>
      <c r="P129" s="373"/>
      <c r="Q129" s="373"/>
      <c r="R129" s="373"/>
      <c r="S129" s="376"/>
    </row>
    <row r="130" spans="1:19" ht="16.5">
      <c r="A130" s="38">
        <f t="shared" si="6"/>
        <v>129</v>
      </c>
      <c r="B130" s="38" t="s">
        <v>752</v>
      </c>
      <c r="C130" s="102" t="s">
        <v>845</v>
      </c>
      <c r="D130" s="102" t="s">
        <v>846</v>
      </c>
      <c r="E130" s="103">
        <v>302053822820</v>
      </c>
      <c r="F130" s="283" t="s">
        <v>503</v>
      </c>
      <c r="G130" s="51" t="s">
        <v>879</v>
      </c>
      <c r="H130" s="38" t="s">
        <v>885</v>
      </c>
      <c r="I130" s="304"/>
      <c r="J130" s="102"/>
      <c r="K130" s="105"/>
      <c r="L130" s="104">
        <v>201978000073</v>
      </c>
      <c r="M130" s="106" t="s">
        <v>941</v>
      </c>
      <c r="N130" s="105">
        <v>3</v>
      </c>
      <c r="O130" s="104" t="s">
        <v>796</v>
      </c>
      <c r="P130" s="107">
        <v>21900</v>
      </c>
      <c r="Q130" s="107">
        <v>3300</v>
      </c>
      <c r="R130" s="108">
        <v>1540</v>
      </c>
      <c r="S130" s="52">
        <f t="shared" si="7"/>
        <v>26740</v>
      </c>
    </row>
    <row r="131" spans="1:19" ht="16.5">
      <c r="A131" s="38">
        <f t="shared" si="6"/>
        <v>130</v>
      </c>
      <c r="B131" s="38" t="s">
        <v>752</v>
      </c>
      <c r="C131" s="102" t="s">
        <v>845</v>
      </c>
      <c r="D131" s="102" t="s">
        <v>846</v>
      </c>
      <c r="E131" s="103">
        <v>302053816682</v>
      </c>
      <c r="F131" s="283" t="s">
        <v>942</v>
      </c>
      <c r="G131" s="51" t="s">
        <v>879</v>
      </c>
      <c r="H131" s="38" t="s">
        <v>885</v>
      </c>
      <c r="I131" s="304"/>
      <c r="J131" s="102"/>
      <c r="K131" s="105"/>
      <c r="L131" s="104">
        <v>201978000138</v>
      </c>
      <c r="M131" s="106" t="s">
        <v>407</v>
      </c>
      <c r="N131" s="105">
        <v>4</v>
      </c>
      <c r="O131" s="104" t="s">
        <v>796</v>
      </c>
      <c r="P131" s="107">
        <v>30000</v>
      </c>
      <c r="Q131" s="107">
        <v>3300</v>
      </c>
      <c r="R131" s="108">
        <v>1540</v>
      </c>
      <c r="S131" s="52">
        <f t="shared" si="7"/>
        <v>34840</v>
      </c>
    </row>
    <row r="132" spans="1:19" ht="16.5">
      <c r="A132" s="38">
        <f t="shared" si="6"/>
        <v>131</v>
      </c>
      <c r="B132" s="38" t="s">
        <v>752</v>
      </c>
      <c r="C132" s="102" t="s">
        <v>845</v>
      </c>
      <c r="D132" s="102" t="s">
        <v>846</v>
      </c>
      <c r="E132" s="103">
        <v>302053816623</v>
      </c>
      <c r="F132" s="283" t="s">
        <v>943</v>
      </c>
      <c r="G132" s="51" t="s">
        <v>879</v>
      </c>
      <c r="H132" s="38" t="s">
        <v>885</v>
      </c>
      <c r="I132" s="304"/>
      <c r="J132" s="102"/>
      <c r="K132" s="105"/>
      <c r="L132" s="104">
        <v>201978000073</v>
      </c>
      <c r="M132" s="106" t="s">
        <v>941</v>
      </c>
      <c r="N132" s="105">
        <v>3</v>
      </c>
      <c r="O132" s="104" t="s">
        <v>796</v>
      </c>
      <c r="P132" s="107">
        <v>21290</v>
      </c>
      <c r="Q132" s="107">
        <v>3300</v>
      </c>
      <c r="R132" s="108">
        <v>1540</v>
      </c>
      <c r="S132" s="52">
        <f t="shared" si="7"/>
        <v>26130</v>
      </c>
    </row>
    <row r="133" spans="1:19" ht="16.5">
      <c r="A133" s="38">
        <f t="shared" si="6"/>
        <v>132</v>
      </c>
      <c r="B133" s="38" t="s">
        <v>752</v>
      </c>
      <c r="C133" s="102" t="s">
        <v>845</v>
      </c>
      <c r="D133" s="102" t="s">
        <v>849</v>
      </c>
      <c r="E133" s="103">
        <v>302053843201</v>
      </c>
      <c r="F133" s="283" t="s">
        <v>944</v>
      </c>
      <c r="G133" s="51" t="s">
        <v>879</v>
      </c>
      <c r="H133" s="38" t="s">
        <v>885</v>
      </c>
      <c r="I133" s="304"/>
      <c r="J133" s="102"/>
      <c r="K133" s="105"/>
      <c r="L133" s="104">
        <v>202008000058</v>
      </c>
      <c r="M133" s="106" t="s">
        <v>315</v>
      </c>
      <c r="N133" s="105">
        <v>2</v>
      </c>
      <c r="O133" s="104" t="s">
        <v>796</v>
      </c>
      <c r="P133" s="107">
        <v>5980</v>
      </c>
      <c r="Q133" s="107">
        <v>2750</v>
      </c>
      <c r="R133" s="108">
        <v>1485</v>
      </c>
      <c r="S133" s="52">
        <f t="shared" si="7"/>
        <v>10215</v>
      </c>
    </row>
    <row r="134" spans="1:19" ht="16.5">
      <c r="A134" s="38">
        <f t="shared" si="6"/>
        <v>133</v>
      </c>
      <c r="B134" s="38" t="s">
        <v>752</v>
      </c>
      <c r="C134" s="102" t="s">
        <v>845</v>
      </c>
      <c r="D134" s="102" t="s">
        <v>849</v>
      </c>
      <c r="E134" s="103">
        <v>302053837623</v>
      </c>
      <c r="F134" s="283" t="s">
        <v>806</v>
      </c>
      <c r="G134" s="51" t="s">
        <v>879</v>
      </c>
      <c r="H134" s="38" t="s">
        <v>885</v>
      </c>
      <c r="I134" s="304"/>
      <c r="J134" s="102"/>
      <c r="K134" s="105"/>
      <c r="L134" s="104">
        <v>202008000058</v>
      </c>
      <c r="M134" s="106" t="s">
        <v>315</v>
      </c>
      <c r="N134" s="105">
        <v>2</v>
      </c>
      <c r="O134" s="104" t="s">
        <v>796</v>
      </c>
      <c r="P134" s="107">
        <v>5980</v>
      </c>
      <c r="Q134" s="107">
        <v>2750</v>
      </c>
      <c r="R134" s="108">
        <v>1485</v>
      </c>
      <c r="S134" s="52">
        <f t="shared" si="7"/>
        <v>10215</v>
      </c>
    </row>
    <row r="135" spans="1:19" ht="16.5">
      <c r="A135" s="38">
        <f t="shared" si="6"/>
        <v>134</v>
      </c>
      <c r="B135" s="38" t="s">
        <v>752</v>
      </c>
      <c r="C135" s="102" t="s">
        <v>845</v>
      </c>
      <c r="D135" s="102" t="s">
        <v>849</v>
      </c>
      <c r="E135" s="103">
        <v>302053841860</v>
      </c>
      <c r="F135" s="283" t="s">
        <v>945</v>
      </c>
      <c r="G135" s="51" t="s">
        <v>879</v>
      </c>
      <c r="H135" s="38" t="s">
        <v>885</v>
      </c>
      <c r="I135" s="304"/>
      <c r="J135" s="102"/>
      <c r="K135" s="105"/>
      <c r="L135" s="104">
        <v>202008000058</v>
      </c>
      <c r="M135" s="106" t="s">
        <v>315</v>
      </c>
      <c r="N135" s="105">
        <v>2</v>
      </c>
      <c r="O135" s="104" t="s">
        <v>796</v>
      </c>
      <c r="P135" s="107">
        <v>5980</v>
      </c>
      <c r="Q135" s="107">
        <v>2750</v>
      </c>
      <c r="R135" s="108">
        <v>1485</v>
      </c>
      <c r="S135" s="52">
        <f t="shared" si="7"/>
        <v>10215</v>
      </c>
    </row>
    <row r="136" spans="1:19" ht="16.5">
      <c r="A136" s="38">
        <f t="shared" si="6"/>
        <v>135</v>
      </c>
      <c r="B136" s="38" t="s">
        <v>752</v>
      </c>
      <c r="C136" s="102" t="s">
        <v>845</v>
      </c>
      <c r="D136" s="102" t="s">
        <v>849</v>
      </c>
      <c r="E136" s="103">
        <v>302053834484</v>
      </c>
      <c r="F136" s="283" t="s">
        <v>946</v>
      </c>
      <c r="G136" s="51" t="s">
        <v>879</v>
      </c>
      <c r="H136" s="38" t="s">
        <v>885</v>
      </c>
      <c r="I136" s="304"/>
      <c r="J136" s="102"/>
      <c r="K136" s="105"/>
      <c r="L136" s="104">
        <v>201978000138</v>
      </c>
      <c r="M136" s="106" t="s">
        <v>407</v>
      </c>
      <c r="N136" s="105">
        <v>2</v>
      </c>
      <c r="O136" s="104" t="s">
        <v>796</v>
      </c>
      <c r="P136" s="107">
        <v>14000</v>
      </c>
      <c r="Q136" s="107">
        <v>2750</v>
      </c>
      <c r="R136" s="108">
        <v>1430</v>
      </c>
      <c r="S136" s="52">
        <f t="shared" si="7"/>
        <v>18180</v>
      </c>
    </row>
    <row r="137" spans="1:19" ht="16.5">
      <c r="A137" s="38">
        <f t="shared" si="6"/>
        <v>136</v>
      </c>
      <c r="B137" s="38" t="s">
        <v>752</v>
      </c>
      <c r="C137" s="102" t="s">
        <v>845</v>
      </c>
      <c r="D137" s="102" t="s">
        <v>853</v>
      </c>
      <c r="E137" s="103">
        <v>302053855252</v>
      </c>
      <c r="F137" s="283" t="s">
        <v>947</v>
      </c>
      <c r="G137" s="51" t="s">
        <v>879</v>
      </c>
      <c r="H137" s="38" t="s">
        <v>885</v>
      </c>
      <c r="I137" s="304"/>
      <c r="J137" s="102"/>
      <c r="K137" s="105"/>
      <c r="L137" s="104">
        <v>201978000078</v>
      </c>
      <c r="M137" s="106" t="s">
        <v>948</v>
      </c>
      <c r="N137" s="105">
        <v>10</v>
      </c>
      <c r="O137" s="104" t="s">
        <v>796</v>
      </c>
      <c r="P137" s="107">
        <v>20290</v>
      </c>
      <c r="Q137" s="107">
        <v>3795</v>
      </c>
      <c r="R137" s="108">
        <v>1540</v>
      </c>
      <c r="S137" s="52">
        <f t="shared" si="7"/>
        <v>25625</v>
      </c>
    </row>
    <row r="138" spans="1:19" ht="16.5">
      <c r="A138" s="38">
        <f t="shared" si="6"/>
        <v>137</v>
      </c>
      <c r="B138" s="38" t="s">
        <v>752</v>
      </c>
      <c r="C138" s="102" t="s">
        <v>845</v>
      </c>
      <c r="D138" s="102" t="s">
        <v>849</v>
      </c>
      <c r="E138" s="103">
        <v>302053838695</v>
      </c>
      <c r="F138" s="283" t="s">
        <v>949</v>
      </c>
      <c r="G138" s="51" t="s">
        <v>879</v>
      </c>
      <c r="H138" s="38" t="s">
        <v>885</v>
      </c>
      <c r="I138" s="304"/>
      <c r="J138" s="102"/>
      <c r="K138" s="105"/>
      <c r="L138" s="104">
        <v>202008000058</v>
      </c>
      <c r="M138" s="106" t="s">
        <v>315</v>
      </c>
      <c r="N138" s="105">
        <v>2</v>
      </c>
      <c r="O138" s="104" t="s">
        <v>796</v>
      </c>
      <c r="P138" s="107">
        <v>5980</v>
      </c>
      <c r="Q138" s="107">
        <v>2750</v>
      </c>
      <c r="R138" s="108">
        <v>1485</v>
      </c>
      <c r="S138" s="52">
        <f t="shared" si="7"/>
        <v>10215</v>
      </c>
    </row>
    <row r="139" spans="1:19" ht="16.5">
      <c r="A139" s="38">
        <f t="shared" si="6"/>
        <v>138</v>
      </c>
      <c r="B139" s="38" t="s">
        <v>752</v>
      </c>
      <c r="C139" s="102" t="s">
        <v>845</v>
      </c>
      <c r="D139" s="102" t="s">
        <v>853</v>
      </c>
      <c r="E139" s="103">
        <v>302053870405</v>
      </c>
      <c r="F139" s="283" t="s">
        <v>934</v>
      </c>
      <c r="G139" s="51" t="s">
        <v>879</v>
      </c>
      <c r="H139" s="38" t="s">
        <v>885</v>
      </c>
      <c r="I139" s="304"/>
      <c r="J139" s="102"/>
      <c r="K139" s="105"/>
      <c r="L139" s="104">
        <v>201978000103</v>
      </c>
      <c r="M139" s="106" t="s">
        <v>935</v>
      </c>
      <c r="N139" s="105">
        <v>2</v>
      </c>
      <c r="O139" s="104" t="s">
        <v>796</v>
      </c>
      <c r="P139" s="107">
        <v>27000</v>
      </c>
      <c r="Q139" s="107">
        <v>2750</v>
      </c>
      <c r="R139" s="108">
        <v>1320</v>
      </c>
      <c r="S139" s="52">
        <f t="shared" si="7"/>
        <v>31070</v>
      </c>
    </row>
    <row r="140" spans="1:19" ht="16.5">
      <c r="A140" s="38">
        <f t="shared" si="6"/>
        <v>139</v>
      </c>
      <c r="B140" s="38" t="s">
        <v>752</v>
      </c>
      <c r="C140" s="102" t="s">
        <v>845</v>
      </c>
      <c r="D140" s="102" t="s">
        <v>846</v>
      </c>
      <c r="E140" s="103">
        <v>302053817080</v>
      </c>
      <c r="F140" s="283" t="s">
        <v>950</v>
      </c>
      <c r="G140" s="51" t="s">
        <v>879</v>
      </c>
      <c r="H140" s="38" t="s">
        <v>885</v>
      </c>
      <c r="I140" s="304"/>
      <c r="J140" s="102"/>
      <c r="K140" s="105"/>
      <c r="L140" s="104">
        <v>201991000104</v>
      </c>
      <c r="M140" s="106" t="s">
        <v>386</v>
      </c>
      <c r="N140" s="105">
        <v>3</v>
      </c>
      <c r="O140" s="104">
        <v>302053948481</v>
      </c>
      <c r="P140" s="371">
        <v>25940</v>
      </c>
      <c r="Q140" s="371">
        <v>3300</v>
      </c>
      <c r="R140" s="371">
        <v>1540</v>
      </c>
      <c r="S140" s="374">
        <f t="shared" si="7"/>
        <v>30780</v>
      </c>
    </row>
    <row r="141" spans="1:19" ht="16.5">
      <c r="A141" s="38">
        <f t="shared" si="6"/>
        <v>140</v>
      </c>
      <c r="B141" s="38" t="s">
        <v>752</v>
      </c>
      <c r="C141" s="102" t="s">
        <v>845</v>
      </c>
      <c r="D141" s="102" t="s">
        <v>846</v>
      </c>
      <c r="E141" s="103">
        <v>302053817080</v>
      </c>
      <c r="F141" s="283" t="s">
        <v>950</v>
      </c>
      <c r="G141" s="51" t="s">
        <v>879</v>
      </c>
      <c r="H141" s="38" t="s">
        <v>885</v>
      </c>
      <c r="I141" s="304"/>
      <c r="J141" s="102"/>
      <c r="K141" s="105"/>
      <c r="L141" s="104">
        <v>201991000106</v>
      </c>
      <c r="M141" s="106" t="s">
        <v>791</v>
      </c>
      <c r="N141" s="105">
        <v>3</v>
      </c>
      <c r="O141" s="104">
        <v>302053948481</v>
      </c>
      <c r="P141" s="372"/>
      <c r="Q141" s="372"/>
      <c r="R141" s="372"/>
      <c r="S141" s="375"/>
    </row>
    <row r="142" spans="1:19" ht="16.5">
      <c r="A142" s="38">
        <f t="shared" si="6"/>
        <v>141</v>
      </c>
      <c r="B142" s="38" t="s">
        <v>752</v>
      </c>
      <c r="C142" s="102" t="s">
        <v>845</v>
      </c>
      <c r="D142" s="102" t="s">
        <v>846</v>
      </c>
      <c r="E142" s="103">
        <v>302053817080</v>
      </c>
      <c r="F142" s="283" t="s">
        <v>950</v>
      </c>
      <c r="G142" s="51" t="s">
        <v>879</v>
      </c>
      <c r="H142" s="38" t="s">
        <v>885</v>
      </c>
      <c r="I142" s="304"/>
      <c r="J142" s="102"/>
      <c r="K142" s="105"/>
      <c r="L142" s="104">
        <v>201991000105</v>
      </c>
      <c r="M142" s="106" t="s">
        <v>932</v>
      </c>
      <c r="N142" s="105">
        <v>3</v>
      </c>
      <c r="O142" s="104">
        <v>302053948481</v>
      </c>
      <c r="P142" s="372"/>
      <c r="Q142" s="372"/>
      <c r="R142" s="372"/>
      <c r="S142" s="375"/>
    </row>
    <row r="143" spans="1:19" ht="16.5">
      <c r="A143" s="38">
        <f t="shared" si="6"/>
        <v>142</v>
      </c>
      <c r="B143" s="38" t="s">
        <v>752</v>
      </c>
      <c r="C143" s="102" t="s">
        <v>845</v>
      </c>
      <c r="D143" s="102" t="s">
        <v>846</v>
      </c>
      <c r="E143" s="103">
        <v>302053817080</v>
      </c>
      <c r="F143" s="283" t="s">
        <v>950</v>
      </c>
      <c r="G143" s="51" t="s">
        <v>879</v>
      </c>
      <c r="H143" s="38" t="s">
        <v>885</v>
      </c>
      <c r="I143" s="304"/>
      <c r="J143" s="102"/>
      <c r="K143" s="105"/>
      <c r="L143" s="104">
        <v>201991000107</v>
      </c>
      <c r="M143" s="106" t="s">
        <v>559</v>
      </c>
      <c r="N143" s="105">
        <v>3</v>
      </c>
      <c r="O143" s="104">
        <v>302053948481</v>
      </c>
      <c r="P143" s="372"/>
      <c r="Q143" s="372"/>
      <c r="R143" s="372"/>
      <c r="S143" s="375"/>
    </row>
    <row r="144" spans="1:19" ht="16.5">
      <c r="A144" s="38">
        <f t="shared" si="6"/>
        <v>143</v>
      </c>
      <c r="B144" s="38" t="s">
        <v>752</v>
      </c>
      <c r="C144" s="102" t="s">
        <v>845</v>
      </c>
      <c r="D144" s="102" t="s">
        <v>846</v>
      </c>
      <c r="E144" s="103">
        <v>302053817080</v>
      </c>
      <c r="F144" s="283" t="s">
        <v>950</v>
      </c>
      <c r="G144" s="51" t="s">
        <v>879</v>
      </c>
      <c r="H144" s="38" t="s">
        <v>885</v>
      </c>
      <c r="I144" s="304"/>
      <c r="J144" s="102"/>
      <c r="K144" s="105"/>
      <c r="L144" s="104">
        <v>201991000107</v>
      </c>
      <c r="M144" s="106" t="s">
        <v>559</v>
      </c>
      <c r="N144" s="105">
        <v>3</v>
      </c>
      <c r="O144" s="104">
        <v>302053948481</v>
      </c>
      <c r="P144" s="372"/>
      <c r="Q144" s="372"/>
      <c r="R144" s="372"/>
      <c r="S144" s="375"/>
    </row>
    <row r="145" spans="1:19" ht="16.5">
      <c r="A145" s="38">
        <f t="shared" si="6"/>
        <v>144</v>
      </c>
      <c r="B145" s="38" t="s">
        <v>752</v>
      </c>
      <c r="C145" s="102" t="s">
        <v>845</v>
      </c>
      <c r="D145" s="102" t="s">
        <v>846</v>
      </c>
      <c r="E145" s="103">
        <v>302053817080</v>
      </c>
      <c r="F145" s="283" t="s">
        <v>950</v>
      </c>
      <c r="G145" s="51" t="s">
        <v>879</v>
      </c>
      <c r="H145" s="38" t="s">
        <v>885</v>
      </c>
      <c r="I145" s="304"/>
      <c r="J145" s="102"/>
      <c r="K145" s="105"/>
      <c r="L145" s="104">
        <v>201991000109</v>
      </c>
      <c r="M145" s="106" t="s">
        <v>829</v>
      </c>
      <c r="N145" s="105">
        <v>3</v>
      </c>
      <c r="O145" s="104">
        <v>302053948481</v>
      </c>
      <c r="P145" s="372"/>
      <c r="Q145" s="372"/>
      <c r="R145" s="372"/>
      <c r="S145" s="375"/>
    </row>
    <row r="146" spans="1:19" ht="16.5">
      <c r="A146" s="38">
        <f t="shared" si="6"/>
        <v>145</v>
      </c>
      <c r="B146" s="38"/>
      <c r="C146" s="102" t="s">
        <v>845</v>
      </c>
      <c r="D146" s="102" t="s">
        <v>846</v>
      </c>
      <c r="E146" s="103">
        <v>302053817080</v>
      </c>
      <c r="F146" s="283" t="s">
        <v>950</v>
      </c>
      <c r="G146" s="51" t="s">
        <v>879</v>
      </c>
      <c r="H146" s="38" t="s">
        <v>885</v>
      </c>
      <c r="I146" s="304"/>
      <c r="J146" s="102"/>
      <c r="K146" s="105"/>
      <c r="L146" s="104">
        <v>201991000108</v>
      </c>
      <c r="M146" s="106" t="s">
        <v>837</v>
      </c>
      <c r="N146" s="105">
        <v>3</v>
      </c>
      <c r="O146" s="104">
        <v>302053948481</v>
      </c>
      <c r="P146" s="373"/>
      <c r="Q146" s="373"/>
      <c r="R146" s="373"/>
      <c r="S146" s="376"/>
    </row>
    <row r="147" spans="1:19" ht="16.5">
      <c r="A147" s="38">
        <f t="shared" si="6"/>
        <v>146</v>
      </c>
      <c r="B147" s="38"/>
      <c r="C147" s="102" t="s">
        <v>845</v>
      </c>
      <c r="D147" s="102" t="s">
        <v>849</v>
      </c>
      <c r="E147" s="103">
        <v>302053836024</v>
      </c>
      <c r="F147" s="283" t="s">
        <v>951</v>
      </c>
      <c r="G147" s="51" t="s">
        <v>879</v>
      </c>
      <c r="H147" s="38" t="s">
        <v>885</v>
      </c>
      <c r="I147" s="304"/>
      <c r="J147" s="102"/>
      <c r="K147" s="105"/>
      <c r="L147" s="104">
        <v>202008000058</v>
      </c>
      <c r="M147" s="106" t="s">
        <v>315</v>
      </c>
      <c r="N147" s="105">
        <v>2</v>
      </c>
      <c r="O147" s="104">
        <v>302053948525</v>
      </c>
      <c r="P147" s="107">
        <v>5980</v>
      </c>
      <c r="Q147" s="107">
        <v>2750</v>
      </c>
      <c r="R147" s="108">
        <v>1485</v>
      </c>
      <c r="S147" s="52">
        <f t="shared" si="7"/>
        <v>10215</v>
      </c>
    </row>
    <row r="148" spans="1:19" ht="16.5">
      <c r="A148" s="38">
        <f t="shared" si="6"/>
        <v>147</v>
      </c>
      <c r="B148" s="38"/>
      <c r="C148" s="102" t="s">
        <v>845</v>
      </c>
      <c r="D148" s="102" t="s">
        <v>849</v>
      </c>
      <c r="E148" s="103">
        <v>302040744005</v>
      </c>
      <c r="F148" s="283" t="s">
        <v>952</v>
      </c>
      <c r="G148" s="51" t="s">
        <v>879</v>
      </c>
      <c r="H148" s="38" t="s">
        <v>885</v>
      </c>
      <c r="I148" s="304"/>
      <c r="J148" s="102"/>
      <c r="K148" s="105"/>
      <c r="L148" s="104">
        <v>201978000041</v>
      </c>
      <c r="M148" s="106" t="s">
        <v>302</v>
      </c>
      <c r="N148" s="105">
        <v>2</v>
      </c>
      <c r="O148" s="104" t="s">
        <v>796</v>
      </c>
      <c r="P148" s="107">
        <v>20000</v>
      </c>
      <c r="Q148" s="107">
        <v>2750</v>
      </c>
      <c r="R148" s="108">
        <v>1485</v>
      </c>
      <c r="S148" s="52">
        <f t="shared" si="7"/>
        <v>24235</v>
      </c>
    </row>
    <row r="149" spans="1:19" ht="16.5">
      <c r="A149" s="38">
        <f t="shared" si="6"/>
        <v>148</v>
      </c>
      <c r="B149" s="38"/>
      <c r="C149" s="102" t="s">
        <v>953</v>
      </c>
      <c r="D149" s="102" t="s">
        <v>936</v>
      </c>
      <c r="E149" s="103">
        <v>302040372014</v>
      </c>
      <c r="F149" s="283" t="s">
        <v>954</v>
      </c>
      <c r="G149" s="51" t="s">
        <v>879</v>
      </c>
      <c r="H149" s="38" t="s">
        <v>885</v>
      </c>
      <c r="I149" s="304"/>
      <c r="J149" s="102"/>
      <c r="K149" s="105"/>
      <c r="L149" s="104">
        <v>201991000104</v>
      </c>
      <c r="M149" s="106" t="s">
        <v>386</v>
      </c>
      <c r="N149" s="105">
        <v>3</v>
      </c>
      <c r="O149" s="104">
        <v>302040954031</v>
      </c>
      <c r="P149" s="371">
        <v>23500</v>
      </c>
      <c r="Q149" s="371">
        <v>3300</v>
      </c>
      <c r="R149" s="371">
        <v>1540</v>
      </c>
      <c r="S149" s="374">
        <f t="shared" si="7"/>
        <v>28340</v>
      </c>
    </row>
    <row r="150" spans="1:19" ht="16.5">
      <c r="A150" s="38">
        <f t="shared" si="6"/>
        <v>149</v>
      </c>
      <c r="B150" s="38"/>
      <c r="C150" s="102" t="s">
        <v>953</v>
      </c>
      <c r="D150" s="102" t="s">
        <v>936</v>
      </c>
      <c r="E150" s="103">
        <v>302040372014</v>
      </c>
      <c r="F150" s="283" t="s">
        <v>954</v>
      </c>
      <c r="G150" s="51" t="s">
        <v>879</v>
      </c>
      <c r="H150" s="38" t="s">
        <v>885</v>
      </c>
      <c r="I150" s="304"/>
      <c r="J150" s="102"/>
      <c r="K150" s="105"/>
      <c r="L150" s="104">
        <v>201991000105</v>
      </c>
      <c r="M150" s="106" t="s">
        <v>932</v>
      </c>
      <c r="N150" s="105">
        <v>3</v>
      </c>
      <c r="O150" s="104">
        <v>302040954031</v>
      </c>
      <c r="P150" s="372"/>
      <c r="Q150" s="372"/>
      <c r="R150" s="372"/>
      <c r="S150" s="375"/>
    </row>
    <row r="151" spans="1:19" ht="16.5">
      <c r="A151" s="38">
        <f t="shared" si="6"/>
        <v>150</v>
      </c>
      <c r="B151" s="38"/>
      <c r="C151" s="102" t="s">
        <v>953</v>
      </c>
      <c r="D151" s="102" t="s">
        <v>936</v>
      </c>
      <c r="E151" s="103">
        <v>302040372014</v>
      </c>
      <c r="F151" s="283" t="s">
        <v>954</v>
      </c>
      <c r="G151" s="51" t="s">
        <v>879</v>
      </c>
      <c r="H151" s="38" t="s">
        <v>885</v>
      </c>
      <c r="I151" s="304"/>
      <c r="J151" s="102"/>
      <c r="K151" s="105"/>
      <c r="L151" s="104">
        <v>201991000106</v>
      </c>
      <c r="M151" s="106" t="s">
        <v>791</v>
      </c>
      <c r="N151" s="105">
        <v>3</v>
      </c>
      <c r="O151" s="104">
        <v>302040954031</v>
      </c>
      <c r="P151" s="372"/>
      <c r="Q151" s="372"/>
      <c r="R151" s="372"/>
      <c r="S151" s="375"/>
    </row>
    <row r="152" spans="1:19" ht="16.5">
      <c r="A152" s="38">
        <f t="shared" si="6"/>
        <v>151</v>
      </c>
      <c r="B152" s="38"/>
      <c r="C152" s="102" t="s">
        <v>953</v>
      </c>
      <c r="D152" s="102" t="s">
        <v>936</v>
      </c>
      <c r="E152" s="103">
        <v>302040372014</v>
      </c>
      <c r="F152" s="283" t="s">
        <v>954</v>
      </c>
      <c r="G152" s="51" t="s">
        <v>879</v>
      </c>
      <c r="H152" s="38" t="s">
        <v>885</v>
      </c>
      <c r="I152" s="304"/>
      <c r="J152" s="102"/>
      <c r="K152" s="105"/>
      <c r="L152" s="104">
        <v>201991000107</v>
      </c>
      <c r="M152" s="106" t="s">
        <v>559</v>
      </c>
      <c r="N152" s="105">
        <v>3</v>
      </c>
      <c r="O152" s="104">
        <v>302040954031</v>
      </c>
      <c r="P152" s="372"/>
      <c r="Q152" s="372"/>
      <c r="R152" s="372"/>
      <c r="S152" s="375"/>
    </row>
    <row r="153" spans="1:19" ht="16.5">
      <c r="A153" s="38">
        <f t="shared" si="6"/>
        <v>152</v>
      </c>
      <c r="B153" s="38"/>
      <c r="C153" s="102" t="s">
        <v>953</v>
      </c>
      <c r="D153" s="102" t="s">
        <v>936</v>
      </c>
      <c r="E153" s="103">
        <v>302040372014</v>
      </c>
      <c r="F153" s="283" t="s">
        <v>954</v>
      </c>
      <c r="G153" s="51" t="s">
        <v>879</v>
      </c>
      <c r="H153" s="38" t="s">
        <v>885</v>
      </c>
      <c r="I153" s="304"/>
      <c r="J153" s="102"/>
      <c r="K153" s="105"/>
      <c r="L153" s="104">
        <v>201991000108</v>
      </c>
      <c r="M153" s="106" t="s">
        <v>837</v>
      </c>
      <c r="N153" s="105">
        <v>3</v>
      </c>
      <c r="O153" s="104">
        <v>302040954031</v>
      </c>
      <c r="P153" s="372"/>
      <c r="Q153" s="372"/>
      <c r="R153" s="372"/>
      <c r="S153" s="375"/>
    </row>
    <row r="154" spans="1:19" ht="16.5">
      <c r="A154" s="38">
        <f t="shared" si="6"/>
        <v>153</v>
      </c>
      <c r="B154" s="38"/>
      <c r="C154" s="102" t="s">
        <v>953</v>
      </c>
      <c r="D154" s="102" t="s">
        <v>936</v>
      </c>
      <c r="E154" s="103">
        <v>302040372014</v>
      </c>
      <c r="F154" s="283" t="s">
        <v>954</v>
      </c>
      <c r="G154" s="51" t="s">
        <v>879</v>
      </c>
      <c r="H154" s="38" t="s">
        <v>885</v>
      </c>
      <c r="I154" s="304"/>
      <c r="J154" s="102"/>
      <c r="K154" s="105"/>
      <c r="L154" s="104">
        <v>201991000109</v>
      </c>
      <c r="M154" s="106" t="s">
        <v>829</v>
      </c>
      <c r="N154" s="105">
        <v>3</v>
      </c>
      <c r="O154" s="104">
        <v>302040954031</v>
      </c>
      <c r="P154" s="373"/>
      <c r="Q154" s="373"/>
      <c r="R154" s="373"/>
      <c r="S154" s="376"/>
    </row>
    <row r="155" spans="1:19" ht="16.5">
      <c r="A155" s="38">
        <f t="shared" si="6"/>
        <v>154</v>
      </c>
      <c r="B155" s="38"/>
      <c r="C155" s="102" t="s">
        <v>953</v>
      </c>
      <c r="D155" s="102" t="s">
        <v>840</v>
      </c>
      <c r="E155" s="103">
        <v>302040605416</v>
      </c>
      <c r="F155" s="283" t="s">
        <v>955</v>
      </c>
      <c r="G155" s="51" t="s">
        <v>879</v>
      </c>
      <c r="H155" s="38" t="s">
        <v>885</v>
      </c>
      <c r="I155" s="304"/>
      <c r="J155" s="102"/>
      <c r="K155" s="105"/>
      <c r="L155" s="104">
        <v>201978000068</v>
      </c>
      <c r="M155" s="106" t="s">
        <v>401</v>
      </c>
      <c r="N155" s="105">
        <v>10</v>
      </c>
      <c r="O155" s="104" t="s">
        <v>796</v>
      </c>
      <c r="P155" s="107">
        <v>30500</v>
      </c>
      <c r="Q155" s="107">
        <v>2750</v>
      </c>
      <c r="R155" s="108">
        <v>1595</v>
      </c>
      <c r="S155" s="52">
        <f t="shared" si="7"/>
        <v>34845</v>
      </c>
    </row>
    <row r="156" spans="1:19" ht="16.5">
      <c r="A156" s="38">
        <f t="shared" si="6"/>
        <v>155</v>
      </c>
      <c r="B156" s="38"/>
      <c r="C156" s="102" t="s">
        <v>953</v>
      </c>
      <c r="D156" s="102" t="s">
        <v>849</v>
      </c>
      <c r="E156" s="103">
        <v>302040746094</v>
      </c>
      <c r="F156" s="283" t="s">
        <v>956</v>
      </c>
      <c r="G156" s="51" t="s">
        <v>879</v>
      </c>
      <c r="H156" s="38" t="s">
        <v>885</v>
      </c>
      <c r="I156" s="304"/>
      <c r="J156" s="102"/>
      <c r="K156" s="105"/>
      <c r="L156" s="104">
        <v>201978000044</v>
      </c>
      <c r="M156" s="106" t="s">
        <v>665</v>
      </c>
      <c r="N156" s="105">
        <v>2</v>
      </c>
      <c r="O156" s="104" t="s">
        <v>796</v>
      </c>
      <c r="P156" s="107">
        <v>12915</v>
      </c>
      <c r="Q156" s="107">
        <v>2750</v>
      </c>
      <c r="R156" s="108">
        <v>1485</v>
      </c>
      <c r="S156" s="52">
        <f t="shared" si="7"/>
        <v>17150</v>
      </c>
    </row>
    <row r="157" spans="1:19" ht="16.5">
      <c r="A157" s="38">
        <f t="shared" si="6"/>
        <v>156</v>
      </c>
      <c r="B157" s="38"/>
      <c r="C157" s="102" t="s">
        <v>953</v>
      </c>
      <c r="D157" s="102" t="s">
        <v>840</v>
      </c>
      <c r="E157" s="103">
        <v>302040638386</v>
      </c>
      <c r="F157" s="283" t="s">
        <v>957</v>
      </c>
      <c r="G157" s="51" t="s">
        <v>879</v>
      </c>
      <c r="H157" s="38" t="s">
        <v>885</v>
      </c>
      <c r="I157" s="304"/>
      <c r="J157" s="102"/>
      <c r="K157" s="105"/>
      <c r="L157" s="104">
        <v>201978000074</v>
      </c>
      <c r="M157" s="106" t="s">
        <v>958</v>
      </c>
      <c r="N157" s="105">
        <v>3</v>
      </c>
      <c r="O157" s="104">
        <v>302040976350</v>
      </c>
      <c r="P157" s="107">
        <v>20077</v>
      </c>
      <c r="Q157" s="107">
        <v>3245</v>
      </c>
      <c r="R157" s="108">
        <v>1430</v>
      </c>
      <c r="S157" s="52">
        <f t="shared" si="7"/>
        <v>24752</v>
      </c>
    </row>
    <row r="158" spans="1:19" ht="16.5">
      <c r="A158" s="38">
        <f t="shared" si="6"/>
        <v>157</v>
      </c>
      <c r="B158" s="38"/>
      <c r="C158" s="102" t="s">
        <v>959</v>
      </c>
      <c r="D158" s="102" t="s">
        <v>960</v>
      </c>
      <c r="E158" s="103">
        <v>302053889246</v>
      </c>
      <c r="F158" s="283" t="s">
        <v>961</v>
      </c>
      <c r="G158" s="51" t="s">
        <v>879</v>
      </c>
      <c r="H158" s="38" t="s">
        <v>885</v>
      </c>
      <c r="I158" s="304"/>
      <c r="J158" s="102"/>
      <c r="K158" s="105"/>
      <c r="L158" s="104">
        <v>201978000119</v>
      </c>
      <c r="M158" s="106" t="s">
        <v>962</v>
      </c>
      <c r="N158" s="105">
        <v>10</v>
      </c>
      <c r="O158" s="104">
        <v>302054065904</v>
      </c>
      <c r="P158" s="107">
        <v>19900</v>
      </c>
      <c r="Q158" s="107">
        <v>3245</v>
      </c>
      <c r="R158" s="108">
        <v>1320</v>
      </c>
      <c r="S158" s="52">
        <f t="shared" si="7"/>
        <v>24465</v>
      </c>
    </row>
    <row r="159" spans="1:19" ht="16.5">
      <c r="A159" s="38">
        <f t="shared" si="6"/>
        <v>158</v>
      </c>
      <c r="B159" s="38"/>
      <c r="C159" s="102" t="s">
        <v>963</v>
      </c>
      <c r="D159" s="102" t="s">
        <v>840</v>
      </c>
      <c r="E159" s="103">
        <v>302040636824</v>
      </c>
      <c r="F159" s="283" t="s">
        <v>964</v>
      </c>
      <c r="G159" s="51" t="s">
        <v>879</v>
      </c>
      <c r="H159" s="38" t="s">
        <v>885</v>
      </c>
      <c r="I159" s="304"/>
      <c r="J159" s="102"/>
      <c r="K159" s="105"/>
      <c r="L159" s="104">
        <v>201978000103</v>
      </c>
      <c r="M159" s="106" t="s">
        <v>935</v>
      </c>
      <c r="N159" s="105">
        <v>2</v>
      </c>
      <c r="O159" s="104" t="s">
        <v>796</v>
      </c>
      <c r="P159" s="107">
        <v>23400</v>
      </c>
      <c r="Q159" s="107">
        <v>3300</v>
      </c>
      <c r="R159" s="108">
        <v>1540</v>
      </c>
      <c r="S159" s="52">
        <f t="shared" si="7"/>
        <v>28240</v>
      </c>
    </row>
    <row r="160" spans="1:19" ht="16.5">
      <c r="A160" s="38">
        <f t="shared" si="6"/>
        <v>159</v>
      </c>
      <c r="B160" s="38"/>
      <c r="C160" s="102" t="s">
        <v>963</v>
      </c>
      <c r="D160" s="102" t="s">
        <v>965</v>
      </c>
      <c r="E160" s="103">
        <v>302054019914</v>
      </c>
      <c r="F160" s="283" t="s">
        <v>966</v>
      </c>
      <c r="G160" s="51" t="s">
        <v>879</v>
      </c>
      <c r="H160" s="38" t="s">
        <v>885</v>
      </c>
      <c r="I160" s="304"/>
      <c r="J160" s="102"/>
      <c r="K160" s="105"/>
      <c r="L160" s="104">
        <v>201991000002</v>
      </c>
      <c r="M160" s="106" t="s">
        <v>910</v>
      </c>
      <c r="N160" s="105">
        <v>3</v>
      </c>
      <c r="O160" s="104" t="s">
        <v>796</v>
      </c>
      <c r="P160" s="107">
        <v>18840</v>
      </c>
      <c r="Q160" s="371">
        <v>3795</v>
      </c>
      <c r="R160" s="371">
        <v>1540</v>
      </c>
      <c r="S160" s="52">
        <f t="shared" si="7"/>
        <v>24175</v>
      </c>
    </row>
    <row r="161" spans="1:19" ht="16.5">
      <c r="A161" s="38">
        <f t="shared" si="6"/>
        <v>160</v>
      </c>
      <c r="B161" s="38"/>
      <c r="C161" s="102" t="s">
        <v>963</v>
      </c>
      <c r="D161" s="102" t="s">
        <v>965</v>
      </c>
      <c r="E161" s="103">
        <v>302054019914</v>
      </c>
      <c r="F161" s="283" t="s">
        <v>966</v>
      </c>
      <c r="G161" s="51" t="s">
        <v>879</v>
      </c>
      <c r="H161" s="38" t="s">
        <v>885</v>
      </c>
      <c r="I161" s="304"/>
      <c r="J161" s="102"/>
      <c r="K161" s="105"/>
      <c r="L161" s="104">
        <v>201991000152</v>
      </c>
      <c r="M161" s="106" t="s">
        <v>967</v>
      </c>
      <c r="N161" s="105">
        <v>1</v>
      </c>
      <c r="O161" s="104" t="s">
        <v>796</v>
      </c>
      <c r="P161" s="107">
        <v>8580</v>
      </c>
      <c r="Q161" s="373"/>
      <c r="R161" s="373"/>
      <c r="S161" s="52">
        <f t="shared" si="7"/>
        <v>8580</v>
      </c>
    </row>
    <row r="162" spans="1:19" ht="16.5">
      <c r="A162" s="38">
        <f t="shared" ref="A162:A192" si="8">A161+1</f>
        <v>161</v>
      </c>
      <c r="B162" s="38"/>
      <c r="C162" s="102" t="s">
        <v>856</v>
      </c>
      <c r="D162" s="102" t="s">
        <v>968</v>
      </c>
      <c r="E162" s="103">
        <v>302053947965</v>
      </c>
      <c r="F162" s="283" t="s">
        <v>969</v>
      </c>
      <c r="G162" s="51" t="s">
        <v>879</v>
      </c>
      <c r="H162" s="38" t="s">
        <v>885</v>
      </c>
      <c r="I162" s="304"/>
      <c r="J162" s="102"/>
      <c r="K162" s="105"/>
      <c r="L162" s="104">
        <v>201978000068</v>
      </c>
      <c r="M162" s="106" t="s">
        <v>401</v>
      </c>
      <c r="N162" s="105">
        <v>10</v>
      </c>
      <c r="O162" s="104" t="s">
        <v>796</v>
      </c>
      <c r="P162" s="107">
        <v>41900</v>
      </c>
      <c r="Q162" s="107">
        <v>2750</v>
      </c>
      <c r="R162" s="108">
        <v>1595</v>
      </c>
      <c r="S162" s="52">
        <f t="shared" si="7"/>
        <v>46245</v>
      </c>
    </row>
    <row r="163" spans="1:19" ht="16.5">
      <c r="A163" s="38">
        <f t="shared" si="8"/>
        <v>162</v>
      </c>
      <c r="B163" s="38"/>
      <c r="C163" s="102" t="s">
        <v>856</v>
      </c>
      <c r="D163" s="102" t="s">
        <v>970</v>
      </c>
      <c r="E163" s="103">
        <v>302054072193</v>
      </c>
      <c r="F163" s="283" t="s">
        <v>971</v>
      </c>
      <c r="G163" s="51" t="s">
        <v>879</v>
      </c>
      <c r="H163" s="38" t="s">
        <v>885</v>
      </c>
      <c r="I163" s="304"/>
      <c r="J163" s="102"/>
      <c r="K163" s="105"/>
      <c r="L163" s="104">
        <v>201978000078</v>
      </c>
      <c r="M163" s="106" t="s">
        <v>948</v>
      </c>
      <c r="N163" s="105">
        <v>10</v>
      </c>
      <c r="O163" s="104">
        <v>302054259222</v>
      </c>
      <c r="P163" s="107">
        <v>25010</v>
      </c>
      <c r="Q163" s="107">
        <v>3795</v>
      </c>
      <c r="R163" s="108">
        <v>1815</v>
      </c>
      <c r="S163" s="52">
        <f t="shared" si="7"/>
        <v>30620</v>
      </c>
    </row>
    <row r="164" spans="1:19" ht="16.5">
      <c r="A164" s="38">
        <f t="shared" si="8"/>
        <v>163</v>
      </c>
      <c r="B164" s="38"/>
      <c r="C164" s="102" t="s">
        <v>856</v>
      </c>
      <c r="D164" s="102" t="s">
        <v>970</v>
      </c>
      <c r="E164" s="103">
        <v>302054067643</v>
      </c>
      <c r="F164" s="283" t="s">
        <v>972</v>
      </c>
      <c r="G164" s="51" t="s">
        <v>879</v>
      </c>
      <c r="H164" s="38" t="s">
        <v>885</v>
      </c>
      <c r="I164" s="304"/>
      <c r="J164" s="102"/>
      <c r="K164" s="105"/>
      <c r="L164" s="104">
        <v>201978000045</v>
      </c>
      <c r="M164" s="106" t="s">
        <v>398</v>
      </c>
      <c r="N164" s="105">
        <v>3</v>
      </c>
      <c r="O164" s="104" t="s">
        <v>796</v>
      </c>
      <c r="P164" s="107">
        <v>19900</v>
      </c>
      <c r="Q164" s="107">
        <v>2750</v>
      </c>
      <c r="R164" s="108">
        <v>1595</v>
      </c>
      <c r="S164" s="52">
        <f t="shared" si="7"/>
        <v>24245</v>
      </c>
    </row>
    <row r="165" spans="1:19" ht="16.5">
      <c r="A165" s="38">
        <f t="shared" si="8"/>
        <v>164</v>
      </c>
      <c r="B165" s="38"/>
      <c r="C165" s="102" t="s">
        <v>856</v>
      </c>
      <c r="D165" s="102" t="s">
        <v>857</v>
      </c>
      <c r="E165" s="103">
        <v>302041107725</v>
      </c>
      <c r="F165" s="283" t="s">
        <v>973</v>
      </c>
      <c r="G165" s="51" t="s">
        <v>879</v>
      </c>
      <c r="H165" s="38" t="s">
        <v>885</v>
      </c>
      <c r="I165" s="304"/>
      <c r="J165" s="102"/>
      <c r="K165" s="105"/>
      <c r="L165" s="104">
        <v>201978000043</v>
      </c>
      <c r="M165" s="106" t="s">
        <v>344</v>
      </c>
      <c r="N165" s="105">
        <v>4</v>
      </c>
      <c r="O165" s="104">
        <v>302041212843</v>
      </c>
      <c r="P165" s="107">
        <v>11480</v>
      </c>
      <c r="Q165" s="107">
        <v>2750</v>
      </c>
      <c r="R165" s="108">
        <v>1595</v>
      </c>
      <c r="S165" s="52">
        <f t="shared" si="7"/>
        <v>15825</v>
      </c>
    </row>
    <row r="166" spans="1:19" ht="16.5">
      <c r="A166" s="38">
        <f t="shared" si="8"/>
        <v>165</v>
      </c>
      <c r="B166" s="38"/>
      <c r="C166" s="102" t="s">
        <v>856</v>
      </c>
      <c r="D166" s="102" t="s">
        <v>857</v>
      </c>
      <c r="E166" s="103">
        <v>302054162622</v>
      </c>
      <c r="F166" s="283" t="s">
        <v>974</v>
      </c>
      <c r="G166" s="51" t="s">
        <v>879</v>
      </c>
      <c r="H166" s="38" t="s">
        <v>885</v>
      </c>
      <c r="I166" s="304"/>
      <c r="J166" s="102"/>
      <c r="K166" s="105"/>
      <c r="L166" s="104">
        <v>202008000058</v>
      </c>
      <c r="M166" s="106" t="s">
        <v>315</v>
      </c>
      <c r="N166" s="105">
        <v>2</v>
      </c>
      <c r="O166" s="104" t="s">
        <v>796</v>
      </c>
      <c r="P166" s="107">
        <v>5980</v>
      </c>
      <c r="Q166" s="107">
        <v>2750</v>
      </c>
      <c r="R166" s="108">
        <v>1485</v>
      </c>
      <c r="S166" s="52">
        <f t="shared" si="7"/>
        <v>10215</v>
      </c>
    </row>
    <row r="167" spans="1:19" ht="16.5">
      <c r="A167" s="38">
        <f t="shared" si="8"/>
        <v>166</v>
      </c>
      <c r="B167" s="38"/>
      <c r="C167" s="102" t="s">
        <v>856</v>
      </c>
      <c r="D167" s="102" t="s">
        <v>857</v>
      </c>
      <c r="E167" s="103">
        <v>302054167032</v>
      </c>
      <c r="F167" s="283" t="s">
        <v>975</v>
      </c>
      <c r="G167" s="51" t="s">
        <v>879</v>
      </c>
      <c r="H167" s="38" t="s">
        <v>885</v>
      </c>
      <c r="I167" s="304"/>
      <c r="J167" s="102"/>
      <c r="K167" s="105"/>
      <c r="L167" s="104">
        <v>202008000058</v>
      </c>
      <c r="M167" s="106" t="s">
        <v>315</v>
      </c>
      <c r="N167" s="105">
        <v>3</v>
      </c>
      <c r="O167" s="104" t="s">
        <v>796</v>
      </c>
      <c r="P167" s="107">
        <v>8970</v>
      </c>
      <c r="Q167" s="107">
        <v>2750</v>
      </c>
      <c r="R167" s="108">
        <v>1485</v>
      </c>
      <c r="S167" s="52">
        <f t="shared" si="7"/>
        <v>13205</v>
      </c>
    </row>
    <row r="168" spans="1:19" ht="16.5">
      <c r="A168" s="38">
        <f t="shared" si="8"/>
        <v>167</v>
      </c>
      <c r="B168" s="38"/>
      <c r="C168" s="102" t="s">
        <v>802</v>
      </c>
      <c r="D168" s="102" t="s">
        <v>793</v>
      </c>
      <c r="E168" s="103">
        <v>302053338140</v>
      </c>
      <c r="F168" s="283" t="s">
        <v>892</v>
      </c>
      <c r="G168" s="51" t="s">
        <v>879</v>
      </c>
      <c r="H168" s="38" t="s">
        <v>976</v>
      </c>
      <c r="I168" s="304"/>
      <c r="J168" s="102"/>
      <c r="K168" s="105"/>
      <c r="L168" s="104">
        <v>201991000093</v>
      </c>
      <c r="M168" s="106" t="s">
        <v>567</v>
      </c>
      <c r="N168" s="105">
        <v>1</v>
      </c>
      <c r="O168" s="104" t="s">
        <v>796</v>
      </c>
      <c r="P168" s="107">
        <v>9980</v>
      </c>
      <c r="Q168" s="371">
        <v>3795</v>
      </c>
      <c r="R168" s="371">
        <v>1815</v>
      </c>
      <c r="S168" s="374">
        <f>SUM(P168:R173)</f>
        <v>50490</v>
      </c>
    </row>
    <row r="169" spans="1:19" ht="16.5">
      <c r="A169" s="38">
        <f t="shared" si="8"/>
        <v>168</v>
      </c>
      <c r="B169" s="38"/>
      <c r="C169" s="102" t="s">
        <v>802</v>
      </c>
      <c r="D169" s="102" t="s">
        <v>793</v>
      </c>
      <c r="E169" s="103">
        <v>302053338140</v>
      </c>
      <c r="F169" s="283" t="s">
        <v>892</v>
      </c>
      <c r="G169" s="51" t="s">
        <v>879</v>
      </c>
      <c r="H169" s="38" t="s">
        <v>976</v>
      </c>
      <c r="I169" s="304"/>
      <c r="J169" s="102"/>
      <c r="K169" s="105"/>
      <c r="L169" s="104">
        <v>201991000109</v>
      </c>
      <c r="M169" s="106" t="s">
        <v>829</v>
      </c>
      <c r="N169" s="105">
        <v>1</v>
      </c>
      <c r="O169" s="104" t="s">
        <v>796</v>
      </c>
      <c r="P169" s="107">
        <v>1600</v>
      </c>
      <c r="Q169" s="372"/>
      <c r="R169" s="372"/>
      <c r="S169" s="375"/>
    </row>
    <row r="170" spans="1:19" ht="16.5">
      <c r="A170" s="38">
        <f t="shared" si="8"/>
        <v>169</v>
      </c>
      <c r="B170" s="38"/>
      <c r="C170" s="102" t="s">
        <v>802</v>
      </c>
      <c r="D170" s="102" t="s">
        <v>793</v>
      </c>
      <c r="E170" s="103">
        <v>302053338140</v>
      </c>
      <c r="F170" s="283" t="s">
        <v>892</v>
      </c>
      <c r="G170" s="51" t="s">
        <v>879</v>
      </c>
      <c r="H170" s="38" t="s">
        <v>976</v>
      </c>
      <c r="I170" s="304"/>
      <c r="J170" s="102"/>
      <c r="K170" s="105"/>
      <c r="L170" s="104">
        <v>201978000086</v>
      </c>
      <c r="M170" s="106" t="s">
        <v>893</v>
      </c>
      <c r="N170" s="105">
        <v>2</v>
      </c>
      <c r="O170" s="104" t="s">
        <v>796</v>
      </c>
      <c r="P170" s="371">
        <v>22220</v>
      </c>
      <c r="Q170" s="372"/>
      <c r="R170" s="372"/>
      <c r="S170" s="375"/>
    </row>
    <row r="171" spans="1:19" ht="16.5">
      <c r="A171" s="38">
        <f t="shared" si="8"/>
        <v>170</v>
      </c>
      <c r="B171" s="38"/>
      <c r="C171" s="102" t="s">
        <v>802</v>
      </c>
      <c r="D171" s="102" t="s">
        <v>793</v>
      </c>
      <c r="E171" s="103">
        <v>302053338140</v>
      </c>
      <c r="F171" s="283" t="s">
        <v>892</v>
      </c>
      <c r="G171" s="51" t="s">
        <v>879</v>
      </c>
      <c r="H171" s="38" t="s">
        <v>976</v>
      </c>
      <c r="I171" s="304"/>
      <c r="J171" s="102"/>
      <c r="K171" s="105"/>
      <c r="L171" s="104">
        <v>201978000087</v>
      </c>
      <c r="M171" s="106" t="s">
        <v>894</v>
      </c>
      <c r="N171" s="105">
        <v>2</v>
      </c>
      <c r="O171" s="104" t="s">
        <v>796</v>
      </c>
      <c r="P171" s="373"/>
      <c r="Q171" s="372"/>
      <c r="R171" s="372"/>
      <c r="S171" s="375"/>
    </row>
    <row r="172" spans="1:19" ht="16.5">
      <c r="A172" s="38">
        <f t="shared" si="8"/>
        <v>171</v>
      </c>
      <c r="B172" s="38"/>
      <c r="C172" s="102" t="s">
        <v>802</v>
      </c>
      <c r="D172" s="102" t="s">
        <v>793</v>
      </c>
      <c r="E172" s="103">
        <v>302053338140</v>
      </c>
      <c r="F172" s="283" t="s">
        <v>892</v>
      </c>
      <c r="G172" s="51" t="s">
        <v>879</v>
      </c>
      <c r="H172" s="38" t="s">
        <v>976</v>
      </c>
      <c r="I172" s="304"/>
      <c r="J172" s="102"/>
      <c r="K172" s="105"/>
      <c r="L172" s="104">
        <v>201991000008</v>
      </c>
      <c r="M172" s="106" t="s">
        <v>977</v>
      </c>
      <c r="N172" s="105">
        <v>1</v>
      </c>
      <c r="O172" s="104" t="s">
        <v>796</v>
      </c>
      <c r="P172" s="107">
        <v>9480</v>
      </c>
      <c r="Q172" s="372"/>
      <c r="R172" s="372"/>
      <c r="S172" s="375"/>
    </row>
    <row r="173" spans="1:19" ht="16.5">
      <c r="A173" s="38">
        <f t="shared" si="8"/>
        <v>172</v>
      </c>
      <c r="B173" s="38"/>
      <c r="C173" s="102" t="s">
        <v>802</v>
      </c>
      <c r="D173" s="102" t="s">
        <v>793</v>
      </c>
      <c r="E173" s="103">
        <v>302053338140</v>
      </c>
      <c r="F173" s="283" t="s">
        <v>892</v>
      </c>
      <c r="G173" s="51" t="s">
        <v>879</v>
      </c>
      <c r="H173" s="38" t="s">
        <v>976</v>
      </c>
      <c r="I173" s="304"/>
      <c r="J173" s="102"/>
      <c r="K173" s="105"/>
      <c r="L173" s="104">
        <v>201991000104</v>
      </c>
      <c r="M173" s="106" t="s">
        <v>386</v>
      </c>
      <c r="N173" s="105">
        <v>1</v>
      </c>
      <c r="O173" s="104" t="s">
        <v>796</v>
      </c>
      <c r="P173" s="107">
        <v>1600</v>
      </c>
      <c r="Q173" s="373"/>
      <c r="R173" s="373"/>
      <c r="S173" s="376"/>
    </row>
    <row r="174" spans="1:19" ht="16.5">
      <c r="A174" s="38">
        <f t="shared" si="8"/>
        <v>173</v>
      </c>
      <c r="B174" s="38"/>
      <c r="C174" s="102" t="s">
        <v>808</v>
      </c>
      <c r="D174" s="102" t="s">
        <v>773</v>
      </c>
      <c r="E174" s="103">
        <v>302053365915</v>
      </c>
      <c r="F174" s="283" t="s">
        <v>978</v>
      </c>
      <c r="G174" s="51" t="s">
        <v>879</v>
      </c>
      <c r="H174" s="38" t="s">
        <v>979</v>
      </c>
      <c r="I174" s="304"/>
      <c r="J174" s="102"/>
      <c r="K174" s="105"/>
      <c r="L174" s="104">
        <v>201987000165</v>
      </c>
      <c r="M174" s="106" t="s">
        <v>318</v>
      </c>
      <c r="N174" s="105">
        <v>4</v>
      </c>
      <c r="O174" s="104" t="s">
        <v>796</v>
      </c>
      <c r="P174" s="107">
        <v>14000</v>
      </c>
      <c r="Q174" s="107">
        <v>2750</v>
      </c>
      <c r="R174" s="108">
        <v>1320</v>
      </c>
      <c r="S174" s="52">
        <f t="shared" si="7"/>
        <v>18070</v>
      </c>
    </row>
    <row r="175" spans="1:19" ht="16.5">
      <c r="A175" s="38">
        <f t="shared" si="8"/>
        <v>174</v>
      </c>
      <c r="B175" s="38"/>
      <c r="C175" s="102" t="s">
        <v>793</v>
      </c>
      <c r="D175" s="102" t="s">
        <v>980</v>
      </c>
      <c r="E175" s="103">
        <v>302052948063</v>
      </c>
      <c r="F175" s="283" t="s">
        <v>981</v>
      </c>
      <c r="G175" s="51" t="s">
        <v>879</v>
      </c>
      <c r="H175" s="38" t="s">
        <v>982</v>
      </c>
      <c r="I175" s="304"/>
      <c r="J175" s="102"/>
      <c r="K175" s="105"/>
      <c r="L175" s="104">
        <v>201990000215</v>
      </c>
      <c r="M175" s="106" t="s">
        <v>983</v>
      </c>
      <c r="N175" s="105">
        <v>1</v>
      </c>
      <c r="O175" s="104" t="s">
        <v>796</v>
      </c>
      <c r="P175" s="107">
        <v>15530</v>
      </c>
      <c r="Q175" s="107">
        <v>3245</v>
      </c>
      <c r="R175" s="108">
        <v>1320</v>
      </c>
      <c r="S175" s="52">
        <f t="shared" si="7"/>
        <v>20095</v>
      </c>
    </row>
    <row r="176" spans="1:19" ht="16.5">
      <c r="A176" s="38">
        <f t="shared" si="8"/>
        <v>175</v>
      </c>
      <c r="B176" s="38"/>
      <c r="C176" s="102" t="s">
        <v>773</v>
      </c>
      <c r="D176" s="102" t="s">
        <v>781</v>
      </c>
      <c r="E176" s="103">
        <v>302039502430</v>
      </c>
      <c r="F176" s="283" t="s">
        <v>984</v>
      </c>
      <c r="G176" s="51" t="s">
        <v>879</v>
      </c>
      <c r="H176" s="38" t="s">
        <v>982</v>
      </c>
      <c r="I176" s="304"/>
      <c r="J176" s="102"/>
      <c r="K176" s="105"/>
      <c r="L176" s="104">
        <v>201978000043</v>
      </c>
      <c r="M176" s="106" t="s">
        <v>344</v>
      </c>
      <c r="N176" s="105">
        <v>4</v>
      </c>
      <c r="O176" s="104">
        <v>302039824080</v>
      </c>
      <c r="P176" s="107">
        <v>11900</v>
      </c>
      <c r="Q176" s="107">
        <v>2750</v>
      </c>
      <c r="R176" s="108">
        <v>1485</v>
      </c>
      <c r="S176" s="52">
        <f t="shared" si="7"/>
        <v>16135</v>
      </c>
    </row>
    <row r="177" spans="1:19" ht="16.5">
      <c r="A177" s="38">
        <f t="shared" si="8"/>
        <v>176</v>
      </c>
      <c r="B177" s="38"/>
      <c r="C177" s="102" t="s">
        <v>787</v>
      </c>
      <c r="D177" s="102" t="s">
        <v>793</v>
      </c>
      <c r="E177" s="103">
        <v>302039736705</v>
      </c>
      <c r="F177" s="283" t="s">
        <v>985</v>
      </c>
      <c r="G177" s="51" t="s">
        <v>879</v>
      </c>
      <c r="H177" s="38" t="s">
        <v>982</v>
      </c>
      <c r="I177" s="304"/>
      <c r="J177" s="102"/>
      <c r="K177" s="105"/>
      <c r="L177" s="104">
        <v>201978000041</v>
      </c>
      <c r="M177" s="106" t="s">
        <v>302</v>
      </c>
      <c r="N177" s="105">
        <v>3</v>
      </c>
      <c r="O177" s="104">
        <v>302039966003</v>
      </c>
      <c r="P177" s="107">
        <v>28430</v>
      </c>
      <c r="Q177" s="107">
        <v>3795</v>
      </c>
      <c r="R177" s="108">
        <v>1100</v>
      </c>
      <c r="S177" s="52">
        <f t="shared" si="7"/>
        <v>33325</v>
      </c>
    </row>
    <row r="178" spans="1:19" ht="16.5">
      <c r="A178" s="38">
        <f t="shared" si="8"/>
        <v>177</v>
      </c>
      <c r="B178" s="38"/>
      <c r="C178" s="102" t="s">
        <v>787</v>
      </c>
      <c r="D178" s="102" t="s">
        <v>986</v>
      </c>
      <c r="E178" s="103">
        <v>302053022554</v>
      </c>
      <c r="F178" s="283" t="s">
        <v>987</v>
      </c>
      <c r="G178" s="51" t="s">
        <v>879</v>
      </c>
      <c r="H178" s="38" t="s">
        <v>982</v>
      </c>
      <c r="I178" s="304"/>
      <c r="J178" s="102"/>
      <c r="K178" s="105"/>
      <c r="L178" s="104">
        <v>201987000165</v>
      </c>
      <c r="M178" s="106" t="s">
        <v>318</v>
      </c>
      <c r="N178" s="105">
        <v>2</v>
      </c>
      <c r="O178" s="104">
        <v>302053430304</v>
      </c>
      <c r="P178" s="107">
        <v>7000</v>
      </c>
      <c r="Q178" s="107">
        <v>2750</v>
      </c>
      <c r="R178" s="108">
        <v>1320</v>
      </c>
      <c r="S178" s="52">
        <f t="shared" si="7"/>
        <v>11070</v>
      </c>
    </row>
    <row r="179" spans="1:19" ht="16.5">
      <c r="A179" s="38">
        <f t="shared" si="8"/>
        <v>178</v>
      </c>
      <c r="B179" s="38"/>
      <c r="C179" s="102" t="s">
        <v>787</v>
      </c>
      <c r="D179" s="102" t="s">
        <v>988</v>
      </c>
      <c r="E179" s="103">
        <v>302052999384</v>
      </c>
      <c r="F179" s="283" t="s">
        <v>989</v>
      </c>
      <c r="G179" s="51" t="s">
        <v>879</v>
      </c>
      <c r="H179" s="38" t="s">
        <v>982</v>
      </c>
      <c r="I179" s="304"/>
      <c r="J179" s="102"/>
      <c r="K179" s="105"/>
      <c r="L179" s="104">
        <v>201978000149</v>
      </c>
      <c r="M179" s="106" t="s">
        <v>851</v>
      </c>
      <c r="N179" s="105">
        <v>1</v>
      </c>
      <c r="O179" s="104">
        <v>302053430466</v>
      </c>
      <c r="P179" s="107">
        <v>7700</v>
      </c>
      <c r="Q179" s="371">
        <v>3245</v>
      </c>
      <c r="R179" s="371">
        <v>1485</v>
      </c>
      <c r="S179" s="374">
        <f>SUM(P179:R181)</f>
        <v>25330</v>
      </c>
    </row>
    <row r="180" spans="1:19" ht="16.5">
      <c r="A180" s="38">
        <f t="shared" si="8"/>
        <v>179</v>
      </c>
      <c r="B180" s="38"/>
      <c r="C180" s="102" t="s">
        <v>787</v>
      </c>
      <c r="D180" s="102" t="s">
        <v>988</v>
      </c>
      <c r="E180" s="103">
        <v>302052999384</v>
      </c>
      <c r="F180" s="283" t="s">
        <v>989</v>
      </c>
      <c r="G180" s="51" t="s">
        <v>879</v>
      </c>
      <c r="H180" s="38" t="s">
        <v>982</v>
      </c>
      <c r="I180" s="304"/>
      <c r="J180" s="102"/>
      <c r="K180" s="105"/>
      <c r="L180" s="104">
        <v>201978000045</v>
      </c>
      <c r="M180" s="106" t="s">
        <v>398</v>
      </c>
      <c r="N180" s="105">
        <v>1</v>
      </c>
      <c r="O180" s="104">
        <v>302053430466</v>
      </c>
      <c r="P180" s="371">
        <v>12900</v>
      </c>
      <c r="Q180" s="372"/>
      <c r="R180" s="372"/>
      <c r="S180" s="375"/>
    </row>
    <row r="181" spans="1:19" ht="16.5">
      <c r="A181" s="38">
        <f t="shared" si="8"/>
        <v>180</v>
      </c>
      <c r="B181" s="38"/>
      <c r="C181" s="102" t="s">
        <v>787</v>
      </c>
      <c r="D181" s="102" t="s">
        <v>988</v>
      </c>
      <c r="E181" s="103">
        <v>302052999384</v>
      </c>
      <c r="F181" s="283" t="s">
        <v>989</v>
      </c>
      <c r="G181" s="51" t="s">
        <v>879</v>
      </c>
      <c r="H181" s="38" t="s">
        <v>982</v>
      </c>
      <c r="I181" s="304"/>
      <c r="J181" s="102"/>
      <c r="K181" s="105"/>
      <c r="L181" s="104">
        <v>201978000041</v>
      </c>
      <c r="M181" s="106" t="s">
        <v>302</v>
      </c>
      <c r="N181" s="105">
        <v>1</v>
      </c>
      <c r="O181" s="104">
        <v>302053430466</v>
      </c>
      <c r="P181" s="373"/>
      <c r="Q181" s="373"/>
      <c r="R181" s="373"/>
      <c r="S181" s="376"/>
    </row>
    <row r="182" spans="1:19" ht="16.5">
      <c r="A182" s="38">
        <f t="shared" si="8"/>
        <v>181</v>
      </c>
      <c r="B182" s="38"/>
      <c r="C182" s="102" t="s">
        <v>808</v>
      </c>
      <c r="D182" s="102" t="s">
        <v>793</v>
      </c>
      <c r="E182" s="103">
        <v>302039731632</v>
      </c>
      <c r="F182" s="283" t="s">
        <v>990</v>
      </c>
      <c r="G182" s="51" t="s">
        <v>879</v>
      </c>
      <c r="H182" s="38" t="s">
        <v>982</v>
      </c>
      <c r="I182" s="304"/>
      <c r="J182" s="102"/>
      <c r="K182" s="105"/>
      <c r="L182" s="104">
        <v>201978000081</v>
      </c>
      <c r="M182" s="106" t="s">
        <v>991</v>
      </c>
      <c r="N182" s="105">
        <v>6</v>
      </c>
      <c r="O182" s="104">
        <v>302040186831</v>
      </c>
      <c r="P182" s="107">
        <v>39900</v>
      </c>
      <c r="Q182" s="107">
        <v>2970</v>
      </c>
      <c r="R182" s="108">
        <v>363</v>
      </c>
      <c r="S182" s="52">
        <f t="shared" si="7"/>
        <v>43233</v>
      </c>
    </row>
    <row r="183" spans="1:19" ht="16.5">
      <c r="A183" s="38">
        <f t="shared" si="8"/>
        <v>182</v>
      </c>
      <c r="B183" s="38"/>
      <c r="C183" s="102" t="s">
        <v>808</v>
      </c>
      <c r="D183" s="102" t="s">
        <v>784</v>
      </c>
      <c r="E183" s="103">
        <v>302039875051</v>
      </c>
      <c r="F183" s="283" t="s">
        <v>992</v>
      </c>
      <c r="G183" s="51" t="s">
        <v>879</v>
      </c>
      <c r="H183" s="38" t="s">
        <v>982</v>
      </c>
      <c r="I183" s="304"/>
      <c r="J183" s="102"/>
      <c r="K183" s="105"/>
      <c r="L183" s="104">
        <v>201978000041</v>
      </c>
      <c r="M183" s="106" t="s">
        <v>302</v>
      </c>
      <c r="N183" s="105">
        <v>2</v>
      </c>
      <c r="O183" s="104">
        <v>302053523544</v>
      </c>
      <c r="P183" s="107">
        <v>19820</v>
      </c>
      <c r="Q183" s="107">
        <v>2750</v>
      </c>
      <c r="R183" s="108">
        <v>1485</v>
      </c>
      <c r="S183" s="52">
        <f t="shared" si="7"/>
        <v>24055</v>
      </c>
    </row>
    <row r="184" spans="1:19" ht="16.5">
      <c r="A184" s="38">
        <f t="shared" si="8"/>
        <v>183</v>
      </c>
      <c r="B184" s="38"/>
      <c r="C184" s="102" t="s">
        <v>810</v>
      </c>
      <c r="D184" s="102" t="s">
        <v>774</v>
      </c>
      <c r="E184" s="103">
        <v>302053232904</v>
      </c>
      <c r="F184" s="283" t="s">
        <v>993</v>
      </c>
      <c r="G184" s="51" t="s">
        <v>879</v>
      </c>
      <c r="H184" s="38" t="s">
        <v>982</v>
      </c>
      <c r="I184" s="304"/>
      <c r="J184" s="102"/>
      <c r="K184" s="105"/>
      <c r="L184" s="104">
        <v>201978000017</v>
      </c>
      <c r="M184" s="106" t="s">
        <v>906</v>
      </c>
      <c r="N184" s="105">
        <v>2</v>
      </c>
      <c r="O184" s="104" t="s">
        <v>796</v>
      </c>
      <c r="P184" s="107">
        <v>14900</v>
      </c>
      <c r="Q184" s="107">
        <v>3245</v>
      </c>
      <c r="R184" s="108">
        <v>1485</v>
      </c>
      <c r="S184" s="52">
        <f t="shared" si="7"/>
        <v>19630</v>
      </c>
    </row>
    <row r="185" spans="1:19" ht="16.5">
      <c r="A185" s="38">
        <f t="shared" si="8"/>
        <v>184</v>
      </c>
      <c r="B185" s="38"/>
      <c r="C185" s="102" t="s">
        <v>810</v>
      </c>
      <c r="D185" s="102" t="s">
        <v>787</v>
      </c>
      <c r="E185" s="103">
        <v>302053430805</v>
      </c>
      <c r="F185" s="283" t="s">
        <v>994</v>
      </c>
      <c r="G185" s="51" t="s">
        <v>879</v>
      </c>
      <c r="H185" s="38" t="s">
        <v>982</v>
      </c>
      <c r="I185" s="304"/>
      <c r="J185" s="102"/>
      <c r="K185" s="105"/>
      <c r="L185" s="104">
        <v>201991000166</v>
      </c>
      <c r="M185" s="106" t="s">
        <v>357</v>
      </c>
      <c r="N185" s="105">
        <v>1</v>
      </c>
      <c r="O185" s="104" t="s">
        <v>796</v>
      </c>
      <c r="P185" s="107">
        <v>17570</v>
      </c>
      <c r="Q185" s="107">
        <v>3245</v>
      </c>
      <c r="R185" s="108">
        <v>1320</v>
      </c>
      <c r="S185" s="52">
        <f t="shared" si="7"/>
        <v>22135</v>
      </c>
    </row>
    <row r="186" spans="1:19" ht="16.5">
      <c r="A186" s="38">
        <f t="shared" si="8"/>
        <v>185</v>
      </c>
      <c r="B186" s="38"/>
      <c r="C186" s="102" t="s">
        <v>810</v>
      </c>
      <c r="D186" s="102" t="s">
        <v>787</v>
      </c>
      <c r="E186" s="103">
        <v>302039933302</v>
      </c>
      <c r="F186" s="283" t="s">
        <v>995</v>
      </c>
      <c r="G186" s="51" t="s">
        <v>879</v>
      </c>
      <c r="H186" s="38" t="s">
        <v>982</v>
      </c>
      <c r="I186" s="304"/>
      <c r="J186" s="102"/>
      <c r="K186" s="105"/>
      <c r="L186" s="104">
        <v>202008000058</v>
      </c>
      <c r="M186" s="106" t="s">
        <v>315</v>
      </c>
      <c r="N186" s="105">
        <v>6</v>
      </c>
      <c r="O186" s="104" t="s">
        <v>796</v>
      </c>
      <c r="P186" s="107">
        <v>20900</v>
      </c>
      <c r="Q186" s="107">
        <v>2750</v>
      </c>
      <c r="R186" s="108">
        <v>1485</v>
      </c>
      <c r="S186" s="52">
        <f t="shared" si="7"/>
        <v>25135</v>
      </c>
    </row>
    <row r="187" spans="1:19" ht="16.5">
      <c r="A187" s="38">
        <f t="shared" si="8"/>
        <v>186</v>
      </c>
      <c r="B187" s="38"/>
      <c r="C187" s="102" t="s">
        <v>816</v>
      </c>
      <c r="D187" s="102" t="s">
        <v>784</v>
      </c>
      <c r="E187" s="103">
        <v>302039878540</v>
      </c>
      <c r="F187" s="283" t="s">
        <v>996</v>
      </c>
      <c r="G187" s="51" t="s">
        <v>879</v>
      </c>
      <c r="H187" s="38" t="s">
        <v>982</v>
      </c>
      <c r="I187" s="304"/>
      <c r="J187" s="102"/>
      <c r="K187" s="105"/>
      <c r="L187" s="104">
        <v>201978000041</v>
      </c>
      <c r="M187" s="106" t="s">
        <v>302</v>
      </c>
      <c r="N187" s="105">
        <v>2</v>
      </c>
      <c r="O187" s="104" t="s">
        <v>796</v>
      </c>
      <c r="P187" s="107">
        <v>19820</v>
      </c>
      <c r="Q187" s="107">
        <v>2750</v>
      </c>
      <c r="R187" s="108">
        <v>1485</v>
      </c>
      <c r="S187" s="52">
        <f t="shared" si="7"/>
        <v>24055</v>
      </c>
    </row>
    <row r="188" spans="1:19" ht="16.5">
      <c r="A188" s="38">
        <f t="shared" si="8"/>
        <v>187</v>
      </c>
      <c r="B188" s="38"/>
      <c r="C188" s="102" t="s">
        <v>825</v>
      </c>
      <c r="D188" s="102" t="s">
        <v>816</v>
      </c>
      <c r="E188" s="103">
        <v>302053582156</v>
      </c>
      <c r="F188" s="283" t="s">
        <v>997</v>
      </c>
      <c r="G188" s="51" t="s">
        <v>879</v>
      </c>
      <c r="H188" s="38" t="s">
        <v>982</v>
      </c>
      <c r="I188" s="304"/>
      <c r="J188" s="102"/>
      <c r="K188" s="105"/>
      <c r="L188" s="104">
        <v>201991000097</v>
      </c>
      <c r="M188" s="106" t="s">
        <v>330</v>
      </c>
      <c r="N188" s="105">
        <v>2</v>
      </c>
      <c r="O188" s="104" t="s">
        <v>796</v>
      </c>
      <c r="P188" s="107">
        <v>19000</v>
      </c>
      <c r="Q188" s="107">
        <v>3245</v>
      </c>
      <c r="R188" s="108">
        <v>1320</v>
      </c>
      <c r="S188" s="52">
        <f t="shared" si="7"/>
        <v>23565</v>
      </c>
    </row>
    <row r="189" spans="1:19" ht="68.25">
      <c r="A189" s="38">
        <f t="shared" si="8"/>
        <v>188</v>
      </c>
      <c r="B189" s="38" t="s">
        <v>752</v>
      </c>
      <c r="C189" s="102" t="s">
        <v>864</v>
      </c>
      <c r="D189" s="102" t="s">
        <v>810</v>
      </c>
      <c r="E189" s="103">
        <v>302040212720</v>
      </c>
      <c r="F189" s="283" t="s">
        <v>998</v>
      </c>
      <c r="G189" s="51" t="s">
        <v>879</v>
      </c>
      <c r="H189" s="38" t="s">
        <v>982</v>
      </c>
      <c r="I189" s="304"/>
      <c r="J189" s="102"/>
      <c r="K189" s="105"/>
      <c r="L189" s="104">
        <v>201987000293</v>
      </c>
      <c r="M189" s="106" t="s">
        <v>866</v>
      </c>
      <c r="N189" s="105">
        <v>1</v>
      </c>
      <c r="O189" s="104">
        <v>302040702775</v>
      </c>
      <c r="P189" s="107">
        <v>50000</v>
      </c>
      <c r="Q189" s="107">
        <v>3300</v>
      </c>
      <c r="R189" s="108">
        <v>1375</v>
      </c>
      <c r="S189" s="52">
        <f t="shared" si="7"/>
        <v>54675</v>
      </c>
    </row>
    <row r="190" spans="1:19" ht="68.25">
      <c r="A190" s="38">
        <f t="shared" si="8"/>
        <v>189</v>
      </c>
      <c r="B190" s="38" t="s">
        <v>752</v>
      </c>
      <c r="C190" s="102" t="s">
        <v>864</v>
      </c>
      <c r="D190" s="102" t="s">
        <v>787</v>
      </c>
      <c r="E190" s="103">
        <v>302039944841</v>
      </c>
      <c r="F190" s="283" t="s">
        <v>999</v>
      </c>
      <c r="G190" s="51" t="s">
        <v>879</v>
      </c>
      <c r="H190" s="38" t="s">
        <v>982</v>
      </c>
      <c r="I190" s="304"/>
      <c r="J190" s="102"/>
      <c r="K190" s="105"/>
      <c r="L190" s="104">
        <v>201987000293</v>
      </c>
      <c r="M190" s="106" t="s">
        <v>866</v>
      </c>
      <c r="N190" s="105">
        <v>1</v>
      </c>
      <c r="O190" s="104">
        <v>302040702786</v>
      </c>
      <c r="P190" s="107">
        <v>50000</v>
      </c>
      <c r="Q190" s="107">
        <v>3300</v>
      </c>
      <c r="R190" s="108">
        <v>1375</v>
      </c>
      <c r="S190" s="52">
        <f t="shared" si="7"/>
        <v>54675</v>
      </c>
    </row>
    <row r="191" spans="1:19" ht="68.25">
      <c r="A191" s="38">
        <f t="shared" si="8"/>
        <v>190</v>
      </c>
      <c r="B191" s="38" t="s">
        <v>752</v>
      </c>
      <c r="C191" s="102" t="s">
        <v>864</v>
      </c>
      <c r="D191" s="102" t="s">
        <v>808</v>
      </c>
      <c r="E191" s="103">
        <v>302040091351</v>
      </c>
      <c r="F191" s="283" t="s">
        <v>1000</v>
      </c>
      <c r="G191" s="51" t="s">
        <v>879</v>
      </c>
      <c r="H191" s="38" t="s">
        <v>982</v>
      </c>
      <c r="I191" s="304"/>
      <c r="J191" s="102"/>
      <c r="K191" s="105"/>
      <c r="L191" s="104">
        <v>201987000293</v>
      </c>
      <c r="M191" s="106" t="s">
        <v>866</v>
      </c>
      <c r="N191" s="105">
        <v>1</v>
      </c>
      <c r="O191" s="104">
        <v>302040702801</v>
      </c>
      <c r="P191" s="107">
        <v>50000</v>
      </c>
      <c r="Q191" s="107">
        <v>3300</v>
      </c>
      <c r="R191" s="108">
        <v>1375</v>
      </c>
      <c r="S191" s="52">
        <f t="shared" si="7"/>
        <v>54675</v>
      </c>
    </row>
    <row r="192" spans="1:19" ht="16.5">
      <c r="A192" s="38">
        <f t="shared" si="8"/>
        <v>191</v>
      </c>
      <c r="B192" s="38" t="s">
        <v>752</v>
      </c>
      <c r="C192" s="102" t="s">
        <v>831</v>
      </c>
      <c r="D192" s="102" t="s">
        <v>1001</v>
      </c>
      <c r="E192" s="103">
        <v>302053651655</v>
      </c>
      <c r="F192" s="283" t="s">
        <v>1002</v>
      </c>
      <c r="G192" s="51" t="s">
        <v>879</v>
      </c>
      <c r="H192" s="38" t="s">
        <v>982</v>
      </c>
      <c r="I192" s="304"/>
      <c r="J192" s="102"/>
      <c r="K192" s="105"/>
      <c r="L192" s="104">
        <v>202008000058</v>
      </c>
      <c r="M192" s="106" t="s">
        <v>315</v>
      </c>
      <c r="N192" s="105">
        <v>2</v>
      </c>
      <c r="O192" s="104" t="s">
        <v>796</v>
      </c>
      <c r="P192" s="107">
        <v>5980</v>
      </c>
      <c r="Q192" s="107">
        <v>3245</v>
      </c>
      <c r="R192" s="108">
        <v>1485</v>
      </c>
      <c r="S192" s="52">
        <f t="shared" si="7"/>
        <v>10710</v>
      </c>
    </row>
    <row r="193" spans="1:19" ht="16.5">
      <c r="A193" s="38">
        <f t="shared" ref="A193:A204" si="9">A192+1</f>
        <v>192</v>
      </c>
      <c r="B193" s="38" t="s">
        <v>752</v>
      </c>
      <c r="C193" s="102" t="s">
        <v>831</v>
      </c>
      <c r="D193" s="102" t="s">
        <v>1003</v>
      </c>
      <c r="E193" s="103">
        <v>302053495511</v>
      </c>
      <c r="F193" s="283" t="s">
        <v>1004</v>
      </c>
      <c r="G193" s="51" t="s">
        <v>879</v>
      </c>
      <c r="H193" s="38" t="s">
        <v>982</v>
      </c>
      <c r="I193" s="304"/>
      <c r="J193" s="102"/>
      <c r="K193" s="105"/>
      <c r="L193" s="104">
        <v>201978000041</v>
      </c>
      <c r="M193" s="106" t="s">
        <v>302</v>
      </c>
      <c r="N193" s="105">
        <v>1</v>
      </c>
      <c r="O193" s="104" t="s">
        <v>796</v>
      </c>
      <c r="P193" s="107">
        <v>9520</v>
      </c>
      <c r="Q193" s="371">
        <v>3795</v>
      </c>
      <c r="R193" s="371">
        <v>1100</v>
      </c>
      <c r="S193" s="374">
        <f>SUM(P193:R195)</f>
        <v>29195</v>
      </c>
    </row>
    <row r="194" spans="1:19" ht="16.5">
      <c r="A194" s="38">
        <f t="shared" si="9"/>
        <v>193</v>
      </c>
      <c r="B194" s="38" t="s">
        <v>752</v>
      </c>
      <c r="C194" s="102" t="s">
        <v>831</v>
      </c>
      <c r="D194" s="102" t="s">
        <v>1003</v>
      </c>
      <c r="E194" s="103">
        <v>302053495511</v>
      </c>
      <c r="F194" s="283" t="s">
        <v>1004</v>
      </c>
      <c r="G194" s="51" t="s">
        <v>879</v>
      </c>
      <c r="H194" s="38" t="s">
        <v>982</v>
      </c>
      <c r="I194" s="304"/>
      <c r="J194" s="102"/>
      <c r="K194" s="105"/>
      <c r="L194" s="104">
        <v>201978000043</v>
      </c>
      <c r="M194" s="106" t="s">
        <v>344</v>
      </c>
      <c r="N194" s="105">
        <v>2</v>
      </c>
      <c r="O194" s="104" t="s">
        <v>796</v>
      </c>
      <c r="P194" s="107">
        <v>6620</v>
      </c>
      <c r="Q194" s="372"/>
      <c r="R194" s="372"/>
      <c r="S194" s="375"/>
    </row>
    <row r="195" spans="1:19" ht="16.5">
      <c r="A195" s="38">
        <f t="shared" si="9"/>
        <v>194</v>
      </c>
      <c r="B195" s="38" t="s">
        <v>752</v>
      </c>
      <c r="C195" s="102" t="s">
        <v>831</v>
      </c>
      <c r="D195" s="102" t="s">
        <v>1003</v>
      </c>
      <c r="E195" s="103">
        <v>302053495511</v>
      </c>
      <c r="F195" s="283" t="s">
        <v>1004</v>
      </c>
      <c r="G195" s="51" t="s">
        <v>879</v>
      </c>
      <c r="H195" s="38" t="s">
        <v>982</v>
      </c>
      <c r="I195" s="304"/>
      <c r="J195" s="102"/>
      <c r="K195" s="105"/>
      <c r="L195" s="104">
        <v>201991000138</v>
      </c>
      <c r="M195" s="106" t="s">
        <v>306</v>
      </c>
      <c r="N195" s="105">
        <v>1</v>
      </c>
      <c r="O195" s="104" t="s">
        <v>796</v>
      </c>
      <c r="P195" s="107">
        <v>8160</v>
      </c>
      <c r="Q195" s="373"/>
      <c r="R195" s="373"/>
      <c r="S195" s="376"/>
    </row>
    <row r="196" spans="1:19" ht="16.5">
      <c r="A196" s="38">
        <f t="shared" si="9"/>
        <v>195</v>
      </c>
      <c r="B196" s="38" t="s">
        <v>752</v>
      </c>
      <c r="C196" s="102" t="s">
        <v>831</v>
      </c>
      <c r="D196" s="102" t="s">
        <v>825</v>
      </c>
      <c r="E196" s="103">
        <v>302040643651</v>
      </c>
      <c r="F196" s="283" t="s">
        <v>1005</v>
      </c>
      <c r="G196" s="51" t="s">
        <v>879</v>
      </c>
      <c r="H196" s="38" t="s">
        <v>982</v>
      </c>
      <c r="I196" s="304"/>
      <c r="J196" s="102"/>
      <c r="K196" s="105"/>
      <c r="L196" s="104">
        <v>201978000041</v>
      </c>
      <c r="M196" s="106" t="s">
        <v>302</v>
      </c>
      <c r="N196" s="105">
        <v>4</v>
      </c>
      <c r="O196" s="104">
        <v>302053830085</v>
      </c>
      <c r="P196" s="107">
        <v>35690</v>
      </c>
      <c r="Q196" s="107">
        <v>2750</v>
      </c>
      <c r="R196" s="108">
        <v>1485</v>
      </c>
      <c r="S196" s="52">
        <f t="shared" si="7"/>
        <v>39925</v>
      </c>
    </row>
    <row r="197" spans="1:19" ht="16.5">
      <c r="A197" s="38">
        <f t="shared" si="9"/>
        <v>196</v>
      </c>
      <c r="B197" s="38" t="s">
        <v>752</v>
      </c>
      <c r="C197" s="102" t="s">
        <v>831</v>
      </c>
      <c r="D197" s="102" t="s">
        <v>825</v>
      </c>
      <c r="E197" s="103">
        <v>302040606422</v>
      </c>
      <c r="F197" s="283" t="s">
        <v>1006</v>
      </c>
      <c r="G197" s="51" t="s">
        <v>879</v>
      </c>
      <c r="H197" s="38" t="s">
        <v>982</v>
      </c>
      <c r="I197" s="304"/>
      <c r="J197" s="102"/>
      <c r="K197" s="105"/>
      <c r="L197" s="104">
        <v>201991000104</v>
      </c>
      <c r="M197" s="106" t="s">
        <v>386</v>
      </c>
      <c r="N197" s="105">
        <v>5</v>
      </c>
      <c r="O197" s="104">
        <v>302053830096</v>
      </c>
      <c r="P197" s="371">
        <v>17900</v>
      </c>
      <c r="Q197" s="371">
        <v>3795</v>
      </c>
      <c r="R197" s="371">
        <v>1540</v>
      </c>
      <c r="S197" s="374">
        <f t="shared" si="7"/>
        <v>23235</v>
      </c>
    </row>
    <row r="198" spans="1:19" ht="16.5">
      <c r="A198" s="38">
        <f t="shared" si="9"/>
        <v>197</v>
      </c>
      <c r="B198" s="38" t="s">
        <v>752</v>
      </c>
      <c r="C198" s="102" t="s">
        <v>831</v>
      </c>
      <c r="D198" s="102" t="s">
        <v>825</v>
      </c>
      <c r="E198" s="103">
        <v>302040606422</v>
      </c>
      <c r="F198" s="283" t="s">
        <v>1006</v>
      </c>
      <c r="G198" s="51" t="s">
        <v>879</v>
      </c>
      <c r="H198" s="38" t="s">
        <v>982</v>
      </c>
      <c r="I198" s="304"/>
      <c r="J198" s="102"/>
      <c r="K198" s="105"/>
      <c r="L198" s="104">
        <v>201991000105</v>
      </c>
      <c r="M198" s="106" t="s">
        <v>932</v>
      </c>
      <c r="N198" s="105">
        <v>4</v>
      </c>
      <c r="O198" s="104">
        <v>302053830096</v>
      </c>
      <c r="P198" s="372"/>
      <c r="Q198" s="372"/>
      <c r="R198" s="372"/>
      <c r="S198" s="375"/>
    </row>
    <row r="199" spans="1:19" ht="16.5">
      <c r="A199" s="38">
        <f t="shared" si="9"/>
        <v>198</v>
      </c>
      <c r="B199" s="38" t="s">
        <v>752</v>
      </c>
      <c r="C199" s="102" t="s">
        <v>831</v>
      </c>
      <c r="D199" s="102" t="s">
        <v>825</v>
      </c>
      <c r="E199" s="103">
        <v>302040606422</v>
      </c>
      <c r="F199" s="283" t="s">
        <v>1006</v>
      </c>
      <c r="G199" s="51" t="s">
        <v>879</v>
      </c>
      <c r="H199" s="38" t="s">
        <v>982</v>
      </c>
      <c r="I199" s="304"/>
      <c r="J199" s="102"/>
      <c r="K199" s="105"/>
      <c r="L199" s="104">
        <v>201991000106</v>
      </c>
      <c r="M199" s="106" t="s">
        <v>791</v>
      </c>
      <c r="N199" s="105">
        <v>5</v>
      </c>
      <c r="O199" s="104">
        <v>302053830096</v>
      </c>
      <c r="P199" s="373"/>
      <c r="Q199" s="373"/>
      <c r="R199" s="373"/>
      <c r="S199" s="376"/>
    </row>
    <row r="200" spans="1:19" ht="16.5">
      <c r="A200" s="38">
        <f t="shared" si="9"/>
        <v>199</v>
      </c>
      <c r="B200" s="38" t="s">
        <v>752</v>
      </c>
      <c r="C200" s="102" t="s">
        <v>838</v>
      </c>
      <c r="D200" s="102" t="s">
        <v>802</v>
      </c>
      <c r="E200" s="103">
        <v>302040018886</v>
      </c>
      <c r="F200" s="283" t="s">
        <v>1007</v>
      </c>
      <c r="G200" s="51" t="s">
        <v>879</v>
      </c>
      <c r="H200" s="38" t="s">
        <v>982</v>
      </c>
      <c r="I200" s="304"/>
      <c r="J200" s="102"/>
      <c r="K200" s="105"/>
      <c r="L200" s="104">
        <v>201991000104</v>
      </c>
      <c r="M200" s="106" t="s">
        <v>386</v>
      </c>
      <c r="N200" s="105">
        <v>2</v>
      </c>
      <c r="O200" s="104" t="s">
        <v>796</v>
      </c>
      <c r="P200" s="371">
        <v>17900</v>
      </c>
      <c r="Q200" s="371">
        <v>3300</v>
      </c>
      <c r="R200" s="371">
        <v>1540</v>
      </c>
      <c r="S200" s="374">
        <f t="shared" si="7"/>
        <v>22740</v>
      </c>
    </row>
    <row r="201" spans="1:19" ht="16.5">
      <c r="A201" s="38">
        <f t="shared" si="9"/>
        <v>200</v>
      </c>
      <c r="B201" s="38" t="s">
        <v>752</v>
      </c>
      <c r="C201" s="102" t="s">
        <v>838</v>
      </c>
      <c r="D201" s="102" t="s">
        <v>802</v>
      </c>
      <c r="E201" s="103">
        <v>302040018886</v>
      </c>
      <c r="F201" s="283" t="s">
        <v>1007</v>
      </c>
      <c r="G201" s="51" t="s">
        <v>879</v>
      </c>
      <c r="H201" s="38" t="s">
        <v>982</v>
      </c>
      <c r="I201" s="304"/>
      <c r="J201" s="102"/>
      <c r="K201" s="105"/>
      <c r="L201" s="104">
        <v>201991000105</v>
      </c>
      <c r="M201" s="106" t="s">
        <v>932</v>
      </c>
      <c r="N201" s="105">
        <v>2</v>
      </c>
      <c r="O201" s="104" t="s">
        <v>796</v>
      </c>
      <c r="P201" s="372"/>
      <c r="Q201" s="372"/>
      <c r="R201" s="372"/>
      <c r="S201" s="375"/>
    </row>
    <row r="202" spans="1:19" ht="16.5">
      <c r="A202" s="38">
        <f t="shared" si="9"/>
        <v>201</v>
      </c>
      <c r="B202" s="38" t="s">
        <v>752</v>
      </c>
      <c r="C202" s="102" t="s">
        <v>838</v>
      </c>
      <c r="D202" s="102" t="s">
        <v>802</v>
      </c>
      <c r="E202" s="103">
        <v>302040018886</v>
      </c>
      <c r="F202" s="283" t="s">
        <v>1007</v>
      </c>
      <c r="G202" s="51" t="s">
        <v>879</v>
      </c>
      <c r="H202" s="38" t="s">
        <v>982</v>
      </c>
      <c r="I202" s="304"/>
      <c r="J202" s="102"/>
      <c r="K202" s="105"/>
      <c r="L202" s="104">
        <v>201991000106</v>
      </c>
      <c r="M202" s="106" t="s">
        <v>791</v>
      </c>
      <c r="N202" s="105">
        <v>2</v>
      </c>
      <c r="O202" s="104" t="s">
        <v>796</v>
      </c>
      <c r="P202" s="372"/>
      <c r="Q202" s="372"/>
      <c r="R202" s="372"/>
      <c r="S202" s="375"/>
    </row>
    <row r="203" spans="1:19" ht="16.5">
      <c r="A203" s="38">
        <f t="shared" si="9"/>
        <v>202</v>
      </c>
      <c r="B203" s="38" t="s">
        <v>752</v>
      </c>
      <c r="C203" s="102" t="s">
        <v>838</v>
      </c>
      <c r="D203" s="102" t="s">
        <v>802</v>
      </c>
      <c r="E203" s="103">
        <v>302040018886</v>
      </c>
      <c r="F203" s="283" t="s">
        <v>1007</v>
      </c>
      <c r="G203" s="51" t="s">
        <v>879</v>
      </c>
      <c r="H203" s="38" t="s">
        <v>982</v>
      </c>
      <c r="I203" s="304"/>
      <c r="J203" s="102"/>
      <c r="K203" s="105"/>
      <c r="L203" s="104">
        <v>201991000107</v>
      </c>
      <c r="M203" s="106" t="s">
        <v>559</v>
      </c>
      <c r="N203" s="105">
        <v>2</v>
      </c>
      <c r="O203" s="104" t="s">
        <v>796</v>
      </c>
      <c r="P203" s="372"/>
      <c r="Q203" s="372"/>
      <c r="R203" s="372"/>
      <c r="S203" s="375"/>
    </row>
    <row r="204" spans="1:19" ht="16.5">
      <c r="A204" s="38">
        <f t="shared" si="9"/>
        <v>203</v>
      </c>
      <c r="B204" s="38" t="s">
        <v>752</v>
      </c>
      <c r="C204" s="102" t="s">
        <v>838</v>
      </c>
      <c r="D204" s="102" t="s">
        <v>802</v>
      </c>
      <c r="E204" s="103">
        <v>302040018886</v>
      </c>
      <c r="F204" s="283" t="s">
        <v>1007</v>
      </c>
      <c r="G204" s="51" t="s">
        <v>879</v>
      </c>
      <c r="H204" s="38" t="s">
        <v>982</v>
      </c>
      <c r="I204" s="304"/>
      <c r="J204" s="102"/>
      <c r="K204" s="105"/>
      <c r="L204" s="104">
        <v>201991000108</v>
      </c>
      <c r="M204" s="106" t="s">
        <v>837</v>
      </c>
      <c r="N204" s="105">
        <v>2</v>
      </c>
      <c r="O204" s="104" t="s">
        <v>796</v>
      </c>
      <c r="P204" s="372"/>
      <c r="Q204" s="372"/>
      <c r="R204" s="372"/>
      <c r="S204" s="375"/>
    </row>
    <row r="205" spans="1:19" ht="16.5">
      <c r="A205" s="38">
        <f t="shared" ref="A205:A364" si="10">A204+1</f>
        <v>204</v>
      </c>
      <c r="B205" s="38" t="s">
        <v>752</v>
      </c>
      <c r="C205" s="102" t="s">
        <v>838</v>
      </c>
      <c r="D205" s="102" t="s">
        <v>802</v>
      </c>
      <c r="E205" s="103">
        <v>302040018886</v>
      </c>
      <c r="F205" s="283" t="s">
        <v>1007</v>
      </c>
      <c r="G205" s="51" t="s">
        <v>879</v>
      </c>
      <c r="H205" s="38" t="s">
        <v>982</v>
      </c>
      <c r="I205" s="304"/>
      <c r="J205" s="102"/>
      <c r="K205" s="105"/>
      <c r="L205" s="104">
        <v>201991000109</v>
      </c>
      <c r="M205" s="106" t="s">
        <v>829</v>
      </c>
      <c r="N205" s="105">
        <v>2</v>
      </c>
      <c r="O205" s="104" t="s">
        <v>796</v>
      </c>
      <c r="P205" s="373"/>
      <c r="Q205" s="373"/>
      <c r="R205" s="373"/>
      <c r="S205" s="376"/>
    </row>
    <row r="206" spans="1:19" ht="16.5">
      <c r="A206" s="38">
        <f t="shared" si="10"/>
        <v>205</v>
      </c>
      <c r="B206" s="38" t="s">
        <v>752</v>
      </c>
      <c r="C206" s="102" t="s">
        <v>838</v>
      </c>
      <c r="D206" s="102" t="s">
        <v>1008</v>
      </c>
      <c r="E206" s="103">
        <v>302053732903</v>
      </c>
      <c r="F206" s="283" t="s">
        <v>1009</v>
      </c>
      <c r="G206" s="51" t="s">
        <v>879</v>
      </c>
      <c r="H206" s="38" t="s">
        <v>982</v>
      </c>
      <c r="I206" s="304"/>
      <c r="J206" s="102"/>
      <c r="K206" s="105"/>
      <c r="L206" s="104">
        <v>201991000166</v>
      </c>
      <c r="M206" s="106" t="s">
        <v>357</v>
      </c>
      <c r="N206" s="105">
        <v>1</v>
      </c>
      <c r="O206" s="104">
        <v>302053870372</v>
      </c>
      <c r="P206" s="107">
        <v>17570</v>
      </c>
      <c r="Q206" s="371">
        <v>3795</v>
      </c>
      <c r="R206" s="371">
        <v>1540</v>
      </c>
      <c r="S206" s="374">
        <f>SUM(P206:R207)</f>
        <v>34865</v>
      </c>
    </row>
    <row r="207" spans="1:19" ht="16.5">
      <c r="A207" s="38">
        <f t="shared" si="10"/>
        <v>206</v>
      </c>
      <c r="B207" s="38" t="s">
        <v>752</v>
      </c>
      <c r="C207" s="102" t="s">
        <v>838</v>
      </c>
      <c r="D207" s="102" t="s">
        <v>1008</v>
      </c>
      <c r="E207" s="103">
        <v>302053732903</v>
      </c>
      <c r="F207" s="283" t="s">
        <v>1009</v>
      </c>
      <c r="G207" s="51" t="s">
        <v>879</v>
      </c>
      <c r="H207" s="38" t="s">
        <v>982</v>
      </c>
      <c r="I207" s="304"/>
      <c r="J207" s="102"/>
      <c r="K207" s="105"/>
      <c r="L207" s="104">
        <v>202008000058</v>
      </c>
      <c r="M207" s="106" t="s">
        <v>315</v>
      </c>
      <c r="N207" s="105">
        <v>4</v>
      </c>
      <c r="O207" s="104">
        <v>302053870372</v>
      </c>
      <c r="P207" s="107">
        <v>11960</v>
      </c>
      <c r="Q207" s="373"/>
      <c r="R207" s="373"/>
      <c r="S207" s="376"/>
    </row>
    <row r="208" spans="1:19" ht="16.5">
      <c r="A208" s="38">
        <f t="shared" si="10"/>
        <v>207</v>
      </c>
      <c r="B208" s="38" t="s">
        <v>752</v>
      </c>
      <c r="C208" s="102" t="s">
        <v>845</v>
      </c>
      <c r="D208" s="102" t="s">
        <v>1008</v>
      </c>
      <c r="E208" s="103">
        <v>302053729355</v>
      </c>
      <c r="F208" s="283" t="s">
        <v>1010</v>
      </c>
      <c r="G208" s="51" t="s">
        <v>879</v>
      </c>
      <c r="H208" s="38" t="s">
        <v>982</v>
      </c>
      <c r="I208" s="304"/>
      <c r="J208" s="102"/>
      <c r="K208" s="105"/>
      <c r="L208" s="104">
        <v>201978000078</v>
      </c>
      <c r="M208" s="106" t="s">
        <v>948</v>
      </c>
      <c r="N208" s="105">
        <v>10</v>
      </c>
      <c r="O208" s="104">
        <v>302053947641</v>
      </c>
      <c r="P208" s="107">
        <v>22510</v>
      </c>
      <c r="Q208" s="107">
        <v>3795</v>
      </c>
      <c r="R208" s="108">
        <v>1540</v>
      </c>
      <c r="S208" s="52">
        <f t="shared" si="7"/>
        <v>27845</v>
      </c>
    </row>
    <row r="209" spans="1:19" ht="16.5">
      <c r="A209" s="38">
        <f t="shared" si="10"/>
        <v>208</v>
      </c>
      <c r="B209" s="38" t="s">
        <v>752</v>
      </c>
      <c r="C209" s="102" t="s">
        <v>845</v>
      </c>
      <c r="D209" s="102" t="s">
        <v>846</v>
      </c>
      <c r="E209" s="103">
        <v>302040703781</v>
      </c>
      <c r="F209" s="283" t="s">
        <v>307</v>
      </c>
      <c r="G209" s="51" t="s">
        <v>879</v>
      </c>
      <c r="H209" s="38" t="s">
        <v>982</v>
      </c>
      <c r="I209" s="304"/>
      <c r="J209" s="102"/>
      <c r="K209" s="105"/>
      <c r="L209" s="104">
        <v>201978000149</v>
      </c>
      <c r="M209" s="106" t="s">
        <v>851</v>
      </c>
      <c r="N209" s="105">
        <v>6</v>
      </c>
      <c r="O209" s="104" t="s">
        <v>796</v>
      </c>
      <c r="P209" s="107">
        <v>49800</v>
      </c>
      <c r="Q209" s="107">
        <v>3300</v>
      </c>
      <c r="R209" s="108">
        <v>1100</v>
      </c>
      <c r="S209" s="52">
        <f t="shared" si="7"/>
        <v>54200</v>
      </c>
    </row>
    <row r="210" spans="1:19" ht="16.5">
      <c r="A210" s="38">
        <f t="shared" si="10"/>
        <v>209</v>
      </c>
      <c r="B210" s="38" t="s">
        <v>752</v>
      </c>
      <c r="C210" s="102" t="s">
        <v>953</v>
      </c>
      <c r="D210" s="102" t="s">
        <v>936</v>
      </c>
      <c r="E210" s="103">
        <v>302053590534</v>
      </c>
      <c r="F210" s="104" t="s">
        <v>1011</v>
      </c>
      <c r="G210" s="51" t="s">
        <v>879</v>
      </c>
      <c r="H210" s="38" t="s">
        <v>982</v>
      </c>
      <c r="I210" s="304"/>
      <c r="J210" s="102"/>
      <c r="K210" s="105"/>
      <c r="L210" s="104">
        <v>201978000043</v>
      </c>
      <c r="M210" s="106" t="s">
        <v>344</v>
      </c>
      <c r="N210" s="105">
        <v>8</v>
      </c>
      <c r="O210" s="104">
        <v>302053996125</v>
      </c>
      <c r="P210" s="107">
        <v>14880</v>
      </c>
      <c r="Q210" s="107">
        <v>990</v>
      </c>
      <c r="R210" s="108">
        <v>715</v>
      </c>
      <c r="S210" s="52">
        <f t="shared" si="7"/>
        <v>16585</v>
      </c>
    </row>
    <row r="211" spans="1:19" ht="16.5">
      <c r="A211" s="38">
        <f t="shared" si="10"/>
        <v>210</v>
      </c>
      <c r="B211" s="38" t="s">
        <v>752</v>
      </c>
      <c r="C211" s="102" t="s">
        <v>953</v>
      </c>
      <c r="D211" s="102" t="s">
        <v>840</v>
      </c>
      <c r="E211" s="103">
        <v>302053755373</v>
      </c>
      <c r="F211" s="104" t="s">
        <v>1012</v>
      </c>
      <c r="G211" s="51" t="s">
        <v>879</v>
      </c>
      <c r="H211" s="38" t="s">
        <v>982</v>
      </c>
      <c r="I211" s="304"/>
      <c r="J211" s="102"/>
      <c r="K211" s="105"/>
      <c r="L211" s="104">
        <v>201991000138</v>
      </c>
      <c r="M211" s="106" t="s">
        <v>306</v>
      </c>
      <c r="N211" s="105">
        <v>4</v>
      </c>
      <c r="O211" s="104">
        <v>302054013183</v>
      </c>
      <c r="P211" s="107">
        <v>32800</v>
      </c>
      <c r="Q211" s="107">
        <v>495</v>
      </c>
      <c r="R211" s="108">
        <v>231</v>
      </c>
      <c r="S211" s="52">
        <f t="shared" si="7"/>
        <v>33526</v>
      </c>
    </row>
    <row r="212" spans="1:19" ht="16.5">
      <c r="A212" s="38">
        <f t="shared" si="10"/>
        <v>211</v>
      </c>
      <c r="B212" s="38" t="s">
        <v>752</v>
      </c>
      <c r="C212" s="102" t="s">
        <v>953</v>
      </c>
      <c r="D212" s="102" t="s">
        <v>960</v>
      </c>
      <c r="E212" s="103">
        <v>302053890996</v>
      </c>
      <c r="F212" s="104" t="s">
        <v>1013</v>
      </c>
      <c r="G212" s="51" t="s">
        <v>879</v>
      </c>
      <c r="H212" s="38" t="s">
        <v>982</v>
      </c>
      <c r="I212" s="304"/>
      <c r="J212" s="102"/>
      <c r="K212" s="105"/>
      <c r="L212" s="104">
        <v>201990000215</v>
      </c>
      <c r="M212" s="106" t="s">
        <v>983</v>
      </c>
      <c r="N212" s="105">
        <v>1</v>
      </c>
      <c r="O212" s="104">
        <v>302054013474</v>
      </c>
      <c r="P212" s="107">
        <v>16700</v>
      </c>
      <c r="Q212" s="371">
        <v>3245</v>
      </c>
      <c r="R212" s="371">
        <v>1320</v>
      </c>
      <c r="S212" s="374">
        <f>SUM(P212:R213)</f>
        <v>37665</v>
      </c>
    </row>
    <row r="213" spans="1:19" ht="16.5">
      <c r="A213" s="38">
        <f t="shared" si="10"/>
        <v>212</v>
      </c>
      <c r="B213" s="38" t="s">
        <v>752</v>
      </c>
      <c r="C213" s="102" t="s">
        <v>953</v>
      </c>
      <c r="D213" s="102" t="s">
        <v>960</v>
      </c>
      <c r="E213" s="103">
        <v>302053890996</v>
      </c>
      <c r="F213" s="104" t="s">
        <v>1013</v>
      </c>
      <c r="G213" s="51" t="s">
        <v>879</v>
      </c>
      <c r="H213" s="38" t="s">
        <v>982</v>
      </c>
      <c r="I213" s="304"/>
      <c r="J213" s="102"/>
      <c r="K213" s="105"/>
      <c r="L213" s="104">
        <v>202008000058</v>
      </c>
      <c r="M213" s="106" t="s">
        <v>315</v>
      </c>
      <c r="N213" s="105">
        <v>3</v>
      </c>
      <c r="O213" s="104">
        <v>302054013474</v>
      </c>
      <c r="P213" s="107">
        <v>16400</v>
      </c>
      <c r="Q213" s="373"/>
      <c r="R213" s="373"/>
      <c r="S213" s="376"/>
    </row>
    <row r="214" spans="1:19" ht="16.5">
      <c r="A214" s="38">
        <f t="shared" si="10"/>
        <v>213</v>
      </c>
      <c r="B214" s="38"/>
      <c r="C214" s="102" t="s">
        <v>959</v>
      </c>
      <c r="D214" s="102" t="s">
        <v>849</v>
      </c>
      <c r="E214" s="103">
        <v>302040743434</v>
      </c>
      <c r="F214" s="104" t="s">
        <v>1014</v>
      </c>
      <c r="G214" s="51" t="s">
        <v>879</v>
      </c>
      <c r="H214" s="38" t="s">
        <v>982</v>
      </c>
      <c r="I214" s="304"/>
      <c r="J214" s="102"/>
      <c r="K214" s="105"/>
      <c r="L214" s="104">
        <v>201978000041</v>
      </c>
      <c r="M214" s="106" t="s">
        <v>302</v>
      </c>
      <c r="N214" s="105">
        <v>3</v>
      </c>
      <c r="O214" s="104" t="s">
        <v>796</v>
      </c>
      <c r="P214" s="107">
        <v>29730</v>
      </c>
      <c r="Q214" s="107">
        <v>3245</v>
      </c>
      <c r="R214" s="108">
        <v>1485</v>
      </c>
      <c r="S214" s="52">
        <f t="shared" si="7"/>
        <v>34460</v>
      </c>
    </row>
    <row r="215" spans="1:19" ht="16.5">
      <c r="A215" s="38">
        <f t="shared" si="10"/>
        <v>214</v>
      </c>
      <c r="B215" s="38"/>
      <c r="C215" s="102" t="s">
        <v>959</v>
      </c>
      <c r="D215" s="102" t="s">
        <v>840</v>
      </c>
      <c r="E215" s="103">
        <v>302040637292</v>
      </c>
      <c r="F215" s="104" t="s">
        <v>1015</v>
      </c>
      <c r="G215" s="51" t="s">
        <v>879</v>
      </c>
      <c r="H215" s="38" t="s">
        <v>982</v>
      </c>
      <c r="I215" s="304"/>
      <c r="J215" s="102"/>
      <c r="K215" s="105"/>
      <c r="L215" s="104">
        <v>201978000045</v>
      </c>
      <c r="M215" s="106" t="s">
        <v>398</v>
      </c>
      <c r="N215" s="105">
        <v>3</v>
      </c>
      <c r="O215" s="104">
        <v>302041022852</v>
      </c>
      <c r="P215" s="107">
        <v>14140</v>
      </c>
      <c r="Q215" s="107">
        <v>2750</v>
      </c>
      <c r="R215" s="108">
        <v>1485</v>
      </c>
      <c r="S215" s="52">
        <f t="shared" si="7"/>
        <v>18375</v>
      </c>
    </row>
    <row r="216" spans="1:19" ht="16.5">
      <c r="A216" s="38">
        <f t="shared" si="10"/>
        <v>215</v>
      </c>
      <c r="B216" s="38"/>
      <c r="C216" s="102" t="s">
        <v>959</v>
      </c>
      <c r="D216" s="102" t="s">
        <v>840</v>
      </c>
      <c r="E216" s="103">
        <v>302040602023</v>
      </c>
      <c r="F216" s="104" t="s">
        <v>1016</v>
      </c>
      <c r="G216" s="51" t="s">
        <v>879</v>
      </c>
      <c r="H216" s="38" t="s">
        <v>982</v>
      </c>
      <c r="I216" s="304"/>
      <c r="J216" s="102"/>
      <c r="K216" s="105"/>
      <c r="L216" s="104">
        <v>201978000068</v>
      </c>
      <c r="M216" s="106" t="s">
        <v>401</v>
      </c>
      <c r="N216" s="105">
        <v>10</v>
      </c>
      <c r="O216" s="104">
        <v>302041022863</v>
      </c>
      <c r="P216" s="107">
        <v>30500</v>
      </c>
      <c r="Q216" s="107">
        <v>2750</v>
      </c>
      <c r="R216" s="108">
        <v>1485</v>
      </c>
      <c r="S216" s="52">
        <f t="shared" si="7"/>
        <v>34735</v>
      </c>
    </row>
    <row r="217" spans="1:19" ht="16.5">
      <c r="A217" s="38">
        <f t="shared" si="10"/>
        <v>216</v>
      </c>
      <c r="B217" s="38"/>
      <c r="C217" s="102" t="s">
        <v>959</v>
      </c>
      <c r="D217" s="102" t="s">
        <v>1008</v>
      </c>
      <c r="E217" s="103">
        <v>302040465324</v>
      </c>
      <c r="F217" s="104" t="s">
        <v>1017</v>
      </c>
      <c r="G217" s="51" t="s">
        <v>879</v>
      </c>
      <c r="H217" s="38" t="s">
        <v>982</v>
      </c>
      <c r="I217" s="304"/>
      <c r="J217" s="102"/>
      <c r="K217" s="105"/>
      <c r="L217" s="104">
        <v>201978000122</v>
      </c>
      <c r="M217" s="106" t="s">
        <v>1018</v>
      </c>
      <c r="N217" s="105">
        <v>3</v>
      </c>
      <c r="O217" s="104">
        <v>302041022874</v>
      </c>
      <c r="P217" s="371">
        <v>35800</v>
      </c>
      <c r="Q217" s="371">
        <v>990</v>
      </c>
      <c r="R217" s="371">
        <v>231</v>
      </c>
      <c r="S217" s="374">
        <f t="shared" si="7"/>
        <v>37021</v>
      </c>
    </row>
    <row r="218" spans="1:19" ht="16.5">
      <c r="A218" s="38">
        <f t="shared" si="10"/>
        <v>217</v>
      </c>
      <c r="B218" s="38"/>
      <c r="C218" s="102" t="s">
        <v>959</v>
      </c>
      <c r="D218" s="102" t="s">
        <v>1008</v>
      </c>
      <c r="E218" s="103">
        <v>302040465324</v>
      </c>
      <c r="F218" s="104" t="s">
        <v>1017</v>
      </c>
      <c r="G218" s="51" t="s">
        <v>879</v>
      </c>
      <c r="H218" s="38" t="s">
        <v>982</v>
      </c>
      <c r="I218" s="304"/>
      <c r="J218" s="102"/>
      <c r="K218" s="105"/>
      <c r="L218" s="104">
        <v>201987000206</v>
      </c>
      <c r="M218" s="106" t="s">
        <v>780</v>
      </c>
      <c r="N218" s="105">
        <v>4</v>
      </c>
      <c r="O218" s="104">
        <v>302041022874</v>
      </c>
      <c r="P218" s="373"/>
      <c r="Q218" s="373"/>
      <c r="R218" s="373"/>
      <c r="S218" s="376"/>
    </row>
    <row r="219" spans="1:19" ht="16.5">
      <c r="A219" s="38">
        <f t="shared" si="10"/>
        <v>218</v>
      </c>
      <c r="B219" s="38"/>
      <c r="C219" s="102" t="s">
        <v>963</v>
      </c>
      <c r="D219" s="102" t="s">
        <v>840</v>
      </c>
      <c r="E219" s="103">
        <v>302040634164</v>
      </c>
      <c r="F219" s="104" t="s">
        <v>1019</v>
      </c>
      <c r="G219" s="51" t="s">
        <v>879</v>
      </c>
      <c r="H219" s="38" t="s">
        <v>982</v>
      </c>
      <c r="I219" s="304"/>
      <c r="J219" s="102"/>
      <c r="K219" s="105"/>
      <c r="L219" s="104">
        <v>201978000041</v>
      </c>
      <c r="M219" s="106" t="s">
        <v>302</v>
      </c>
      <c r="N219" s="105">
        <v>2</v>
      </c>
      <c r="O219" s="104">
        <v>302041046921</v>
      </c>
      <c r="P219" s="371">
        <v>19190</v>
      </c>
      <c r="Q219" s="371">
        <v>2750</v>
      </c>
      <c r="R219" s="371">
        <v>1485</v>
      </c>
      <c r="S219" s="374">
        <f t="shared" si="7"/>
        <v>23425</v>
      </c>
    </row>
    <row r="220" spans="1:19" ht="16.5">
      <c r="A220" s="38">
        <f t="shared" si="10"/>
        <v>219</v>
      </c>
      <c r="B220" s="38"/>
      <c r="C220" s="102" t="s">
        <v>963</v>
      </c>
      <c r="D220" s="102" t="s">
        <v>840</v>
      </c>
      <c r="E220" s="103">
        <v>302040634164</v>
      </c>
      <c r="F220" s="104" t="s">
        <v>1019</v>
      </c>
      <c r="G220" s="51" t="s">
        <v>879</v>
      </c>
      <c r="H220" s="38" t="s">
        <v>982</v>
      </c>
      <c r="I220" s="304"/>
      <c r="J220" s="102"/>
      <c r="K220" s="105"/>
      <c r="L220" s="104">
        <v>201978000045</v>
      </c>
      <c r="M220" s="106" t="s">
        <v>398</v>
      </c>
      <c r="N220" s="105">
        <v>1</v>
      </c>
      <c r="O220" s="104">
        <v>302041046921</v>
      </c>
      <c r="P220" s="373"/>
      <c r="Q220" s="373"/>
      <c r="R220" s="373"/>
      <c r="S220" s="376"/>
    </row>
    <row r="221" spans="1:19" ht="16.5">
      <c r="A221" s="38">
        <f t="shared" si="10"/>
        <v>220</v>
      </c>
      <c r="B221" s="38"/>
      <c r="C221" s="102" t="s">
        <v>963</v>
      </c>
      <c r="D221" s="102" t="s">
        <v>965</v>
      </c>
      <c r="E221" s="103">
        <v>302053966935</v>
      </c>
      <c r="F221" s="104" t="s">
        <v>1020</v>
      </c>
      <c r="G221" s="51" t="s">
        <v>879</v>
      </c>
      <c r="H221" s="38" t="s">
        <v>982</v>
      </c>
      <c r="I221" s="304"/>
      <c r="J221" s="102"/>
      <c r="K221" s="105"/>
      <c r="L221" s="104">
        <v>201991000179</v>
      </c>
      <c r="M221" s="106" t="s">
        <v>1021</v>
      </c>
      <c r="N221" s="105">
        <v>2</v>
      </c>
      <c r="O221" s="104">
        <v>302054104916</v>
      </c>
      <c r="P221" s="107">
        <v>13800</v>
      </c>
      <c r="Q221" s="107">
        <v>5984</v>
      </c>
      <c r="R221" s="108">
        <v>605</v>
      </c>
      <c r="S221" s="52">
        <f t="shared" si="7"/>
        <v>20389</v>
      </c>
    </row>
    <row r="222" spans="1:19" ht="16.5">
      <c r="A222" s="38">
        <f t="shared" si="10"/>
        <v>221</v>
      </c>
      <c r="B222" s="38"/>
      <c r="C222" s="102" t="s">
        <v>1022</v>
      </c>
      <c r="D222" s="102" t="s">
        <v>849</v>
      </c>
      <c r="E222" s="103">
        <v>302053827042</v>
      </c>
      <c r="F222" s="104" t="s">
        <v>1023</v>
      </c>
      <c r="G222" s="51" t="s">
        <v>879</v>
      </c>
      <c r="H222" s="38" t="s">
        <v>982</v>
      </c>
      <c r="I222" s="304"/>
      <c r="J222" s="102"/>
      <c r="K222" s="105"/>
      <c r="L222" s="104">
        <v>201978000138</v>
      </c>
      <c r="M222" s="106" t="s">
        <v>407</v>
      </c>
      <c r="N222" s="105">
        <v>2</v>
      </c>
      <c r="O222" s="104">
        <v>302054160791</v>
      </c>
      <c r="P222" s="107">
        <v>14000</v>
      </c>
      <c r="Q222" s="107">
        <v>3300</v>
      </c>
      <c r="R222" s="108">
        <v>1540</v>
      </c>
      <c r="S222" s="52">
        <f t="shared" si="7"/>
        <v>18840</v>
      </c>
    </row>
    <row r="223" spans="1:19" ht="16.5">
      <c r="A223" s="38">
        <f t="shared" si="10"/>
        <v>222</v>
      </c>
      <c r="B223" s="38"/>
      <c r="C223" s="102" t="s">
        <v>1022</v>
      </c>
      <c r="D223" s="102" t="s">
        <v>968</v>
      </c>
      <c r="E223" s="103">
        <v>302053919291</v>
      </c>
      <c r="F223" s="104" t="s">
        <v>1024</v>
      </c>
      <c r="G223" s="51" t="s">
        <v>879</v>
      </c>
      <c r="H223" s="38" t="s">
        <v>982</v>
      </c>
      <c r="I223" s="304"/>
      <c r="J223" s="102"/>
      <c r="K223" s="105"/>
      <c r="L223" s="104">
        <v>201991000138</v>
      </c>
      <c r="M223" s="106" t="s">
        <v>306</v>
      </c>
      <c r="N223" s="105">
        <v>1</v>
      </c>
      <c r="O223" s="104">
        <v>302054162596</v>
      </c>
      <c r="P223" s="107">
        <v>8700</v>
      </c>
      <c r="Q223" s="107">
        <v>2970</v>
      </c>
      <c r="R223" s="108">
        <v>231</v>
      </c>
      <c r="S223" s="52">
        <f t="shared" si="7"/>
        <v>11901</v>
      </c>
    </row>
    <row r="224" spans="1:19" ht="16.5">
      <c r="A224" s="38">
        <f t="shared" si="10"/>
        <v>223</v>
      </c>
      <c r="B224" s="38"/>
      <c r="C224" s="102" t="s">
        <v>856</v>
      </c>
      <c r="D224" s="102" t="s">
        <v>970</v>
      </c>
      <c r="E224" s="103">
        <v>302054027393</v>
      </c>
      <c r="F224" s="104" t="s">
        <v>1025</v>
      </c>
      <c r="G224" s="51" t="s">
        <v>879</v>
      </c>
      <c r="H224" s="38" t="s">
        <v>982</v>
      </c>
      <c r="I224" s="304"/>
      <c r="J224" s="102"/>
      <c r="K224" s="105"/>
      <c r="L224" s="104">
        <v>201978000068</v>
      </c>
      <c r="M224" s="106" t="s">
        <v>401</v>
      </c>
      <c r="N224" s="105">
        <v>10</v>
      </c>
      <c r="O224" s="104" t="s">
        <v>796</v>
      </c>
      <c r="P224" s="107">
        <v>40900</v>
      </c>
      <c r="Q224" s="107">
        <v>2750</v>
      </c>
      <c r="R224" s="108">
        <v>1595</v>
      </c>
      <c r="S224" s="52">
        <f t="shared" si="7"/>
        <v>45245</v>
      </c>
    </row>
    <row r="225" spans="1:19" ht="16.5">
      <c r="A225" s="38">
        <f t="shared" si="10"/>
        <v>224</v>
      </c>
      <c r="B225" s="38"/>
      <c r="C225" s="102" t="s">
        <v>856</v>
      </c>
      <c r="D225" s="102" t="s">
        <v>968</v>
      </c>
      <c r="E225" s="103">
        <v>302040891926</v>
      </c>
      <c r="F225" s="104" t="s">
        <v>1026</v>
      </c>
      <c r="G225" s="51" t="s">
        <v>879</v>
      </c>
      <c r="H225" s="38" t="s">
        <v>982</v>
      </c>
      <c r="I225" s="304"/>
      <c r="J225" s="102"/>
      <c r="K225" s="105"/>
      <c r="L225" s="104">
        <v>201978000044</v>
      </c>
      <c r="M225" s="106" t="s">
        <v>665</v>
      </c>
      <c r="N225" s="105">
        <v>2</v>
      </c>
      <c r="O225" s="104" t="s">
        <v>796</v>
      </c>
      <c r="P225" s="107">
        <v>11480</v>
      </c>
      <c r="Q225" s="107">
        <v>2750</v>
      </c>
      <c r="R225" s="108">
        <v>1485</v>
      </c>
      <c r="S225" s="52">
        <f t="shared" si="7"/>
        <v>15715</v>
      </c>
    </row>
    <row r="226" spans="1:19" ht="16.5">
      <c r="A226" s="38">
        <f t="shared" si="10"/>
        <v>225</v>
      </c>
      <c r="B226" s="38"/>
      <c r="C226" s="102" t="s">
        <v>787</v>
      </c>
      <c r="D226" s="102" t="s">
        <v>789</v>
      </c>
      <c r="E226" s="103">
        <v>302053289766</v>
      </c>
      <c r="F226" s="104" t="s">
        <v>1027</v>
      </c>
      <c r="G226" s="51" t="s">
        <v>879</v>
      </c>
      <c r="H226" s="38" t="s">
        <v>1028</v>
      </c>
      <c r="I226" s="304"/>
      <c r="J226" s="102"/>
      <c r="K226" s="105"/>
      <c r="L226" s="104">
        <v>201991000138</v>
      </c>
      <c r="M226" s="106" t="s">
        <v>306</v>
      </c>
      <c r="N226" s="105">
        <v>1</v>
      </c>
      <c r="O226" s="104">
        <v>302053430271</v>
      </c>
      <c r="P226" s="107">
        <v>8500</v>
      </c>
      <c r="Q226" s="371">
        <v>3795</v>
      </c>
      <c r="R226" s="371">
        <v>1100</v>
      </c>
      <c r="S226" s="374">
        <f>SUM(P226:R230)</f>
        <v>48645</v>
      </c>
    </row>
    <row r="227" spans="1:19" ht="16.5">
      <c r="A227" s="38">
        <f t="shared" si="10"/>
        <v>226</v>
      </c>
      <c r="B227" s="38"/>
      <c r="C227" s="102" t="s">
        <v>787</v>
      </c>
      <c r="D227" s="102" t="s">
        <v>789</v>
      </c>
      <c r="E227" s="103">
        <v>302053289766</v>
      </c>
      <c r="F227" s="104" t="s">
        <v>1027</v>
      </c>
      <c r="G227" s="51" t="s">
        <v>879</v>
      </c>
      <c r="H227" s="38" t="s">
        <v>1028</v>
      </c>
      <c r="I227" s="304"/>
      <c r="J227" s="102"/>
      <c r="K227" s="105"/>
      <c r="L227" s="104">
        <v>201978000045</v>
      </c>
      <c r="M227" s="106" t="s">
        <v>398</v>
      </c>
      <c r="N227" s="105">
        <v>1</v>
      </c>
      <c r="O227" s="104">
        <v>302053430271</v>
      </c>
      <c r="P227" s="371">
        <v>12610</v>
      </c>
      <c r="Q227" s="372"/>
      <c r="R227" s="372"/>
      <c r="S227" s="375"/>
    </row>
    <row r="228" spans="1:19" ht="16.5">
      <c r="A228" s="38">
        <f t="shared" si="10"/>
        <v>227</v>
      </c>
      <c r="B228" s="38"/>
      <c r="C228" s="102" t="s">
        <v>787</v>
      </c>
      <c r="D228" s="102" t="s">
        <v>789</v>
      </c>
      <c r="E228" s="103">
        <v>302053289766</v>
      </c>
      <c r="F228" s="104" t="s">
        <v>1027</v>
      </c>
      <c r="G228" s="51" t="s">
        <v>879</v>
      </c>
      <c r="H228" s="38" t="s">
        <v>1028</v>
      </c>
      <c r="I228" s="304"/>
      <c r="J228" s="102"/>
      <c r="K228" s="105"/>
      <c r="L228" s="104">
        <v>201978000041</v>
      </c>
      <c r="M228" s="106" t="s">
        <v>302</v>
      </c>
      <c r="N228" s="105">
        <v>1</v>
      </c>
      <c r="O228" s="104">
        <v>302053430271</v>
      </c>
      <c r="P228" s="373"/>
      <c r="Q228" s="372"/>
      <c r="R228" s="372"/>
      <c r="S228" s="375"/>
    </row>
    <row r="229" spans="1:19" ht="16.5">
      <c r="A229" s="38">
        <f t="shared" si="10"/>
        <v>228</v>
      </c>
      <c r="B229" s="38"/>
      <c r="C229" s="102" t="s">
        <v>787</v>
      </c>
      <c r="D229" s="102" t="s">
        <v>789</v>
      </c>
      <c r="E229" s="103">
        <v>302053289766</v>
      </c>
      <c r="F229" s="104" t="s">
        <v>1027</v>
      </c>
      <c r="G229" s="51" t="s">
        <v>879</v>
      </c>
      <c r="H229" s="38" t="s">
        <v>1028</v>
      </c>
      <c r="I229" s="304"/>
      <c r="J229" s="102"/>
      <c r="K229" s="105"/>
      <c r="L229" s="104">
        <v>201978000066</v>
      </c>
      <c r="M229" s="106" t="s">
        <v>420</v>
      </c>
      <c r="N229" s="105">
        <v>1</v>
      </c>
      <c r="O229" s="104">
        <v>302053430271</v>
      </c>
      <c r="P229" s="371">
        <v>22640</v>
      </c>
      <c r="Q229" s="372"/>
      <c r="R229" s="372"/>
      <c r="S229" s="375"/>
    </row>
    <row r="230" spans="1:19" ht="16.5">
      <c r="A230" s="38">
        <f t="shared" si="10"/>
        <v>229</v>
      </c>
      <c r="B230" s="38"/>
      <c r="C230" s="102" t="s">
        <v>787</v>
      </c>
      <c r="D230" s="102" t="s">
        <v>789</v>
      </c>
      <c r="E230" s="103">
        <v>302053289766</v>
      </c>
      <c r="F230" s="104" t="s">
        <v>1027</v>
      </c>
      <c r="G230" s="51" t="s">
        <v>879</v>
      </c>
      <c r="H230" s="38" t="s">
        <v>1028</v>
      </c>
      <c r="I230" s="304"/>
      <c r="J230" s="102"/>
      <c r="K230" s="105"/>
      <c r="L230" s="104">
        <v>201978000068</v>
      </c>
      <c r="M230" s="106" t="s">
        <v>401</v>
      </c>
      <c r="N230" s="105">
        <v>6</v>
      </c>
      <c r="O230" s="104">
        <v>302053430271</v>
      </c>
      <c r="P230" s="373"/>
      <c r="Q230" s="373"/>
      <c r="R230" s="373"/>
      <c r="S230" s="376"/>
    </row>
    <row r="231" spans="1:19" ht="16.5">
      <c r="A231" s="38">
        <f t="shared" si="10"/>
        <v>230</v>
      </c>
      <c r="B231" s="38"/>
      <c r="C231" s="102" t="s">
        <v>808</v>
      </c>
      <c r="D231" s="102" t="s">
        <v>802</v>
      </c>
      <c r="E231" s="103">
        <v>302040005575</v>
      </c>
      <c r="F231" s="104" t="s">
        <v>1029</v>
      </c>
      <c r="G231" s="51" t="s">
        <v>879</v>
      </c>
      <c r="H231" s="38" t="s">
        <v>1028</v>
      </c>
      <c r="I231" s="304"/>
      <c r="J231" s="102"/>
      <c r="K231" s="105"/>
      <c r="L231" s="104">
        <v>202008000058</v>
      </c>
      <c r="M231" s="106" t="s">
        <v>315</v>
      </c>
      <c r="N231" s="105">
        <v>8</v>
      </c>
      <c r="O231" s="104">
        <v>302040186901</v>
      </c>
      <c r="P231" s="107">
        <v>26900</v>
      </c>
      <c r="Q231" s="107">
        <v>2750</v>
      </c>
      <c r="R231" s="108">
        <v>1485</v>
      </c>
      <c r="S231" s="52">
        <f t="shared" si="7"/>
        <v>31135</v>
      </c>
    </row>
    <row r="232" spans="1:19" ht="16.5">
      <c r="A232" s="38">
        <f t="shared" si="10"/>
        <v>231</v>
      </c>
      <c r="B232" s="38"/>
      <c r="C232" s="102" t="s">
        <v>793</v>
      </c>
      <c r="D232" s="102" t="s">
        <v>862</v>
      </c>
      <c r="E232" s="103">
        <v>302053084574</v>
      </c>
      <c r="F232" s="104" t="s">
        <v>1030</v>
      </c>
      <c r="G232" s="51" t="s">
        <v>879</v>
      </c>
      <c r="H232" s="38" t="s">
        <v>1031</v>
      </c>
      <c r="I232" s="304"/>
      <c r="J232" s="102"/>
      <c r="K232" s="105"/>
      <c r="L232" s="104">
        <v>201987000165</v>
      </c>
      <c r="M232" s="106" t="s">
        <v>318</v>
      </c>
      <c r="N232" s="105">
        <v>8</v>
      </c>
      <c r="O232" s="104">
        <v>302039759470</v>
      </c>
      <c r="P232" s="107">
        <v>28000</v>
      </c>
      <c r="Q232" s="107">
        <v>3795</v>
      </c>
      <c r="R232" s="108">
        <v>1815</v>
      </c>
      <c r="S232" s="52">
        <f t="shared" si="7"/>
        <v>33610</v>
      </c>
    </row>
    <row r="233" spans="1:19" ht="16.5">
      <c r="A233" s="38">
        <f t="shared" si="10"/>
        <v>232</v>
      </c>
      <c r="B233" s="38"/>
      <c r="C233" s="102" t="s">
        <v>793</v>
      </c>
      <c r="D233" s="102" t="s">
        <v>887</v>
      </c>
      <c r="E233" s="103">
        <v>302039328885</v>
      </c>
      <c r="F233" s="104" t="s">
        <v>1032</v>
      </c>
      <c r="G233" s="51" t="s">
        <v>879</v>
      </c>
      <c r="H233" s="38" t="s">
        <v>1031</v>
      </c>
      <c r="I233" s="304"/>
      <c r="J233" s="102"/>
      <c r="K233" s="105"/>
      <c r="L233" s="104">
        <v>201978000043</v>
      </c>
      <c r="M233" s="106" t="s">
        <v>344</v>
      </c>
      <c r="N233" s="105">
        <v>4</v>
      </c>
      <c r="O233" s="104">
        <v>302053000000</v>
      </c>
      <c r="P233" s="107">
        <v>12500</v>
      </c>
      <c r="Q233" s="107">
        <v>2750</v>
      </c>
      <c r="R233" s="108">
        <v>1485</v>
      </c>
      <c r="S233" s="52">
        <f t="shared" si="7"/>
        <v>16735</v>
      </c>
    </row>
    <row r="234" spans="1:19" ht="16.5">
      <c r="A234" s="38">
        <f t="shared" si="10"/>
        <v>233</v>
      </c>
      <c r="B234" s="38"/>
      <c r="C234" s="102" t="s">
        <v>793</v>
      </c>
      <c r="D234" s="102" t="s">
        <v>1033</v>
      </c>
      <c r="E234" s="103">
        <v>302052888316</v>
      </c>
      <c r="F234" s="104" t="s">
        <v>1034</v>
      </c>
      <c r="G234" s="51" t="s">
        <v>879</v>
      </c>
      <c r="H234" s="38" t="s">
        <v>1031</v>
      </c>
      <c r="I234" s="304"/>
      <c r="J234" s="102"/>
      <c r="K234" s="105"/>
      <c r="L234" s="104">
        <v>202008000058</v>
      </c>
      <c r="M234" s="106" t="s">
        <v>315</v>
      </c>
      <c r="N234" s="105">
        <v>3</v>
      </c>
      <c r="O234" s="104">
        <v>302053341835</v>
      </c>
      <c r="P234" s="107">
        <v>8970</v>
      </c>
      <c r="Q234" s="107">
        <v>3245</v>
      </c>
      <c r="R234" s="108">
        <v>1485</v>
      </c>
      <c r="S234" s="52">
        <f t="shared" si="7"/>
        <v>13700</v>
      </c>
    </row>
    <row r="235" spans="1:19" ht="16.5">
      <c r="A235" s="38">
        <f t="shared" si="10"/>
        <v>234</v>
      </c>
      <c r="B235" s="38"/>
      <c r="C235" s="102" t="s">
        <v>773</v>
      </c>
      <c r="D235" s="102" t="s">
        <v>785</v>
      </c>
      <c r="E235" s="103">
        <v>302039611324</v>
      </c>
      <c r="F235" s="104" t="s">
        <v>1035</v>
      </c>
      <c r="G235" s="51" t="s">
        <v>879</v>
      </c>
      <c r="H235" s="38" t="s">
        <v>1031</v>
      </c>
      <c r="I235" s="304"/>
      <c r="J235" s="102"/>
      <c r="K235" s="105"/>
      <c r="L235" s="104">
        <v>201987000207</v>
      </c>
      <c r="M235" s="106" t="s">
        <v>783</v>
      </c>
      <c r="N235" s="105">
        <v>1</v>
      </c>
      <c r="O235" s="104">
        <v>302039810275</v>
      </c>
      <c r="P235" s="371">
        <v>25900</v>
      </c>
      <c r="Q235" s="371">
        <v>3740</v>
      </c>
      <c r="R235" s="371">
        <v>1320</v>
      </c>
      <c r="S235" s="374">
        <f t="shared" si="7"/>
        <v>30960</v>
      </c>
    </row>
    <row r="236" spans="1:19" ht="16.5">
      <c r="A236" s="38">
        <f t="shared" si="10"/>
        <v>235</v>
      </c>
      <c r="B236" s="38"/>
      <c r="C236" s="102" t="s">
        <v>773</v>
      </c>
      <c r="D236" s="102" t="s">
        <v>785</v>
      </c>
      <c r="E236" s="103">
        <v>302039611324</v>
      </c>
      <c r="F236" s="104" t="s">
        <v>1035</v>
      </c>
      <c r="G236" s="51" t="s">
        <v>879</v>
      </c>
      <c r="H236" s="38" t="s">
        <v>1031</v>
      </c>
      <c r="I236" s="304"/>
      <c r="J236" s="102"/>
      <c r="K236" s="105"/>
      <c r="L236" s="104">
        <v>201978000068</v>
      </c>
      <c r="M236" s="106" t="s">
        <v>401</v>
      </c>
      <c r="N236" s="105">
        <v>8</v>
      </c>
      <c r="O236" s="104">
        <v>302039810275</v>
      </c>
      <c r="P236" s="373"/>
      <c r="Q236" s="372"/>
      <c r="R236" s="372"/>
      <c r="S236" s="375"/>
    </row>
    <row r="237" spans="1:19" ht="16.5">
      <c r="A237" s="38">
        <f t="shared" si="10"/>
        <v>236</v>
      </c>
      <c r="B237" s="38"/>
      <c r="C237" s="102" t="s">
        <v>787</v>
      </c>
      <c r="D237" s="102" t="s">
        <v>785</v>
      </c>
      <c r="E237" s="103">
        <v>302039611324</v>
      </c>
      <c r="F237" s="104" t="s">
        <v>1035</v>
      </c>
      <c r="G237" s="51" t="s">
        <v>879</v>
      </c>
      <c r="H237" s="38" t="s">
        <v>1031</v>
      </c>
      <c r="I237" s="304"/>
      <c r="J237" s="102"/>
      <c r="K237" s="105"/>
      <c r="L237" s="104">
        <v>201978000126</v>
      </c>
      <c r="M237" s="106" t="s">
        <v>404</v>
      </c>
      <c r="N237" s="105">
        <v>5</v>
      </c>
      <c r="O237" s="104" t="s">
        <v>796</v>
      </c>
      <c r="P237" s="107" t="s">
        <v>1036</v>
      </c>
      <c r="Q237" s="372"/>
      <c r="R237" s="372"/>
      <c r="S237" s="375"/>
    </row>
    <row r="238" spans="1:19" ht="16.5">
      <c r="A238" s="38">
        <f t="shared" si="10"/>
        <v>237</v>
      </c>
      <c r="B238" s="38"/>
      <c r="C238" s="102" t="s">
        <v>787</v>
      </c>
      <c r="D238" s="102" t="s">
        <v>785</v>
      </c>
      <c r="E238" s="103">
        <v>302039611324</v>
      </c>
      <c r="F238" s="104" t="s">
        <v>1035</v>
      </c>
      <c r="G238" s="51" t="s">
        <v>879</v>
      </c>
      <c r="H238" s="38" t="s">
        <v>1031</v>
      </c>
      <c r="I238" s="304"/>
      <c r="J238" s="102"/>
      <c r="K238" s="105"/>
      <c r="L238" s="104">
        <v>201987000206</v>
      </c>
      <c r="M238" s="106" t="s">
        <v>780</v>
      </c>
      <c r="N238" s="105">
        <v>4</v>
      </c>
      <c r="O238" s="104" t="s">
        <v>796</v>
      </c>
      <c r="P238" s="107" t="s">
        <v>1036</v>
      </c>
      <c r="Q238" s="373"/>
      <c r="R238" s="373"/>
      <c r="S238" s="376"/>
    </row>
    <row r="239" spans="1:19" ht="16.5">
      <c r="A239" s="38">
        <f t="shared" si="10"/>
        <v>238</v>
      </c>
      <c r="B239" s="38"/>
      <c r="C239" s="102" t="s">
        <v>802</v>
      </c>
      <c r="D239" s="102" t="s">
        <v>784</v>
      </c>
      <c r="E239" s="103">
        <v>302053396332</v>
      </c>
      <c r="F239" s="104" t="s">
        <v>1037</v>
      </c>
      <c r="G239" s="51" t="s">
        <v>879</v>
      </c>
      <c r="H239" s="38" t="s">
        <v>1031</v>
      </c>
      <c r="I239" s="304"/>
      <c r="J239" s="102"/>
      <c r="K239" s="105"/>
      <c r="L239" s="104">
        <v>201991000137</v>
      </c>
      <c r="M239" s="106" t="s">
        <v>309</v>
      </c>
      <c r="N239" s="105">
        <v>1</v>
      </c>
      <c r="O239" s="104">
        <v>302053451271</v>
      </c>
      <c r="P239" s="107">
        <v>7740</v>
      </c>
      <c r="Q239" s="371">
        <v>3795</v>
      </c>
      <c r="R239" s="371">
        <v>1100</v>
      </c>
      <c r="S239" s="52">
        <f t="shared" si="7"/>
        <v>12635</v>
      </c>
    </row>
    <row r="240" spans="1:19" ht="16.5">
      <c r="A240" s="38">
        <f t="shared" si="10"/>
        <v>239</v>
      </c>
      <c r="B240" s="38"/>
      <c r="C240" s="102" t="s">
        <v>802</v>
      </c>
      <c r="D240" s="102" t="s">
        <v>784</v>
      </c>
      <c r="E240" s="103">
        <v>302053396332</v>
      </c>
      <c r="F240" s="104" t="s">
        <v>1037</v>
      </c>
      <c r="G240" s="51" t="s">
        <v>879</v>
      </c>
      <c r="H240" s="38" t="s">
        <v>1031</v>
      </c>
      <c r="I240" s="304"/>
      <c r="J240" s="102"/>
      <c r="K240" s="105"/>
      <c r="L240" s="104">
        <v>201978000046</v>
      </c>
      <c r="M240" s="106" t="s">
        <v>900</v>
      </c>
      <c r="N240" s="105">
        <v>2</v>
      </c>
      <c r="O240" s="104">
        <v>302053451271</v>
      </c>
      <c r="P240" s="107">
        <v>14000</v>
      </c>
      <c r="Q240" s="372"/>
      <c r="R240" s="372"/>
      <c r="S240" s="52">
        <f t="shared" si="7"/>
        <v>14000</v>
      </c>
    </row>
    <row r="241" spans="1:19" ht="16.5">
      <c r="A241" s="38">
        <f t="shared" si="10"/>
        <v>240</v>
      </c>
      <c r="B241" s="38"/>
      <c r="C241" s="102" t="s">
        <v>802</v>
      </c>
      <c r="D241" s="102" t="s">
        <v>784</v>
      </c>
      <c r="E241" s="103">
        <v>302053396332</v>
      </c>
      <c r="F241" s="104" t="s">
        <v>1037</v>
      </c>
      <c r="G241" s="51" t="s">
        <v>879</v>
      </c>
      <c r="H241" s="38" t="s">
        <v>1031</v>
      </c>
      <c r="I241" s="304"/>
      <c r="J241" s="102"/>
      <c r="K241" s="105"/>
      <c r="L241" s="104">
        <v>201991000041</v>
      </c>
      <c r="M241" s="106" t="s">
        <v>356</v>
      </c>
      <c r="N241" s="105">
        <v>2</v>
      </c>
      <c r="O241" s="104">
        <v>302053451271</v>
      </c>
      <c r="P241" s="107">
        <v>9960</v>
      </c>
      <c r="Q241" s="373"/>
      <c r="R241" s="373"/>
      <c r="S241" s="52">
        <f t="shared" si="7"/>
        <v>9960</v>
      </c>
    </row>
    <row r="242" spans="1:19" ht="16.5">
      <c r="A242" s="38">
        <f t="shared" si="10"/>
        <v>241</v>
      </c>
      <c r="B242" s="38"/>
      <c r="C242" s="102" t="s">
        <v>802</v>
      </c>
      <c r="D242" s="102" t="s">
        <v>789</v>
      </c>
      <c r="E242" s="103">
        <v>302053303792</v>
      </c>
      <c r="F242" s="104" t="s">
        <v>1038</v>
      </c>
      <c r="G242" s="51" t="s">
        <v>879</v>
      </c>
      <c r="H242" s="38" t="s">
        <v>1031</v>
      </c>
      <c r="I242" s="304"/>
      <c r="J242" s="102"/>
      <c r="K242" s="105"/>
      <c r="L242" s="104">
        <v>201991000104</v>
      </c>
      <c r="M242" s="106" t="s">
        <v>386</v>
      </c>
      <c r="N242" s="105">
        <v>3</v>
      </c>
      <c r="O242" s="104">
        <v>302053451363</v>
      </c>
      <c r="P242" s="371">
        <v>20360</v>
      </c>
      <c r="Q242" s="371">
        <v>3300</v>
      </c>
      <c r="R242" s="371">
        <v>1540</v>
      </c>
      <c r="S242" s="374">
        <f t="shared" si="7"/>
        <v>25200</v>
      </c>
    </row>
    <row r="243" spans="1:19" ht="16.5">
      <c r="A243" s="38">
        <f t="shared" si="10"/>
        <v>242</v>
      </c>
      <c r="B243" s="38"/>
      <c r="C243" s="102" t="s">
        <v>802</v>
      </c>
      <c r="D243" s="102" t="s">
        <v>789</v>
      </c>
      <c r="E243" s="103">
        <v>302053303792</v>
      </c>
      <c r="F243" s="104" t="s">
        <v>1038</v>
      </c>
      <c r="G243" s="51" t="s">
        <v>879</v>
      </c>
      <c r="H243" s="38" t="s">
        <v>1031</v>
      </c>
      <c r="I243" s="304"/>
      <c r="J243" s="102"/>
      <c r="K243" s="105"/>
      <c r="L243" s="104">
        <v>201991000106</v>
      </c>
      <c r="M243" s="106" t="s">
        <v>791</v>
      </c>
      <c r="N243" s="105">
        <v>3</v>
      </c>
      <c r="O243" s="104">
        <v>302053451363</v>
      </c>
      <c r="P243" s="372"/>
      <c r="Q243" s="372"/>
      <c r="R243" s="372"/>
      <c r="S243" s="375"/>
    </row>
    <row r="244" spans="1:19" ht="16.5">
      <c r="A244" s="38">
        <f t="shared" si="10"/>
        <v>243</v>
      </c>
      <c r="B244" s="38"/>
      <c r="C244" s="102" t="s">
        <v>802</v>
      </c>
      <c r="D244" s="102" t="s">
        <v>789</v>
      </c>
      <c r="E244" s="103">
        <v>302053303792</v>
      </c>
      <c r="F244" s="104" t="s">
        <v>1038</v>
      </c>
      <c r="G244" s="51" t="s">
        <v>879</v>
      </c>
      <c r="H244" s="38" t="s">
        <v>1031</v>
      </c>
      <c r="I244" s="304"/>
      <c r="J244" s="102"/>
      <c r="K244" s="105"/>
      <c r="L244" s="104">
        <v>201991000105</v>
      </c>
      <c r="M244" s="106" t="s">
        <v>932</v>
      </c>
      <c r="N244" s="105">
        <v>3</v>
      </c>
      <c r="O244" s="104">
        <v>302053451363</v>
      </c>
      <c r="P244" s="372"/>
      <c r="Q244" s="372"/>
      <c r="R244" s="372"/>
      <c r="S244" s="375"/>
    </row>
    <row r="245" spans="1:19" ht="16.5">
      <c r="A245" s="38">
        <f t="shared" si="10"/>
        <v>244</v>
      </c>
      <c r="B245" s="38"/>
      <c r="C245" s="102" t="s">
        <v>802</v>
      </c>
      <c r="D245" s="102" t="s">
        <v>789</v>
      </c>
      <c r="E245" s="103">
        <v>302053303792</v>
      </c>
      <c r="F245" s="104" t="s">
        <v>1038</v>
      </c>
      <c r="G245" s="51" t="s">
        <v>879</v>
      </c>
      <c r="H245" s="38" t="s">
        <v>1031</v>
      </c>
      <c r="I245" s="304"/>
      <c r="J245" s="102"/>
      <c r="K245" s="105"/>
      <c r="L245" s="104">
        <v>201991000107</v>
      </c>
      <c r="M245" s="106" t="s">
        <v>559</v>
      </c>
      <c r="N245" s="105">
        <v>3</v>
      </c>
      <c r="O245" s="104">
        <v>302053451363</v>
      </c>
      <c r="P245" s="372"/>
      <c r="Q245" s="372"/>
      <c r="R245" s="372"/>
      <c r="S245" s="375"/>
    </row>
    <row r="246" spans="1:19" ht="16.5">
      <c r="A246" s="38">
        <f t="shared" si="10"/>
        <v>245</v>
      </c>
      <c r="B246" s="38"/>
      <c r="C246" s="102" t="s">
        <v>802</v>
      </c>
      <c r="D246" s="102" t="s">
        <v>789</v>
      </c>
      <c r="E246" s="103">
        <v>302053303792</v>
      </c>
      <c r="F246" s="104" t="s">
        <v>1038</v>
      </c>
      <c r="G246" s="51" t="s">
        <v>879</v>
      </c>
      <c r="H246" s="38" t="s">
        <v>1031</v>
      </c>
      <c r="I246" s="304"/>
      <c r="J246" s="102"/>
      <c r="K246" s="105"/>
      <c r="L246" s="104">
        <v>201991000109</v>
      </c>
      <c r="M246" s="106" t="s">
        <v>829</v>
      </c>
      <c r="N246" s="105">
        <v>3</v>
      </c>
      <c r="O246" s="104">
        <v>302053451363</v>
      </c>
      <c r="P246" s="372"/>
      <c r="Q246" s="372"/>
      <c r="R246" s="372"/>
      <c r="S246" s="375"/>
    </row>
    <row r="247" spans="1:19" ht="16.5">
      <c r="A247" s="38">
        <f t="shared" si="10"/>
        <v>246</v>
      </c>
      <c r="B247" s="38"/>
      <c r="C247" s="102" t="s">
        <v>802</v>
      </c>
      <c r="D247" s="102" t="s">
        <v>789</v>
      </c>
      <c r="E247" s="103">
        <v>302053303792</v>
      </c>
      <c r="F247" s="104" t="s">
        <v>1038</v>
      </c>
      <c r="G247" s="51" t="s">
        <v>879</v>
      </c>
      <c r="H247" s="38" t="s">
        <v>1031</v>
      </c>
      <c r="I247" s="304"/>
      <c r="J247" s="102"/>
      <c r="K247" s="105"/>
      <c r="L247" s="104">
        <v>201991000108</v>
      </c>
      <c r="M247" s="106" t="s">
        <v>837</v>
      </c>
      <c r="N247" s="105">
        <v>3</v>
      </c>
      <c r="O247" s="104">
        <v>302053451363</v>
      </c>
      <c r="P247" s="373"/>
      <c r="Q247" s="373"/>
      <c r="R247" s="373"/>
      <c r="S247" s="376"/>
    </row>
    <row r="248" spans="1:19" ht="16.5">
      <c r="A248" s="38">
        <f t="shared" si="10"/>
        <v>247</v>
      </c>
      <c r="B248" s="38"/>
      <c r="C248" s="102" t="s">
        <v>802</v>
      </c>
      <c r="D248" s="102" t="s">
        <v>773</v>
      </c>
      <c r="E248" s="103">
        <v>302039808481</v>
      </c>
      <c r="F248" s="104" t="s">
        <v>1039</v>
      </c>
      <c r="G248" s="51" t="s">
        <v>879</v>
      </c>
      <c r="H248" s="38" t="s">
        <v>1031</v>
      </c>
      <c r="I248" s="304"/>
      <c r="J248" s="102"/>
      <c r="K248" s="105"/>
      <c r="L248" s="104">
        <v>201978000041</v>
      </c>
      <c r="M248" s="106" t="s">
        <v>302</v>
      </c>
      <c r="N248" s="105">
        <v>3</v>
      </c>
      <c r="O248" s="104">
        <v>302040021723</v>
      </c>
      <c r="P248" s="107">
        <v>27900</v>
      </c>
      <c r="Q248" s="107">
        <v>3245</v>
      </c>
      <c r="R248" s="108">
        <v>1485</v>
      </c>
      <c r="S248" s="52">
        <f t="shared" si="7"/>
        <v>32630</v>
      </c>
    </row>
    <row r="249" spans="1:19" ht="16.5">
      <c r="A249" s="38">
        <f t="shared" si="10"/>
        <v>248</v>
      </c>
      <c r="B249" s="38"/>
      <c r="C249" s="102" t="s">
        <v>808</v>
      </c>
      <c r="D249" s="102" t="s">
        <v>883</v>
      </c>
      <c r="E249" s="103">
        <v>302053271345</v>
      </c>
      <c r="F249" s="104" t="s">
        <v>1040</v>
      </c>
      <c r="G249" s="51" t="s">
        <v>879</v>
      </c>
      <c r="H249" s="38" t="s">
        <v>1031</v>
      </c>
      <c r="I249" s="304"/>
      <c r="J249" s="102"/>
      <c r="K249" s="105"/>
      <c r="L249" s="104">
        <v>201978000068</v>
      </c>
      <c r="M249" s="106" t="s">
        <v>401</v>
      </c>
      <c r="N249" s="105">
        <v>10</v>
      </c>
      <c r="O249" s="104" t="s">
        <v>796</v>
      </c>
      <c r="P249" s="107">
        <v>39900</v>
      </c>
      <c r="Q249" s="107">
        <v>2750</v>
      </c>
      <c r="R249" s="108">
        <v>1595</v>
      </c>
      <c r="S249" s="52">
        <f t="shared" si="7"/>
        <v>44245</v>
      </c>
    </row>
    <row r="250" spans="1:19" ht="16.5">
      <c r="A250" s="38">
        <f t="shared" si="10"/>
        <v>249</v>
      </c>
      <c r="B250" s="38"/>
      <c r="C250" s="102" t="s">
        <v>808</v>
      </c>
      <c r="D250" s="102" t="s">
        <v>774</v>
      </c>
      <c r="E250" s="103">
        <v>302053239112</v>
      </c>
      <c r="F250" s="104" t="s">
        <v>1041</v>
      </c>
      <c r="G250" s="51" t="s">
        <v>879</v>
      </c>
      <c r="H250" s="38" t="s">
        <v>1031</v>
      </c>
      <c r="I250" s="304"/>
      <c r="J250" s="102"/>
      <c r="K250" s="105"/>
      <c r="L250" s="104">
        <v>201978000045</v>
      </c>
      <c r="M250" s="106" t="s">
        <v>398</v>
      </c>
      <c r="N250" s="105">
        <v>1</v>
      </c>
      <c r="O250" s="104" t="s">
        <v>796</v>
      </c>
      <c r="P250" s="371">
        <v>12900</v>
      </c>
      <c r="Q250" s="371">
        <v>3245</v>
      </c>
      <c r="R250" s="371">
        <v>1485</v>
      </c>
      <c r="S250" s="374">
        <f t="shared" si="7"/>
        <v>17630</v>
      </c>
    </row>
    <row r="251" spans="1:19" ht="16.5">
      <c r="A251" s="38">
        <f t="shared" si="10"/>
        <v>250</v>
      </c>
      <c r="B251" s="38"/>
      <c r="C251" s="102" t="s">
        <v>808</v>
      </c>
      <c r="D251" s="102" t="s">
        <v>774</v>
      </c>
      <c r="E251" s="103">
        <v>302053239112</v>
      </c>
      <c r="F251" s="104" t="s">
        <v>1041</v>
      </c>
      <c r="G251" s="51" t="s">
        <v>879</v>
      </c>
      <c r="H251" s="38" t="s">
        <v>1031</v>
      </c>
      <c r="I251" s="304"/>
      <c r="J251" s="102"/>
      <c r="K251" s="105"/>
      <c r="L251" s="104">
        <v>201978000041</v>
      </c>
      <c r="M251" s="106" t="s">
        <v>302</v>
      </c>
      <c r="N251" s="105">
        <v>1</v>
      </c>
      <c r="O251" s="104" t="s">
        <v>796</v>
      </c>
      <c r="P251" s="373"/>
      <c r="Q251" s="373"/>
      <c r="R251" s="373"/>
      <c r="S251" s="376"/>
    </row>
    <row r="252" spans="1:19" ht="16.5">
      <c r="A252" s="38">
        <f t="shared" si="10"/>
        <v>251</v>
      </c>
      <c r="B252" s="38"/>
      <c r="C252" s="102" t="s">
        <v>808</v>
      </c>
      <c r="D252" s="102" t="s">
        <v>793</v>
      </c>
      <c r="E252" s="103">
        <v>302039733780</v>
      </c>
      <c r="F252" s="104" t="s">
        <v>1042</v>
      </c>
      <c r="G252" s="51" t="s">
        <v>879</v>
      </c>
      <c r="H252" s="38" t="s">
        <v>1031</v>
      </c>
      <c r="I252" s="304"/>
      <c r="J252" s="102"/>
      <c r="K252" s="105"/>
      <c r="L252" s="104">
        <v>201978000041</v>
      </c>
      <c r="M252" s="106" t="s">
        <v>302</v>
      </c>
      <c r="N252" s="105">
        <v>2</v>
      </c>
      <c r="O252" s="104">
        <v>302040186842</v>
      </c>
      <c r="P252" s="107">
        <v>18900</v>
      </c>
      <c r="Q252" s="107">
        <v>2750</v>
      </c>
      <c r="R252" s="108">
        <v>1485</v>
      </c>
      <c r="S252" s="52">
        <f t="shared" si="7"/>
        <v>23135</v>
      </c>
    </row>
    <row r="253" spans="1:19" ht="16.5">
      <c r="A253" s="38">
        <f t="shared" si="10"/>
        <v>252</v>
      </c>
      <c r="B253" s="38"/>
      <c r="C253" s="102" t="s">
        <v>808</v>
      </c>
      <c r="D253" s="102" t="s">
        <v>793</v>
      </c>
      <c r="E253" s="103">
        <v>302039732730</v>
      </c>
      <c r="F253" s="104" t="s">
        <v>1043</v>
      </c>
      <c r="G253" s="51" t="s">
        <v>879</v>
      </c>
      <c r="H253" s="38" t="s">
        <v>1031</v>
      </c>
      <c r="I253" s="304"/>
      <c r="J253" s="102"/>
      <c r="K253" s="105"/>
      <c r="L253" s="104">
        <v>201978000041</v>
      </c>
      <c r="M253" s="106" t="s">
        <v>302</v>
      </c>
      <c r="N253" s="105">
        <v>2</v>
      </c>
      <c r="O253" s="104">
        <v>302040186886</v>
      </c>
      <c r="P253" s="107">
        <v>18900</v>
      </c>
      <c r="Q253" s="107">
        <v>3245</v>
      </c>
      <c r="R253" s="108">
        <v>1485</v>
      </c>
      <c r="S253" s="52">
        <f t="shared" si="7"/>
        <v>23630</v>
      </c>
    </row>
    <row r="254" spans="1:19" ht="16.5">
      <c r="A254" s="38">
        <f t="shared" si="10"/>
        <v>253</v>
      </c>
      <c r="B254" s="38"/>
      <c r="C254" s="102" t="s">
        <v>808</v>
      </c>
      <c r="D254" s="102" t="s">
        <v>802</v>
      </c>
      <c r="E254" s="103">
        <v>302040007723</v>
      </c>
      <c r="F254" s="104" t="s">
        <v>1044</v>
      </c>
      <c r="G254" s="51" t="s">
        <v>879</v>
      </c>
      <c r="H254" s="38" t="s">
        <v>1031</v>
      </c>
      <c r="I254" s="304"/>
      <c r="J254" s="102"/>
      <c r="K254" s="105"/>
      <c r="L254" s="104">
        <v>202008000058</v>
      </c>
      <c r="M254" s="106" t="s">
        <v>315</v>
      </c>
      <c r="N254" s="105">
        <v>6</v>
      </c>
      <c r="O254" s="104">
        <v>302053530905</v>
      </c>
      <c r="P254" s="107">
        <v>20900</v>
      </c>
      <c r="Q254" s="107">
        <v>2750</v>
      </c>
      <c r="R254" s="108">
        <v>1485</v>
      </c>
      <c r="S254" s="52">
        <f t="shared" si="7"/>
        <v>25135</v>
      </c>
    </row>
    <row r="255" spans="1:19" ht="16.5">
      <c r="A255" s="38">
        <f t="shared" si="10"/>
        <v>254</v>
      </c>
      <c r="B255" s="38"/>
      <c r="C255" s="102" t="s">
        <v>808</v>
      </c>
      <c r="D255" s="102" t="s">
        <v>802</v>
      </c>
      <c r="E255" s="103">
        <v>302040002742</v>
      </c>
      <c r="F255" s="104" t="s">
        <v>1045</v>
      </c>
      <c r="G255" s="51" t="s">
        <v>879</v>
      </c>
      <c r="H255" s="38" t="s">
        <v>1031</v>
      </c>
      <c r="I255" s="304"/>
      <c r="J255" s="102"/>
      <c r="K255" s="105"/>
      <c r="L255" s="104">
        <v>202008000058</v>
      </c>
      <c r="M255" s="106" t="s">
        <v>315</v>
      </c>
      <c r="N255" s="105">
        <v>6</v>
      </c>
      <c r="O255" s="104">
        <v>302053523522</v>
      </c>
      <c r="P255" s="107">
        <v>20900</v>
      </c>
      <c r="Q255" s="107">
        <v>2750</v>
      </c>
      <c r="R255" s="108">
        <v>1485</v>
      </c>
      <c r="S255" s="52">
        <f t="shared" si="7"/>
        <v>25135</v>
      </c>
    </row>
    <row r="256" spans="1:19" ht="16.5">
      <c r="A256" s="38">
        <f t="shared" si="10"/>
        <v>255</v>
      </c>
      <c r="B256" s="38"/>
      <c r="C256" s="102" t="s">
        <v>810</v>
      </c>
      <c r="D256" s="102" t="s">
        <v>784</v>
      </c>
      <c r="E256" s="103">
        <v>302053396170</v>
      </c>
      <c r="F256" s="104" t="s">
        <v>1046</v>
      </c>
      <c r="G256" s="51" t="s">
        <v>879</v>
      </c>
      <c r="H256" s="38" t="s">
        <v>1031</v>
      </c>
      <c r="I256" s="304"/>
      <c r="J256" s="102"/>
      <c r="K256" s="105"/>
      <c r="L256" s="104">
        <v>201991000074</v>
      </c>
      <c r="M256" s="106" t="s">
        <v>1047</v>
      </c>
      <c r="N256" s="105">
        <v>3</v>
      </c>
      <c r="O256" s="104">
        <v>302053560224</v>
      </c>
      <c r="P256" s="107">
        <v>24830</v>
      </c>
      <c r="Q256" s="107">
        <v>3795</v>
      </c>
      <c r="R256" s="108">
        <v>1540</v>
      </c>
      <c r="S256" s="52">
        <f t="shared" si="7"/>
        <v>30165</v>
      </c>
    </row>
    <row r="257" spans="1:19" ht="16.5">
      <c r="A257" s="38">
        <f t="shared" si="10"/>
        <v>256</v>
      </c>
      <c r="B257" s="38"/>
      <c r="C257" s="102" t="s">
        <v>810</v>
      </c>
      <c r="D257" s="102" t="s">
        <v>773</v>
      </c>
      <c r="E257" s="103">
        <v>302053367573</v>
      </c>
      <c r="F257" s="104" t="s">
        <v>1048</v>
      </c>
      <c r="G257" s="51" t="s">
        <v>879</v>
      </c>
      <c r="H257" s="38" t="s">
        <v>1031</v>
      </c>
      <c r="I257" s="304"/>
      <c r="J257" s="102"/>
      <c r="K257" s="105"/>
      <c r="L257" s="104">
        <v>201987000165</v>
      </c>
      <c r="M257" s="106" t="s">
        <v>318</v>
      </c>
      <c r="N257" s="105">
        <v>4</v>
      </c>
      <c r="O257" s="104">
        <v>302053560305</v>
      </c>
      <c r="P257" s="107">
        <v>14000</v>
      </c>
      <c r="Q257" s="107">
        <v>3245</v>
      </c>
      <c r="R257" s="108">
        <v>1320</v>
      </c>
      <c r="S257" s="52">
        <f t="shared" si="7"/>
        <v>18565</v>
      </c>
    </row>
    <row r="258" spans="1:19" ht="16.5">
      <c r="A258" s="38">
        <f t="shared" si="10"/>
        <v>257</v>
      </c>
      <c r="B258" s="38"/>
      <c r="C258" s="102" t="s">
        <v>810</v>
      </c>
      <c r="D258" s="102" t="s">
        <v>802</v>
      </c>
      <c r="E258" s="103">
        <v>302040018816</v>
      </c>
      <c r="F258" s="104" t="s">
        <v>1049</v>
      </c>
      <c r="G258" s="51" t="s">
        <v>879</v>
      </c>
      <c r="H258" s="38" t="s">
        <v>1031</v>
      </c>
      <c r="I258" s="304"/>
      <c r="J258" s="102"/>
      <c r="K258" s="105"/>
      <c r="L258" s="104">
        <v>201978000041</v>
      </c>
      <c r="M258" s="106" t="s">
        <v>302</v>
      </c>
      <c r="N258" s="105">
        <v>10</v>
      </c>
      <c r="O258" s="104">
        <v>302053556691</v>
      </c>
      <c r="P258" s="107">
        <v>100000</v>
      </c>
      <c r="Q258" s="107">
        <v>6215</v>
      </c>
      <c r="R258" s="108">
        <v>2310</v>
      </c>
      <c r="S258" s="52">
        <f t="shared" si="7"/>
        <v>108525</v>
      </c>
    </row>
    <row r="259" spans="1:19" ht="16.5">
      <c r="A259" s="38">
        <f t="shared" si="10"/>
        <v>258</v>
      </c>
      <c r="B259" s="38"/>
      <c r="C259" s="102" t="s">
        <v>810</v>
      </c>
      <c r="D259" s="102" t="s">
        <v>773</v>
      </c>
      <c r="E259" s="103">
        <v>302053356701</v>
      </c>
      <c r="F259" s="104" t="s">
        <v>1050</v>
      </c>
      <c r="G259" s="51" t="s">
        <v>879</v>
      </c>
      <c r="H259" s="38" t="s">
        <v>1031</v>
      </c>
      <c r="I259" s="304"/>
      <c r="J259" s="102"/>
      <c r="K259" s="105"/>
      <c r="L259" s="104">
        <v>201987000165</v>
      </c>
      <c r="M259" s="106" t="s">
        <v>318</v>
      </c>
      <c r="N259" s="105">
        <v>2</v>
      </c>
      <c r="O259" s="104">
        <v>302053560375</v>
      </c>
      <c r="P259" s="107">
        <v>7000</v>
      </c>
      <c r="Q259" s="107">
        <v>2750</v>
      </c>
      <c r="R259" s="108">
        <v>1320</v>
      </c>
      <c r="S259" s="52">
        <f t="shared" si="7"/>
        <v>11070</v>
      </c>
    </row>
    <row r="260" spans="1:19" ht="16.5">
      <c r="A260" s="38">
        <f t="shared" si="10"/>
        <v>259</v>
      </c>
      <c r="B260" s="38"/>
      <c r="C260" s="102" t="s">
        <v>810</v>
      </c>
      <c r="D260" s="102" t="s">
        <v>802</v>
      </c>
      <c r="E260" s="103">
        <v>302040005155</v>
      </c>
      <c r="F260" s="104" t="s">
        <v>1004</v>
      </c>
      <c r="G260" s="51" t="s">
        <v>879</v>
      </c>
      <c r="H260" s="38" t="s">
        <v>1031</v>
      </c>
      <c r="I260" s="304"/>
      <c r="J260" s="102"/>
      <c r="K260" s="105"/>
      <c r="L260" s="104">
        <v>202008000058</v>
      </c>
      <c r="M260" s="106" t="s">
        <v>315</v>
      </c>
      <c r="N260" s="105">
        <v>8</v>
      </c>
      <c r="O260" s="104" t="s">
        <v>796</v>
      </c>
      <c r="P260" s="107">
        <v>26900</v>
      </c>
      <c r="Q260" s="107">
        <v>2750</v>
      </c>
      <c r="R260" s="108">
        <v>1595</v>
      </c>
      <c r="S260" s="52">
        <f t="shared" si="7"/>
        <v>31245</v>
      </c>
    </row>
    <row r="261" spans="1:19" ht="16.5">
      <c r="A261" s="38">
        <f t="shared" si="10"/>
        <v>260</v>
      </c>
      <c r="B261" s="38"/>
      <c r="C261" s="102" t="s">
        <v>816</v>
      </c>
      <c r="D261" s="102" t="s">
        <v>773</v>
      </c>
      <c r="E261" s="103">
        <v>302053355964</v>
      </c>
      <c r="F261" s="104" t="s">
        <v>1051</v>
      </c>
      <c r="G261" s="51" t="s">
        <v>879</v>
      </c>
      <c r="H261" s="38" t="s">
        <v>1031</v>
      </c>
      <c r="I261" s="304"/>
      <c r="J261" s="102"/>
      <c r="K261" s="105"/>
      <c r="L261" s="104">
        <v>201978000073</v>
      </c>
      <c r="M261" s="106" t="s">
        <v>941</v>
      </c>
      <c r="N261" s="105">
        <v>3</v>
      </c>
      <c r="O261" s="104">
        <v>302053607441</v>
      </c>
      <c r="P261" s="107">
        <v>24010</v>
      </c>
      <c r="Q261" s="107">
        <v>3245</v>
      </c>
      <c r="R261" s="108">
        <v>1320</v>
      </c>
      <c r="S261" s="52">
        <f t="shared" si="7"/>
        <v>28575</v>
      </c>
    </row>
    <row r="262" spans="1:19" ht="16.5">
      <c r="A262" s="38">
        <f t="shared" si="10"/>
        <v>261</v>
      </c>
      <c r="B262" s="38"/>
      <c r="C262" s="102" t="s">
        <v>816</v>
      </c>
      <c r="D262" s="102" t="s">
        <v>773</v>
      </c>
      <c r="E262" s="103">
        <v>302053357040</v>
      </c>
      <c r="F262" s="104" t="s">
        <v>1052</v>
      </c>
      <c r="G262" s="51" t="s">
        <v>879</v>
      </c>
      <c r="H262" s="38" t="s">
        <v>1031</v>
      </c>
      <c r="I262" s="304"/>
      <c r="J262" s="102"/>
      <c r="K262" s="105"/>
      <c r="L262" s="104">
        <v>201987000165</v>
      </c>
      <c r="M262" s="106" t="s">
        <v>318</v>
      </c>
      <c r="N262" s="105">
        <v>6</v>
      </c>
      <c r="O262" s="104">
        <v>302053607566</v>
      </c>
      <c r="P262" s="107">
        <v>19530</v>
      </c>
      <c r="Q262" s="107">
        <v>3795</v>
      </c>
      <c r="R262" s="108">
        <v>1540</v>
      </c>
      <c r="S262" s="52">
        <f t="shared" si="7"/>
        <v>24865</v>
      </c>
    </row>
    <row r="263" spans="1:19" ht="16.5">
      <c r="A263" s="38">
        <f t="shared" si="10"/>
        <v>262</v>
      </c>
      <c r="B263" s="38"/>
      <c r="C263" s="102" t="s">
        <v>816</v>
      </c>
      <c r="D263" s="102" t="s">
        <v>802</v>
      </c>
      <c r="E263" s="103">
        <v>302040001305</v>
      </c>
      <c r="F263" s="104" t="s">
        <v>1053</v>
      </c>
      <c r="G263" s="51" t="s">
        <v>879</v>
      </c>
      <c r="H263" s="38" t="s">
        <v>1031</v>
      </c>
      <c r="I263" s="304"/>
      <c r="J263" s="102"/>
      <c r="K263" s="105"/>
      <c r="L263" s="104">
        <v>202008000058</v>
      </c>
      <c r="M263" s="106" t="s">
        <v>315</v>
      </c>
      <c r="N263" s="105">
        <v>8</v>
      </c>
      <c r="O263" s="104">
        <v>302040403654</v>
      </c>
      <c r="P263" s="107">
        <v>26900</v>
      </c>
      <c r="Q263" s="107">
        <v>2750</v>
      </c>
      <c r="R263" s="108">
        <v>1595</v>
      </c>
      <c r="S263" s="52">
        <f t="shared" si="7"/>
        <v>31245</v>
      </c>
    </row>
    <row r="264" spans="1:19" ht="16.5">
      <c r="A264" s="38">
        <f t="shared" si="10"/>
        <v>263</v>
      </c>
      <c r="B264" s="38"/>
      <c r="C264" s="102" t="s">
        <v>825</v>
      </c>
      <c r="D264" s="102" t="s">
        <v>810</v>
      </c>
      <c r="E264" s="103">
        <v>302040260821</v>
      </c>
      <c r="F264" s="104" t="s">
        <v>1054</v>
      </c>
      <c r="G264" s="51" t="s">
        <v>879</v>
      </c>
      <c r="H264" s="38" t="s">
        <v>1031</v>
      </c>
      <c r="I264" s="304"/>
      <c r="J264" s="102"/>
      <c r="K264" s="105"/>
      <c r="L264" s="104">
        <v>202008000058</v>
      </c>
      <c r="M264" s="106" t="s">
        <v>315</v>
      </c>
      <c r="N264" s="105">
        <v>8</v>
      </c>
      <c r="O264" s="104">
        <v>302040602082</v>
      </c>
      <c r="P264" s="107">
        <v>26500</v>
      </c>
      <c r="Q264" s="107">
        <v>2750</v>
      </c>
      <c r="R264" s="108">
        <v>1595</v>
      </c>
      <c r="S264" s="52">
        <f t="shared" si="7"/>
        <v>30845</v>
      </c>
    </row>
    <row r="265" spans="1:19" ht="16.5">
      <c r="A265" s="38">
        <f t="shared" si="10"/>
        <v>264</v>
      </c>
      <c r="B265" s="38"/>
      <c r="C265" s="102" t="s">
        <v>825</v>
      </c>
      <c r="D265" s="102" t="s">
        <v>810</v>
      </c>
      <c r="E265" s="103">
        <v>302040255523</v>
      </c>
      <c r="F265" s="104" t="s">
        <v>1055</v>
      </c>
      <c r="G265" s="51" t="s">
        <v>879</v>
      </c>
      <c r="H265" s="38" t="s">
        <v>1031</v>
      </c>
      <c r="I265" s="304"/>
      <c r="J265" s="102"/>
      <c r="K265" s="105"/>
      <c r="L265" s="104">
        <v>201978000068</v>
      </c>
      <c r="M265" s="106" t="s">
        <v>401</v>
      </c>
      <c r="N265" s="105">
        <v>8</v>
      </c>
      <c r="O265" s="104">
        <v>302040602093</v>
      </c>
      <c r="P265" s="371">
        <v>25900</v>
      </c>
      <c r="Q265" s="371">
        <v>2750</v>
      </c>
      <c r="R265" s="371">
        <v>1320</v>
      </c>
      <c r="S265" s="374">
        <f t="shared" si="7"/>
        <v>29970</v>
      </c>
    </row>
    <row r="266" spans="1:19" ht="16.5">
      <c r="A266" s="38">
        <f t="shared" si="10"/>
        <v>265</v>
      </c>
      <c r="B266" s="38"/>
      <c r="C266" s="102" t="s">
        <v>825</v>
      </c>
      <c r="D266" s="102" t="s">
        <v>810</v>
      </c>
      <c r="E266" s="103">
        <v>302040255523</v>
      </c>
      <c r="F266" s="104" t="s">
        <v>1055</v>
      </c>
      <c r="G266" s="51" t="s">
        <v>879</v>
      </c>
      <c r="H266" s="38" t="s">
        <v>1031</v>
      </c>
      <c r="I266" s="304"/>
      <c r="J266" s="102"/>
      <c r="K266" s="105"/>
      <c r="L266" s="104">
        <v>201987000207</v>
      </c>
      <c r="M266" s="106" t="s">
        <v>783</v>
      </c>
      <c r="N266" s="105">
        <v>1</v>
      </c>
      <c r="O266" s="104">
        <v>302040602093</v>
      </c>
      <c r="P266" s="373"/>
      <c r="Q266" s="373"/>
      <c r="R266" s="373"/>
      <c r="S266" s="376"/>
    </row>
    <row r="267" spans="1:19" ht="16.5">
      <c r="A267" s="38">
        <f t="shared" si="10"/>
        <v>266</v>
      </c>
      <c r="B267" s="38"/>
      <c r="C267" s="102" t="s">
        <v>825</v>
      </c>
      <c r="D267" s="102" t="s">
        <v>802</v>
      </c>
      <c r="E267" s="103">
        <v>302053452181</v>
      </c>
      <c r="F267" s="104" t="s">
        <v>1056</v>
      </c>
      <c r="G267" s="51" t="s">
        <v>879</v>
      </c>
      <c r="H267" s="38" t="s">
        <v>1031</v>
      </c>
      <c r="I267" s="304"/>
      <c r="J267" s="102"/>
      <c r="K267" s="105"/>
      <c r="L267" s="104">
        <v>201978000068</v>
      </c>
      <c r="M267" s="106" t="s">
        <v>401</v>
      </c>
      <c r="N267" s="105">
        <v>10</v>
      </c>
      <c r="O267" s="104">
        <v>302053790071</v>
      </c>
      <c r="P267" s="107">
        <v>39900</v>
      </c>
      <c r="Q267" s="107">
        <v>2750</v>
      </c>
      <c r="R267" s="108">
        <v>1595</v>
      </c>
      <c r="S267" s="52">
        <f t="shared" si="7"/>
        <v>44245</v>
      </c>
    </row>
    <row r="268" spans="1:19" ht="16.5">
      <c r="A268" s="38">
        <f t="shared" si="10"/>
        <v>267</v>
      </c>
      <c r="B268" s="38"/>
      <c r="C268" s="102" t="s">
        <v>825</v>
      </c>
      <c r="D268" s="102" t="s">
        <v>808</v>
      </c>
      <c r="E268" s="103">
        <v>302040185372</v>
      </c>
      <c r="F268" s="104" t="s">
        <v>1057</v>
      </c>
      <c r="G268" s="51" t="s">
        <v>879</v>
      </c>
      <c r="H268" s="38" t="s">
        <v>1031</v>
      </c>
      <c r="I268" s="304"/>
      <c r="J268" s="102"/>
      <c r="K268" s="105"/>
      <c r="L268" s="104">
        <v>201978000041</v>
      </c>
      <c r="M268" s="106" t="s">
        <v>302</v>
      </c>
      <c r="N268" s="105">
        <v>4</v>
      </c>
      <c r="O268" s="104">
        <v>302040638655</v>
      </c>
      <c r="P268" s="107">
        <v>35690</v>
      </c>
      <c r="Q268" s="107">
        <v>2750</v>
      </c>
      <c r="R268" s="108">
        <v>1485</v>
      </c>
      <c r="S268" s="52">
        <f t="shared" si="7"/>
        <v>39925</v>
      </c>
    </row>
    <row r="269" spans="1:19" ht="16.5">
      <c r="A269" s="38">
        <f t="shared" si="10"/>
        <v>268</v>
      </c>
      <c r="B269" s="38"/>
      <c r="C269" s="102" t="s">
        <v>825</v>
      </c>
      <c r="D269" s="102" t="s">
        <v>816</v>
      </c>
      <c r="E269" s="103">
        <v>302053582926</v>
      </c>
      <c r="F269" s="104" t="s">
        <v>1058</v>
      </c>
      <c r="G269" s="51" t="s">
        <v>879</v>
      </c>
      <c r="H269" s="38" t="s">
        <v>1031</v>
      </c>
      <c r="I269" s="304"/>
      <c r="J269" s="102"/>
      <c r="K269" s="105"/>
      <c r="L269" s="104">
        <v>201978000043</v>
      </c>
      <c r="M269" s="106" t="s">
        <v>344</v>
      </c>
      <c r="N269" s="105">
        <v>4</v>
      </c>
      <c r="O269" s="104">
        <v>302053788973</v>
      </c>
      <c r="P269" s="107">
        <v>8000</v>
      </c>
      <c r="Q269" s="107">
        <v>2750</v>
      </c>
      <c r="R269" s="108">
        <v>1485</v>
      </c>
      <c r="S269" s="52">
        <f t="shared" si="7"/>
        <v>12235</v>
      </c>
    </row>
    <row r="270" spans="1:19" ht="68.25">
      <c r="A270" s="38">
        <f t="shared" si="10"/>
        <v>269</v>
      </c>
      <c r="B270" s="38"/>
      <c r="C270" s="102" t="s">
        <v>864</v>
      </c>
      <c r="D270" s="102" t="s">
        <v>808</v>
      </c>
      <c r="E270" s="103">
        <v>302040089833</v>
      </c>
      <c r="F270" s="104" t="s">
        <v>1059</v>
      </c>
      <c r="G270" s="51" t="s">
        <v>879</v>
      </c>
      <c r="H270" s="38" t="s">
        <v>1031</v>
      </c>
      <c r="I270" s="304"/>
      <c r="J270" s="102"/>
      <c r="K270" s="105"/>
      <c r="L270" s="104">
        <v>201987000293</v>
      </c>
      <c r="M270" s="106" t="s">
        <v>866</v>
      </c>
      <c r="N270" s="105">
        <v>1</v>
      </c>
      <c r="O270" s="104">
        <v>302040702823</v>
      </c>
      <c r="P270" s="107">
        <v>50000</v>
      </c>
      <c r="Q270" s="107">
        <v>3300</v>
      </c>
      <c r="R270" s="108">
        <v>1375</v>
      </c>
      <c r="S270" s="52">
        <f t="shared" si="7"/>
        <v>54675</v>
      </c>
    </row>
    <row r="271" spans="1:19" ht="16.5">
      <c r="A271" s="38">
        <f t="shared" si="10"/>
        <v>270</v>
      </c>
      <c r="B271" s="38"/>
      <c r="C271" s="102" t="s">
        <v>831</v>
      </c>
      <c r="D271" s="102" t="s">
        <v>802</v>
      </c>
      <c r="E271" s="103">
        <v>302040003943</v>
      </c>
      <c r="F271" s="104" t="s">
        <v>1060</v>
      </c>
      <c r="G271" s="51" t="s">
        <v>879</v>
      </c>
      <c r="H271" s="38" t="s">
        <v>1031</v>
      </c>
      <c r="I271" s="304"/>
      <c r="J271" s="102"/>
      <c r="K271" s="105"/>
      <c r="L271" s="104">
        <v>202008000058</v>
      </c>
      <c r="M271" s="106" t="s">
        <v>315</v>
      </c>
      <c r="N271" s="105">
        <v>8</v>
      </c>
      <c r="O271" s="104">
        <v>302040759556</v>
      </c>
      <c r="P271" s="107">
        <v>26900</v>
      </c>
      <c r="Q271" s="107">
        <v>2750</v>
      </c>
      <c r="R271" s="108">
        <v>1485</v>
      </c>
      <c r="S271" s="52">
        <f t="shared" si="7"/>
        <v>31135</v>
      </c>
    </row>
    <row r="272" spans="1:19" ht="16.5">
      <c r="A272" s="38">
        <f t="shared" si="10"/>
        <v>271</v>
      </c>
      <c r="B272" s="38"/>
      <c r="C272" s="102" t="s">
        <v>831</v>
      </c>
      <c r="D272" s="102" t="s">
        <v>810</v>
      </c>
      <c r="E272" s="103">
        <v>302040254860</v>
      </c>
      <c r="F272" s="104" t="s">
        <v>1061</v>
      </c>
      <c r="G272" s="51" t="s">
        <v>879</v>
      </c>
      <c r="H272" s="38" t="s">
        <v>1031</v>
      </c>
      <c r="I272" s="304"/>
      <c r="J272" s="102"/>
      <c r="K272" s="105"/>
      <c r="L272" s="104">
        <v>202008000058</v>
      </c>
      <c r="M272" s="106" t="s">
        <v>315</v>
      </c>
      <c r="N272" s="105">
        <v>8</v>
      </c>
      <c r="O272" s="104">
        <v>302040759571</v>
      </c>
      <c r="P272" s="107">
        <v>26500</v>
      </c>
      <c r="Q272" s="107">
        <v>2750</v>
      </c>
      <c r="R272" s="108">
        <v>1595</v>
      </c>
      <c r="S272" s="52">
        <f t="shared" si="7"/>
        <v>30845</v>
      </c>
    </row>
    <row r="273" spans="1:19" ht="16.5">
      <c r="A273" s="38">
        <f t="shared" si="10"/>
        <v>272</v>
      </c>
      <c r="B273" s="38"/>
      <c r="C273" s="102" t="s">
        <v>831</v>
      </c>
      <c r="D273" s="102" t="s">
        <v>816</v>
      </c>
      <c r="E273" s="103">
        <v>302040367184</v>
      </c>
      <c r="F273" s="104" t="s">
        <v>1062</v>
      </c>
      <c r="G273" s="51" t="s">
        <v>879</v>
      </c>
      <c r="H273" s="38" t="s">
        <v>1031</v>
      </c>
      <c r="I273" s="304"/>
      <c r="J273" s="102"/>
      <c r="K273" s="105"/>
      <c r="L273" s="104">
        <v>201978000041</v>
      </c>
      <c r="M273" s="106" t="s">
        <v>302</v>
      </c>
      <c r="N273" s="105">
        <v>2</v>
      </c>
      <c r="O273" s="104">
        <v>302040759582</v>
      </c>
      <c r="P273" s="371">
        <v>19900</v>
      </c>
      <c r="Q273" s="371">
        <v>2750</v>
      </c>
      <c r="R273" s="371">
        <v>1485</v>
      </c>
      <c r="S273" s="374">
        <f t="shared" si="7"/>
        <v>24135</v>
      </c>
    </row>
    <row r="274" spans="1:19" ht="16.5">
      <c r="A274" s="38">
        <f t="shared" si="10"/>
        <v>273</v>
      </c>
      <c r="B274" s="38"/>
      <c r="C274" s="102" t="s">
        <v>831</v>
      </c>
      <c r="D274" s="102" t="s">
        <v>816</v>
      </c>
      <c r="E274" s="103">
        <v>302040367184</v>
      </c>
      <c r="F274" s="104" t="s">
        <v>1062</v>
      </c>
      <c r="G274" s="51" t="s">
        <v>879</v>
      </c>
      <c r="H274" s="38" t="s">
        <v>1031</v>
      </c>
      <c r="I274" s="304"/>
      <c r="J274" s="102"/>
      <c r="K274" s="105"/>
      <c r="L274" s="104">
        <v>201978000043</v>
      </c>
      <c r="M274" s="106" t="s">
        <v>344</v>
      </c>
      <c r="N274" s="105">
        <v>1</v>
      </c>
      <c r="O274" s="104">
        <v>302040759582</v>
      </c>
      <c r="P274" s="373"/>
      <c r="Q274" s="373"/>
      <c r="R274" s="373"/>
      <c r="S274" s="376"/>
    </row>
    <row r="275" spans="1:19" ht="16.5">
      <c r="A275" s="38">
        <f t="shared" si="10"/>
        <v>274</v>
      </c>
      <c r="B275" s="38"/>
      <c r="C275" s="102" t="s">
        <v>831</v>
      </c>
      <c r="D275" s="102" t="s">
        <v>816</v>
      </c>
      <c r="E275" s="103">
        <v>302053584164</v>
      </c>
      <c r="F275" s="104" t="s">
        <v>1063</v>
      </c>
      <c r="G275" s="51" t="s">
        <v>879</v>
      </c>
      <c r="H275" s="38" t="s">
        <v>1031</v>
      </c>
      <c r="I275" s="304"/>
      <c r="J275" s="102"/>
      <c r="K275" s="105"/>
      <c r="L275" s="104">
        <v>201978000043</v>
      </c>
      <c r="M275" s="106" t="s">
        <v>344</v>
      </c>
      <c r="N275" s="105">
        <v>4</v>
      </c>
      <c r="O275" s="104" t="s">
        <v>796</v>
      </c>
      <c r="P275" s="107">
        <v>8000</v>
      </c>
      <c r="Q275" s="107">
        <v>2750</v>
      </c>
      <c r="R275" s="108">
        <v>1485</v>
      </c>
      <c r="S275" s="52">
        <f t="shared" si="7"/>
        <v>12235</v>
      </c>
    </row>
    <row r="276" spans="1:19" ht="16.5">
      <c r="A276" s="38">
        <f t="shared" si="10"/>
        <v>275</v>
      </c>
      <c r="B276" s="38"/>
      <c r="C276" s="102" t="s">
        <v>831</v>
      </c>
      <c r="D276" s="102" t="s">
        <v>1001</v>
      </c>
      <c r="E276" s="103">
        <v>302053634240</v>
      </c>
      <c r="F276" s="104" t="s">
        <v>1064</v>
      </c>
      <c r="G276" s="51" t="s">
        <v>879</v>
      </c>
      <c r="H276" s="38" t="s">
        <v>1031</v>
      </c>
      <c r="I276" s="304"/>
      <c r="J276" s="102"/>
      <c r="K276" s="105"/>
      <c r="L276" s="104">
        <v>201978000043</v>
      </c>
      <c r="M276" s="106" t="s">
        <v>344</v>
      </c>
      <c r="N276" s="105">
        <v>4</v>
      </c>
      <c r="O276" s="104">
        <v>302053843584</v>
      </c>
      <c r="P276" s="107">
        <v>8500</v>
      </c>
      <c r="Q276" s="107">
        <v>2750</v>
      </c>
      <c r="R276" s="108">
        <v>1485</v>
      </c>
      <c r="S276" s="52">
        <f t="shared" si="7"/>
        <v>12735</v>
      </c>
    </row>
    <row r="277" spans="1:19" ht="16.5">
      <c r="A277" s="38">
        <f t="shared" si="10"/>
        <v>276</v>
      </c>
      <c r="B277" s="38"/>
      <c r="C277" s="102" t="s">
        <v>831</v>
      </c>
      <c r="D277" s="102" t="s">
        <v>810</v>
      </c>
      <c r="E277" s="103">
        <v>302053558754</v>
      </c>
      <c r="F277" s="104" t="s">
        <v>1065</v>
      </c>
      <c r="G277" s="51" t="s">
        <v>879</v>
      </c>
      <c r="H277" s="38" t="s">
        <v>1031</v>
      </c>
      <c r="I277" s="304"/>
      <c r="J277" s="102"/>
      <c r="K277" s="105"/>
      <c r="L277" s="104">
        <v>202008000058</v>
      </c>
      <c r="M277" s="106" t="s">
        <v>315</v>
      </c>
      <c r="N277" s="105">
        <v>2</v>
      </c>
      <c r="O277" s="104">
        <v>302053843595</v>
      </c>
      <c r="P277" s="107">
        <v>11760</v>
      </c>
      <c r="Q277" s="107">
        <v>2750</v>
      </c>
      <c r="R277" s="108">
        <v>1485</v>
      </c>
      <c r="S277" s="52">
        <f t="shared" si="7"/>
        <v>15995</v>
      </c>
    </row>
    <row r="278" spans="1:19" ht="16.5">
      <c r="A278" s="38">
        <f t="shared" si="10"/>
        <v>277</v>
      </c>
      <c r="B278" s="38"/>
      <c r="C278" s="102" t="s">
        <v>831</v>
      </c>
      <c r="D278" s="102" t="s">
        <v>810</v>
      </c>
      <c r="E278" s="103">
        <v>302040252874</v>
      </c>
      <c r="F278" s="104" t="s">
        <v>1066</v>
      </c>
      <c r="G278" s="51" t="s">
        <v>879</v>
      </c>
      <c r="H278" s="38" t="s">
        <v>1031</v>
      </c>
      <c r="I278" s="304"/>
      <c r="J278" s="102"/>
      <c r="K278" s="105"/>
      <c r="L278" s="104">
        <v>202008000058</v>
      </c>
      <c r="M278" s="106" t="s">
        <v>315</v>
      </c>
      <c r="N278" s="105">
        <v>8</v>
      </c>
      <c r="O278" s="104" t="s">
        <v>796</v>
      </c>
      <c r="P278" s="107">
        <v>26500</v>
      </c>
      <c r="Q278" s="107">
        <v>2750</v>
      </c>
      <c r="R278" s="108">
        <v>1595</v>
      </c>
      <c r="S278" s="52">
        <f t="shared" si="7"/>
        <v>30845</v>
      </c>
    </row>
    <row r="279" spans="1:19" ht="16.5">
      <c r="A279" s="38">
        <f t="shared" si="10"/>
        <v>278</v>
      </c>
      <c r="B279" s="38"/>
      <c r="C279" s="102" t="s">
        <v>831</v>
      </c>
      <c r="D279" s="102" t="s">
        <v>1001</v>
      </c>
      <c r="E279" s="103">
        <v>302053637154</v>
      </c>
      <c r="F279" s="104" t="s">
        <v>1067</v>
      </c>
      <c r="G279" s="51" t="s">
        <v>879</v>
      </c>
      <c r="H279" s="38" t="s">
        <v>1031</v>
      </c>
      <c r="I279" s="304"/>
      <c r="J279" s="102"/>
      <c r="K279" s="105"/>
      <c r="L279" s="104">
        <v>201978000043</v>
      </c>
      <c r="M279" s="106" t="s">
        <v>344</v>
      </c>
      <c r="N279" s="105">
        <v>4</v>
      </c>
      <c r="O279" s="104">
        <v>302053843621</v>
      </c>
      <c r="P279" s="107">
        <v>8500</v>
      </c>
      <c r="Q279" s="107">
        <v>2750</v>
      </c>
      <c r="R279" s="108">
        <v>1485</v>
      </c>
      <c r="S279" s="52">
        <f t="shared" si="7"/>
        <v>12735</v>
      </c>
    </row>
    <row r="280" spans="1:19" ht="16.5">
      <c r="A280" s="38">
        <f t="shared" si="10"/>
        <v>279</v>
      </c>
      <c r="B280" s="38"/>
      <c r="C280" s="102" t="s">
        <v>831</v>
      </c>
      <c r="D280" s="102" t="s">
        <v>808</v>
      </c>
      <c r="E280" s="103">
        <v>302053502721</v>
      </c>
      <c r="F280" s="104" t="s">
        <v>1068</v>
      </c>
      <c r="G280" s="51" t="s">
        <v>879</v>
      </c>
      <c r="H280" s="38" t="s">
        <v>1031</v>
      </c>
      <c r="I280" s="304"/>
      <c r="J280" s="102"/>
      <c r="K280" s="105"/>
      <c r="L280" s="104">
        <v>201978000093</v>
      </c>
      <c r="M280" s="106" t="s">
        <v>917</v>
      </c>
      <c r="N280" s="105">
        <v>2</v>
      </c>
      <c r="O280" s="104">
        <v>302053843643</v>
      </c>
      <c r="P280" s="107">
        <v>15710</v>
      </c>
      <c r="Q280" s="107">
        <v>2750</v>
      </c>
      <c r="R280" s="108">
        <v>1320</v>
      </c>
      <c r="S280" s="52">
        <f t="shared" si="7"/>
        <v>19780</v>
      </c>
    </row>
    <row r="281" spans="1:19" ht="16.5">
      <c r="A281" s="38">
        <f t="shared" si="10"/>
        <v>280</v>
      </c>
      <c r="B281" s="38"/>
      <c r="C281" s="102" t="s">
        <v>831</v>
      </c>
      <c r="D281" s="102" t="s">
        <v>816</v>
      </c>
      <c r="E281" s="103">
        <v>302053605223</v>
      </c>
      <c r="F281" s="104" t="s">
        <v>1069</v>
      </c>
      <c r="G281" s="51" t="s">
        <v>879</v>
      </c>
      <c r="H281" s="38" t="s">
        <v>1031</v>
      </c>
      <c r="I281" s="304"/>
      <c r="J281" s="102"/>
      <c r="K281" s="105"/>
      <c r="L281" s="104">
        <v>201978000041</v>
      </c>
      <c r="M281" s="106" t="s">
        <v>302</v>
      </c>
      <c r="N281" s="105">
        <v>2</v>
      </c>
      <c r="O281" s="104">
        <v>302053843654</v>
      </c>
      <c r="P281" s="107">
        <v>14930</v>
      </c>
      <c r="Q281" s="107">
        <v>2750</v>
      </c>
      <c r="R281" s="108">
        <v>1485</v>
      </c>
      <c r="S281" s="52">
        <f t="shared" si="7"/>
        <v>19165</v>
      </c>
    </row>
    <row r="282" spans="1:19" ht="16.5">
      <c r="A282" s="38">
        <f t="shared" si="10"/>
        <v>281</v>
      </c>
      <c r="B282" s="38"/>
      <c r="C282" s="102" t="s">
        <v>831</v>
      </c>
      <c r="D282" s="102" t="s">
        <v>825</v>
      </c>
      <c r="E282" s="103">
        <v>302040649074</v>
      </c>
      <c r="F282" s="104" t="s">
        <v>1070</v>
      </c>
      <c r="G282" s="51" t="s">
        <v>879</v>
      </c>
      <c r="H282" s="38" t="s">
        <v>1031</v>
      </c>
      <c r="I282" s="304"/>
      <c r="J282" s="102"/>
      <c r="K282" s="105"/>
      <c r="L282" s="104">
        <v>201978000138</v>
      </c>
      <c r="M282" s="106" t="s">
        <v>407</v>
      </c>
      <c r="N282" s="105">
        <v>2</v>
      </c>
      <c r="O282" s="104">
        <v>302040759615</v>
      </c>
      <c r="P282" s="371">
        <v>38400</v>
      </c>
      <c r="Q282" s="371">
        <v>3795</v>
      </c>
      <c r="R282" s="371">
        <v>1540</v>
      </c>
      <c r="S282" s="374">
        <f t="shared" si="7"/>
        <v>43735</v>
      </c>
    </row>
    <row r="283" spans="1:19" ht="16.5">
      <c r="A283" s="38">
        <f t="shared" si="10"/>
        <v>282</v>
      </c>
      <c r="B283" s="38"/>
      <c r="C283" s="102" t="s">
        <v>831</v>
      </c>
      <c r="D283" s="102" t="s">
        <v>825</v>
      </c>
      <c r="E283" s="103">
        <v>302040649074</v>
      </c>
      <c r="F283" s="104" t="s">
        <v>1070</v>
      </c>
      <c r="G283" s="51" t="s">
        <v>879</v>
      </c>
      <c r="H283" s="38" t="s">
        <v>1031</v>
      </c>
      <c r="I283" s="304"/>
      <c r="J283" s="102"/>
      <c r="K283" s="105"/>
      <c r="L283" s="104">
        <v>201978000041</v>
      </c>
      <c r="M283" s="106" t="s">
        <v>302</v>
      </c>
      <c r="N283" s="105">
        <v>2</v>
      </c>
      <c r="O283" s="104">
        <v>302040759615</v>
      </c>
      <c r="P283" s="372"/>
      <c r="Q283" s="372"/>
      <c r="R283" s="372"/>
      <c r="S283" s="375"/>
    </row>
    <row r="284" spans="1:19" ht="16.5">
      <c r="A284" s="38">
        <f t="shared" si="10"/>
        <v>283</v>
      </c>
      <c r="B284" s="38"/>
      <c r="C284" s="102" t="s">
        <v>831</v>
      </c>
      <c r="D284" s="102" t="s">
        <v>825</v>
      </c>
      <c r="E284" s="103">
        <v>302040649074</v>
      </c>
      <c r="F284" s="104" t="s">
        <v>1070</v>
      </c>
      <c r="G284" s="51" t="s">
        <v>879</v>
      </c>
      <c r="H284" s="38" t="s">
        <v>1031</v>
      </c>
      <c r="I284" s="304"/>
      <c r="J284" s="102"/>
      <c r="K284" s="105"/>
      <c r="L284" s="104">
        <v>201978000043</v>
      </c>
      <c r="M284" s="106" t="s">
        <v>344</v>
      </c>
      <c r="N284" s="105">
        <v>1</v>
      </c>
      <c r="O284" s="104">
        <v>302040759615</v>
      </c>
      <c r="P284" s="373"/>
      <c r="Q284" s="373"/>
      <c r="R284" s="373"/>
      <c r="S284" s="376"/>
    </row>
    <row r="285" spans="1:19" ht="68.25">
      <c r="A285" s="38">
        <f t="shared" si="10"/>
        <v>284</v>
      </c>
      <c r="B285" s="38"/>
      <c r="C285" s="102" t="s">
        <v>831</v>
      </c>
      <c r="D285" s="102" t="s">
        <v>787</v>
      </c>
      <c r="E285" s="103">
        <v>302039944196</v>
      </c>
      <c r="F285" s="104" t="s">
        <v>1071</v>
      </c>
      <c r="G285" s="51" t="s">
        <v>879</v>
      </c>
      <c r="H285" s="38" t="s">
        <v>1031</v>
      </c>
      <c r="I285" s="304"/>
      <c r="J285" s="102"/>
      <c r="K285" s="105"/>
      <c r="L285" s="104">
        <v>201987000293</v>
      </c>
      <c r="M285" s="106" t="s">
        <v>866</v>
      </c>
      <c r="N285" s="105">
        <v>1</v>
      </c>
      <c r="O285" s="104">
        <v>302040748124</v>
      </c>
      <c r="P285" s="107">
        <v>50000</v>
      </c>
      <c r="Q285" s="107">
        <v>3300</v>
      </c>
      <c r="R285" s="108">
        <v>1375</v>
      </c>
      <c r="S285" s="52">
        <f t="shared" si="7"/>
        <v>54675</v>
      </c>
    </row>
    <row r="286" spans="1:19" ht="68.25">
      <c r="A286" s="38">
        <f t="shared" si="10"/>
        <v>285</v>
      </c>
      <c r="B286" s="38"/>
      <c r="C286" s="102" t="s">
        <v>831</v>
      </c>
      <c r="D286" s="102" t="s">
        <v>810</v>
      </c>
      <c r="E286" s="103">
        <v>302040220022</v>
      </c>
      <c r="F286" s="104" t="s">
        <v>1072</v>
      </c>
      <c r="G286" s="51" t="s">
        <v>879</v>
      </c>
      <c r="H286" s="38" t="s">
        <v>1031</v>
      </c>
      <c r="I286" s="304"/>
      <c r="J286" s="102"/>
      <c r="K286" s="105"/>
      <c r="L286" s="104">
        <v>201987000293</v>
      </c>
      <c r="M286" s="106" t="s">
        <v>866</v>
      </c>
      <c r="N286" s="105">
        <v>1</v>
      </c>
      <c r="O286" s="104">
        <v>302040748135</v>
      </c>
      <c r="P286" s="107">
        <v>50000</v>
      </c>
      <c r="Q286" s="107">
        <v>3300</v>
      </c>
      <c r="R286" s="108">
        <v>1375</v>
      </c>
      <c r="S286" s="52">
        <f t="shared" si="7"/>
        <v>54675</v>
      </c>
    </row>
    <row r="287" spans="1:19" ht="68.25">
      <c r="A287" s="38">
        <f t="shared" si="10"/>
        <v>286</v>
      </c>
      <c r="B287" s="38"/>
      <c r="C287" s="102" t="s">
        <v>831</v>
      </c>
      <c r="D287" s="102" t="s">
        <v>787</v>
      </c>
      <c r="E287" s="103">
        <v>302039943102</v>
      </c>
      <c r="F287" s="104" t="s">
        <v>1073</v>
      </c>
      <c r="G287" s="51" t="s">
        <v>879</v>
      </c>
      <c r="H287" s="38" t="s">
        <v>1031</v>
      </c>
      <c r="I287" s="304"/>
      <c r="J287" s="102"/>
      <c r="K287" s="105"/>
      <c r="L287" s="104">
        <v>201987000293</v>
      </c>
      <c r="M287" s="106" t="s">
        <v>866</v>
      </c>
      <c r="N287" s="105">
        <v>1</v>
      </c>
      <c r="O287" s="104">
        <v>302040748146</v>
      </c>
      <c r="P287" s="107">
        <v>50000</v>
      </c>
      <c r="Q287" s="107">
        <v>3300</v>
      </c>
      <c r="R287" s="108">
        <v>1375</v>
      </c>
      <c r="S287" s="52">
        <f t="shared" si="7"/>
        <v>54675</v>
      </c>
    </row>
    <row r="288" spans="1:19" ht="68.25">
      <c r="A288" s="38">
        <f t="shared" si="10"/>
        <v>287</v>
      </c>
      <c r="B288" s="38"/>
      <c r="C288" s="102" t="s">
        <v>831</v>
      </c>
      <c r="D288" s="102" t="s">
        <v>1074</v>
      </c>
      <c r="E288" s="103">
        <v>302040548204</v>
      </c>
      <c r="F288" s="104" t="s">
        <v>1075</v>
      </c>
      <c r="G288" s="51" t="s">
        <v>879</v>
      </c>
      <c r="H288" s="38" t="s">
        <v>1031</v>
      </c>
      <c r="I288" s="304"/>
      <c r="J288" s="102"/>
      <c r="K288" s="105"/>
      <c r="L288" s="104">
        <v>201987000293</v>
      </c>
      <c r="M288" s="106" t="s">
        <v>866</v>
      </c>
      <c r="N288" s="105">
        <v>1</v>
      </c>
      <c r="O288" s="104">
        <v>302040748150</v>
      </c>
      <c r="P288" s="107">
        <v>50000</v>
      </c>
      <c r="Q288" s="107">
        <v>3300</v>
      </c>
      <c r="R288" s="108">
        <v>1375</v>
      </c>
      <c r="S288" s="52">
        <f t="shared" si="7"/>
        <v>54675</v>
      </c>
    </row>
    <row r="289" spans="1:19" ht="68.25">
      <c r="A289" s="38">
        <f t="shared" si="10"/>
        <v>288</v>
      </c>
      <c r="B289" s="38"/>
      <c r="C289" s="102" t="s">
        <v>831</v>
      </c>
      <c r="D289" s="102" t="s">
        <v>816</v>
      </c>
      <c r="E289" s="103">
        <v>302040386784</v>
      </c>
      <c r="F289" s="104" t="s">
        <v>1076</v>
      </c>
      <c r="G289" s="51" t="s">
        <v>879</v>
      </c>
      <c r="H289" s="38" t="s">
        <v>1031</v>
      </c>
      <c r="I289" s="304"/>
      <c r="J289" s="102"/>
      <c r="K289" s="105"/>
      <c r="L289" s="104">
        <v>201987000293</v>
      </c>
      <c r="M289" s="106" t="s">
        <v>866</v>
      </c>
      <c r="N289" s="105">
        <v>1</v>
      </c>
      <c r="O289" s="104">
        <v>302040748161</v>
      </c>
      <c r="P289" s="107">
        <v>50000</v>
      </c>
      <c r="Q289" s="107">
        <v>3300</v>
      </c>
      <c r="R289" s="108">
        <v>1375</v>
      </c>
      <c r="S289" s="52">
        <f t="shared" si="7"/>
        <v>54675</v>
      </c>
    </row>
    <row r="290" spans="1:19" ht="16.5">
      <c r="A290" s="38">
        <f t="shared" si="10"/>
        <v>289</v>
      </c>
      <c r="B290" s="38"/>
      <c r="C290" s="102" t="s">
        <v>838</v>
      </c>
      <c r="D290" s="102" t="s">
        <v>840</v>
      </c>
      <c r="E290" s="103">
        <v>302040640210</v>
      </c>
      <c r="F290" s="104" t="s">
        <v>1077</v>
      </c>
      <c r="G290" s="51" t="s">
        <v>879</v>
      </c>
      <c r="H290" s="38" t="s">
        <v>1031</v>
      </c>
      <c r="I290" s="304"/>
      <c r="J290" s="102"/>
      <c r="K290" s="105"/>
      <c r="L290" s="104">
        <v>201978000045</v>
      </c>
      <c r="M290" s="106" t="s">
        <v>398</v>
      </c>
      <c r="N290" s="105">
        <v>3</v>
      </c>
      <c r="O290" s="104">
        <v>302040791373</v>
      </c>
      <c r="P290" s="107">
        <v>16500</v>
      </c>
      <c r="Q290" s="107">
        <v>2750</v>
      </c>
      <c r="R290" s="108">
        <v>1485</v>
      </c>
      <c r="S290" s="52">
        <f t="shared" si="7"/>
        <v>20735</v>
      </c>
    </row>
    <row r="291" spans="1:19" ht="16.5">
      <c r="A291" s="38">
        <f t="shared" si="10"/>
        <v>290</v>
      </c>
      <c r="B291" s="38"/>
      <c r="C291" s="102" t="s">
        <v>838</v>
      </c>
      <c r="D291" s="102" t="s">
        <v>840</v>
      </c>
      <c r="E291" s="103">
        <v>302040645180</v>
      </c>
      <c r="F291" s="104" t="s">
        <v>1078</v>
      </c>
      <c r="G291" s="51" t="s">
        <v>879</v>
      </c>
      <c r="H291" s="38" t="s">
        <v>1031</v>
      </c>
      <c r="I291" s="304"/>
      <c r="J291" s="102"/>
      <c r="K291" s="105"/>
      <c r="L291" s="104">
        <v>201978000041</v>
      </c>
      <c r="M291" s="106" t="s">
        <v>302</v>
      </c>
      <c r="N291" s="105">
        <v>8</v>
      </c>
      <c r="O291" s="104">
        <v>302040791395</v>
      </c>
      <c r="P291" s="107">
        <v>71380</v>
      </c>
      <c r="Q291" s="107">
        <v>4510</v>
      </c>
      <c r="R291" s="108">
        <v>1760</v>
      </c>
      <c r="S291" s="52">
        <f t="shared" si="7"/>
        <v>77650</v>
      </c>
    </row>
    <row r="292" spans="1:19" ht="16.5">
      <c r="A292" s="38">
        <f t="shared" si="10"/>
        <v>291</v>
      </c>
      <c r="B292" s="38"/>
      <c r="C292" s="102" t="s">
        <v>845</v>
      </c>
      <c r="D292" s="102" t="s">
        <v>1079</v>
      </c>
      <c r="E292" s="103">
        <v>302053636233</v>
      </c>
      <c r="F292" s="104" t="s">
        <v>1080</v>
      </c>
      <c r="G292" s="51" t="s">
        <v>879</v>
      </c>
      <c r="H292" s="38" t="s">
        <v>1031</v>
      </c>
      <c r="I292" s="304"/>
      <c r="J292" s="102"/>
      <c r="K292" s="105"/>
      <c r="L292" s="104">
        <v>201978000043</v>
      </c>
      <c r="M292" s="106" t="s">
        <v>344</v>
      </c>
      <c r="N292" s="105">
        <v>4</v>
      </c>
      <c r="O292" s="104">
        <v>302053947733</v>
      </c>
      <c r="P292" s="107">
        <v>8500</v>
      </c>
      <c r="Q292" s="107">
        <v>2750</v>
      </c>
      <c r="R292" s="108">
        <v>1485</v>
      </c>
      <c r="S292" s="52">
        <f t="shared" si="7"/>
        <v>12735</v>
      </c>
    </row>
    <row r="293" spans="1:19" ht="16.5">
      <c r="A293" s="38">
        <f t="shared" si="10"/>
        <v>292</v>
      </c>
      <c r="B293" s="38"/>
      <c r="C293" s="102" t="s">
        <v>845</v>
      </c>
      <c r="D293" s="102" t="s">
        <v>846</v>
      </c>
      <c r="E293" s="103">
        <v>302040693340</v>
      </c>
      <c r="F293" s="104" t="s">
        <v>1081</v>
      </c>
      <c r="G293" s="51" t="s">
        <v>879</v>
      </c>
      <c r="H293" s="38" t="s">
        <v>1031</v>
      </c>
      <c r="I293" s="304"/>
      <c r="J293" s="102"/>
      <c r="K293" s="105"/>
      <c r="L293" s="104">
        <v>201978000080</v>
      </c>
      <c r="M293" s="106" t="s">
        <v>669</v>
      </c>
      <c r="N293" s="105">
        <v>3</v>
      </c>
      <c r="O293" s="104">
        <v>302054011772</v>
      </c>
      <c r="P293" s="371">
        <v>48990</v>
      </c>
      <c r="Q293" s="371">
        <v>2475</v>
      </c>
      <c r="R293" s="371">
        <v>363</v>
      </c>
      <c r="S293" s="374">
        <f t="shared" si="7"/>
        <v>51828</v>
      </c>
    </row>
    <row r="294" spans="1:19" ht="16.5">
      <c r="A294" s="38">
        <f t="shared" si="10"/>
        <v>293</v>
      </c>
      <c r="B294" s="38"/>
      <c r="C294" s="102" t="s">
        <v>845</v>
      </c>
      <c r="D294" s="102" t="s">
        <v>846</v>
      </c>
      <c r="E294" s="103">
        <v>302040693340</v>
      </c>
      <c r="F294" s="104" t="s">
        <v>1081</v>
      </c>
      <c r="G294" s="51" t="s">
        <v>879</v>
      </c>
      <c r="H294" s="38" t="s">
        <v>1031</v>
      </c>
      <c r="I294" s="304"/>
      <c r="J294" s="102"/>
      <c r="K294" s="105"/>
      <c r="L294" s="104">
        <v>201978000081</v>
      </c>
      <c r="M294" s="106" t="s">
        <v>991</v>
      </c>
      <c r="N294" s="105">
        <v>3</v>
      </c>
      <c r="O294" s="104">
        <v>302054011772</v>
      </c>
      <c r="P294" s="373"/>
      <c r="Q294" s="373"/>
      <c r="R294" s="373"/>
      <c r="S294" s="376"/>
    </row>
    <row r="295" spans="1:19" ht="16.5">
      <c r="A295" s="38">
        <f t="shared" si="10"/>
        <v>294</v>
      </c>
      <c r="B295" s="38"/>
      <c r="C295" s="102" t="s">
        <v>959</v>
      </c>
      <c r="D295" s="102" t="s">
        <v>840</v>
      </c>
      <c r="E295" s="103">
        <v>302040635251</v>
      </c>
      <c r="F295" s="104" t="s">
        <v>1082</v>
      </c>
      <c r="G295" s="51" t="s">
        <v>879</v>
      </c>
      <c r="H295" s="38" t="s">
        <v>1031</v>
      </c>
      <c r="I295" s="304"/>
      <c r="J295" s="102"/>
      <c r="K295" s="105"/>
      <c r="L295" s="104">
        <v>201978000080</v>
      </c>
      <c r="M295" s="106" t="s">
        <v>669</v>
      </c>
      <c r="N295" s="105">
        <v>3</v>
      </c>
      <c r="O295" s="104" t="s">
        <v>796</v>
      </c>
      <c r="P295" s="371">
        <v>48990</v>
      </c>
      <c r="Q295" s="371">
        <v>2475</v>
      </c>
      <c r="R295" s="371">
        <v>363</v>
      </c>
      <c r="S295" s="374">
        <f t="shared" si="7"/>
        <v>51828</v>
      </c>
    </row>
    <row r="296" spans="1:19" ht="16.5">
      <c r="A296" s="38">
        <f t="shared" si="10"/>
        <v>295</v>
      </c>
      <c r="B296" s="38"/>
      <c r="C296" s="102" t="s">
        <v>959</v>
      </c>
      <c r="D296" s="102" t="s">
        <v>840</v>
      </c>
      <c r="E296" s="103">
        <v>302040635251</v>
      </c>
      <c r="F296" s="104" t="s">
        <v>1082</v>
      </c>
      <c r="G296" s="51" t="s">
        <v>879</v>
      </c>
      <c r="H296" s="38" t="s">
        <v>1031</v>
      </c>
      <c r="I296" s="304"/>
      <c r="J296" s="102"/>
      <c r="K296" s="105"/>
      <c r="L296" s="104">
        <v>201978000081</v>
      </c>
      <c r="M296" s="106" t="s">
        <v>991</v>
      </c>
      <c r="N296" s="105">
        <v>3</v>
      </c>
      <c r="O296" s="104" t="s">
        <v>796</v>
      </c>
      <c r="P296" s="373"/>
      <c r="Q296" s="373"/>
      <c r="R296" s="373"/>
      <c r="S296" s="376"/>
    </row>
    <row r="297" spans="1:19" ht="16.5">
      <c r="A297" s="38">
        <f t="shared" si="10"/>
        <v>296</v>
      </c>
      <c r="B297" s="38"/>
      <c r="C297" s="102" t="s">
        <v>959</v>
      </c>
      <c r="D297" s="102" t="s">
        <v>968</v>
      </c>
      <c r="E297" s="103">
        <v>302040904062</v>
      </c>
      <c r="F297" s="104" t="s">
        <v>1083</v>
      </c>
      <c r="G297" s="51" t="s">
        <v>879</v>
      </c>
      <c r="H297" s="38" t="s">
        <v>1031</v>
      </c>
      <c r="I297" s="304"/>
      <c r="J297" s="102"/>
      <c r="K297" s="105"/>
      <c r="L297" s="104">
        <v>201978000080</v>
      </c>
      <c r="M297" s="106" t="s">
        <v>669</v>
      </c>
      <c r="N297" s="105">
        <v>3</v>
      </c>
      <c r="O297" s="104" t="s">
        <v>796</v>
      </c>
      <c r="P297" s="371">
        <v>48990</v>
      </c>
      <c r="Q297" s="371">
        <v>2475</v>
      </c>
      <c r="R297" s="371">
        <v>363</v>
      </c>
      <c r="S297" s="374">
        <f t="shared" si="7"/>
        <v>51828</v>
      </c>
    </row>
    <row r="298" spans="1:19" ht="16.5">
      <c r="A298" s="38">
        <f t="shared" si="10"/>
        <v>297</v>
      </c>
      <c r="B298" s="38"/>
      <c r="C298" s="102" t="s">
        <v>959</v>
      </c>
      <c r="D298" s="102" t="s">
        <v>968</v>
      </c>
      <c r="E298" s="103">
        <v>302040904062</v>
      </c>
      <c r="F298" s="104" t="s">
        <v>1083</v>
      </c>
      <c r="G298" s="51" t="s">
        <v>879</v>
      </c>
      <c r="H298" s="38" t="s">
        <v>1031</v>
      </c>
      <c r="I298" s="304"/>
      <c r="J298" s="102"/>
      <c r="K298" s="105"/>
      <c r="L298" s="104">
        <v>201978000081</v>
      </c>
      <c r="M298" s="106" t="s">
        <v>991</v>
      </c>
      <c r="N298" s="105">
        <v>3</v>
      </c>
      <c r="O298" s="104" t="s">
        <v>796</v>
      </c>
      <c r="P298" s="373"/>
      <c r="Q298" s="373"/>
      <c r="R298" s="373"/>
      <c r="S298" s="376"/>
    </row>
    <row r="299" spans="1:19" ht="16.5">
      <c r="A299" s="38">
        <f t="shared" si="10"/>
        <v>298</v>
      </c>
      <c r="B299" s="38"/>
      <c r="C299" s="102" t="s">
        <v>963</v>
      </c>
      <c r="D299" s="102" t="s">
        <v>840</v>
      </c>
      <c r="E299" s="103">
        <v>302040633232</v>
      </c>
      <c r="F299" s="104" t="s">
        <v>1084</v>
      </c>
      <c r="G299" s="51" t="s">
        <v>879</v>
      </c>
      <c r="H299" s="38" t="s">
        <v>1031</v>
      </c>
      <c r="I299" s="304"/>
      <c r="J299" s="102"/>
      <c r="K299" s="105"/>
      <c r="L299" s="104">
        <v>201978000041</v>
      </c>
      <c r="M299" s="106" t="s">
        <v>302</v>
      </c>
      <c r="N299" s="105">
        <v>2</v>
      </c>
      <c r="O299" s="104">
        <v>302041046910</v>
      </c>
      <c r="P299" s="371">
        <v>19407</v>
      </c>
      <c r="Q299" s="371">
        <v>2750</v>
      </c>
      <c r="R299" s="371">
        <v>1485</v>
      </c>
      <c r="S299" s="374">
        <f t="shared" si="7"/>
        <v>23642</v>
      </c>
    </row>
    <row r="300" spans="1:19" ht="16.5">
      <c r="A300" s="38">
        <f t="shared" si="10"/>
        <v>299</v>
      </c>
      <c r="B300" s="38"/>
      <c r="C300" s="102" t="s">
        <v>963</v>
      </c>
      <c r="D300" s="102" t="s">
        <v>840</v>
      </c>
      <c r="E300" s="103">
        <v>302040633232</v>
      </c>
      <c r="F300" s="104" t="s">
        <v>1084</v>
      </c>
      <c r="G300" s="51" t="s">
        <v>879</v>
      </c>
      <c r="H300" s="38" t="s">
        <v>1031</v>
      </c>
      <c r="I300" s="304"/>
      <c r="J300" s="102"/>
      <c r="K300" s="105"/>
      <c r="L300" s="104">
        <v>201978000045</v>
      </c>
      <c r="M300" s="106" t="s">
        <v>398</v>
      </c>
      <c r="N300" s="105">
        <v>1</v>
      </c>
      <c r="O300" s="104">
        <v>302041046910</v>
      </c>
      <c r="P300" s="373"/>
      <c r="Q300" s="373"/>
      <c r="R300" s="373"/>
      <c r="S300" s="376"/>
    </row>
    <row r="301" spans="1:19" ht="16.5">
      <c r="A301" s="38">
        <f t="shared" si="10"/>
        <v>300</v>
      </c>
      <c r="B301" s="38"/>
      <c r="C301" s="102" t="s">
        <v>963</v>
      </c>
      <c r="D301" s="102" t="s">
        <v>968</v>
      </c>
      <c r="E301" s="103">
        <v>302040889071</v>
      </c>
      <c r="F301" s="104" t="s">
        <v>1085</v>
      </c>
      <c r="G301" s="51" t="s">
        <v>879</v>
      </c>
      <c r="H301" s="38" t="s">
        <v>1031</v>
      </c>
      <c r="I301" s="304"/>
      <c r="J301" s="102"/>
      <c r="K301" s="105"/>
      <c r="L301" s="104">
        <v>201978000041</v>
      </c>
      <c r="M301" s="106" t="s">
        <v>302</v>
      </c>
      <c r="N301" s="105">
        <v>2</v>
      </c>
      <c r="O301" s="104">
        <v>302054110170</v>
      </c>
      <c r="P301" s="107">
        <v>18590</v>
      </c>
      <c r="Q301" s="107">
        <v>2750</v>
      </c>
      <c r="R301" s="108">
        <v>1485</v>
      </c>
      <c r="S301" s="52">
        <f t="shared" si="7"/>
        <v>22825</v>
      </c>
    </row>
    <row r="302" spans="1:19" ht="16.5">
      <c r="A302" s="38">
        <f t="shared" si="10"/>
        <v>301</v>
      </c>
      <c r="B302" s="38"/>
      <c r="C302" s="102" t="s">
        <v>1022</v>
      </c>
      <c r="D302" s="102" t="s">
        <v>968</v>
      </c>
      <c r="E302" s="103">
        <v>302053919464</v>
      </c>
      <c r="F302" s="104" t="s">
        <v>1086</v>
      </c>
      <c r="G302" s="51" t="s">
        <v>879</v>
      </c>
      <c r="H302" s="38" t="s">
        <v>1031</v>
      </c>
      <c r="I302" s="304"/>
      <c r="J302" s="102"/>
      <c r="K302" s="105"/>
      <c r="L302" s="104">
        <v>201978000150</v>
      </c>
      <c r="M302" s="106" t="s">
        <v>435</v>
      </c>
      <c r="N302" s="105">
        <v>4</v>
      </c>
      <c r="O302" s="104">
        <v>302054165120</v>
      </c>
      <c r="P302" s="107">
        <v>30260</v>
      </c>
      <c r="Q302" s="371">
        <v>3795</v>
      </c>
      <c r="R302" s="371">
        <v>1375</v>
      </c>
      <c r="S302" s="374">
        <f>SUM(P302:R303)</f>
        <v>50170</v>
      </c>
    </row>
    <row r="303" spans="1:19" ht="16.5">
      <c r="A303" s="38">
        <f t="shared" si="10"/>
        <v>302</v>
      </c>
      <c r="B303" s="38"/>
      <c r="C303" s="102" t="s">
        <v>1022</v>
      </c>
      <c r="D303" s="102" t="s">
        <v>968</v>
      </c>
      <c r="E303" s="103">
        <v>302053919464</v>
      </c>
      <c r="F303" s="104" t="s">
        <v>1086</v>
      </c>
      <c r="G303" s="51" t="s">
        <v>879</v>
      </c>
      <c r="H303" s="38" t="s">
        <v>1031</v>
      </c>
      <c r="I303" s="304"/>
      <c r="J303" s="102"/>
      <c r="K303" s="105"/>
      <c r="L303" s="104">
        <v>201978000149</v>
      </c>
      <c r="M303" s="106" t="s">
        <v>851</v>
      </c>
      <c r="N303" s="105">
        <v>2</v>
      </c>
      <c r="O303" s="104">
        <v>302054165120</v>
      </c>
      <c r="P303" s="107">
        <v>14740</v>
      </c>
      <c r="Q303" s="373"/>
      <c r="R303" s="373"/>
      <c r="S303" s="376"/>
    </row>
    <row r="304" spans="1:19" ht="16.5">
      <c r="A304" s="38">
        <f t="shared" si="10"/>
        <v>303</v>
      </c>
      <c r="B304" s="38"/>
      <c r="C304" s="102" t="s">
        <v>1022</v>
      </c>
      <c r="D304" s="102" t="s">
        <v>965</v>
      </c>
      <c r="E304" s="103">
        <v>302054012682</v>
      </c>
      <c r="F304" s="104" t="s">
        <v>1087</v>
      </c>
      <c r="G304" s="51" t="s">
        <v>879</v>
      </c>
      <c r="H304" s="38" t="s">
        <v>1031</v>
      </c>
      <c r="I304" s="304"/>
      <c r="J304" s="102"/>
      <c r="K304" s="105"/>
      <c r="L304" s="104">
        <v>201978000041</v>
      </c>
      <c r="M304" s="106" t="s">
        <v>302</v>
      </c>
      <c r="N304" s="105">
        <v>8</v>
      </c>
      <c r="O304" s="104">
        <v>302054162460</v>
      </c>
      <c r="P304" s="107">
        <v>76800</v>
      </c>
      <c r="Q304" s="107">
        <v>4510</v>
      </c>
      <c r="R304" s="108">
        <v>1760</v>
      </c>
      <c r="S304" s="52">
        <f t="shared" si="7"/>
        <v>83070</v>
      </c>
    </row>
    <row r="305" spans="1:19" ht="16.5">
      <c r="A305" s="38">
        <f t="shared" si="10"/>
        <v>304</v>
      </c>
      <c r="B305" s="38"/>
      <c r="C305" s="102" t="s">
        <v>1022</v>
      </c>
      <c r="D305" s="102" t="s">
        <v>1088</v>
      </c>
      <c r="E305" s="103">
        <v>302054102525</v>
      </c>
      <c r="F305" s="104" t="s">
        <v>1089</v>
      </c>
      <c r="G305" s="51" t="s">
        <v>879</v>
      </c>
      <c r="H305" s="38" t="s">
        <v>1031</v>
      </c>
      <c r="I305" s="304"/>
      <c r="J305" s="102"/>
      <c r="K305" s="105"/>
      <c r="L305" s="104">
        <v>201978000126</v>
      </c>
      <c r="M305" s="106" t="s">
        <v>404</v>
      </c>
      <c r="N305" s="105">
        <v>18</v>
      </c>
      <c r="O305" s="104">
        <v>302054159881</v>
      </c>
      <c r="P305" s="107">
        <v>35000</v>
      </c>
      <c r="Q305" s="107">
        <v>3410</v>
      </c>
      <c r="R305" s="108">
        <v>594</v>
      </c>
      <c r="S305" s="52">
        <f t="shared" si="7"/>
        <v>39004</v>
      </c>
    </row>
    <row r="306" spans="1:19" ht="16.5">
      <c r="A306" s="38">
        <f t="shared" si="10"/>
        <v>305</v>
      </c>
      <c r="B306" s="38"/>
      <c r="C306" s="102" t="s">
        <v>856</v>
      </c>
      <c r="D306" s="102" t="s">
        <v>857</v>
      </c>
      <c r="E306" s="103">
        <v>302054160076</v>
      </c>
      <c r="F306" s="104" t="s">
        <v>1090</v>
      </c>
      <c r="G306" s="51" t="s">
        <v>879</v>
      </c>
      <c r="H306" s="38" t="s">
        <v>1031</v>
      </c>
      <c r="I306" s="304"/>
      <c r="J306" s="102"/>
      <c r="K306" s="105"/>
      <c r="L306" s="104">
        <v>202008000058</v>
      </c>
      <c r="M306" s="106" t="s">
        <v>315</v>
      </c>
      <c r="N306" s="105">
        <v>2</v>
      </c>
      <c r="O306" s="104">
        <v>302054259001</v>
      </c>
      <c r="P306" s="107">
        <v>5980</v>
      </c>
      <c r="Q306" s="107">
        <v>2750</v>
      </c>
      <c r="R306" s="108">
        <v>1485</v>
      </c>
      <c r="S306" s="52">
        <f t="shared" si="7"/>
        <v>10215</v>
      </c>
    </row>
    <row r="307" spans="1:19" ht="16.5">
      <c r="A307" s="38">
        <f t="shared" si="10"/>
        <v>306</v>
      </c>
      <c r="B307" s="38"/>
      <c r="C307" s="102" t="s">
        <v>793</v>
      </c>
      <c r="D307" s="102" t="s">
        <v>781</v>
      </c>
      <c r="E307" s="103">
        <v>302039491333</v>
      </c>
      <c r="F307" s="104" t="s">
        <v>1091</v>
      </c>
      <c r="G307" s="51" t="s">
        <v>879</v>
      </c>
      <c r="H307" s="38" t="s">
        <v>880</v>
      </c>
      <c r="I307" s="304"/>
      <c r="J307" s="102"/>
      <c r="K307" s="105"/>
      <c r="L307" s="104">
        <v>201978000041</v>
      </c>
      <c r="M307" s="106" t="s">
        <v>302</v>
      </c>
      <c r="N307" s="105">
        <v>2</v>
      </c>
      <c r="O307" s="104">
        <v>302053346945</v>
      </c>
      <c r="P307" s="371">
        <v>18900</v>
      </c>
      <c r="Q307" s="371">
        <v>2750</v>
      </c>
      <c r="R307" s="371">
        <v>1485</v>
      </c>
      <c r="S307" s="374">
        <f t="shared" si="7"/>
        <v>23135</v>
      </c>
    </row>
    <row r="308" spans="1:19" ht="16.5">
      <c r="A308" s="38">
        <f t="shared" si="10"/>
        <v>307</v>
      </c>
      <c r="B308" s="38"/>
      <c r="C308" s="102" t="s">
        <v>793</v>
      </c>
      <c r="D308" s="102" t="s">
        <v>781</v>
      </c>
      <c r="E308" s="103">
        <v>302039491333</v>
      </c>
      <c r="F308" s="104" t="s">
        <v>1091</v>
      </c>
      <c r="G308" s="51" t="s">
        <v>879</v>
      </c>
      <c r="H308" s="38" t="s">
        <v>880</v>
      </c>
      <c r="I308" s="304"/>
      <c r="J308" s="102"/>
      <c r="K308" s="105"/>
      <c r="L308" s="104">
        <v>201978000043</v>
      </c>
      <c r="M308" s="106" t="s">
        <v>344</v>
      </c>
      <c r="N308" s="105">
        <v>1</v>
      </c>
      <c r="O308" s="104">
        <v>302053346945</v>
      </c>
      <c r="P308" s="373"/>
      <c r="Q308" s="373"/>
      <c r="R308" s="373"/>
      <c r="S308" s="376"/>
    </row>
    <row r="309" spans="1:19" ht="16.5">
      <c r="A309" s="38">
        <f t="shared" si="10"/>
        <v>308</v>
      </c>
      <c r="B309" s="38"/>
      <c r="C309" s="102" t="s">
        <v>793</v>
      </c>
      <c r="D309" s="102" t="s">
        <v>781</v>
      </c>
      <c r="E309" s="103">
        <v>302039500492</v>
      </c>
      <c r="F309" s="104" t="s">
        <v>1092</v>
      </c>
      <c r="G309" s="51" t="s">
        <v>879</v>
      </c>
      <c r="H309" s="38" t="s">
        <v>880</v>
      </c>
      <c r="I309" s="304"/>
      <c r="J309" s="102"/>
      <c r="K309" s="105"/>
      <c r="L309" s="104">
        <v>201978000041</v>
      </c>
      <c r="M309" s="106" t="s">
        <v>302</v>
      </c>
      <c r="N309" s="105">
        <v>2</v>
      </c>
      <c r="O309" s="104">
        <v>302053346956</v>
      </c>
      <c r="P309" s="107">
        <v>18900</v>
      </c>
      <c r="Q309" s="107">
        <v>2750</v>
      </c>
      <c r="R309" s="108">
        <v>1485</v>
      </c>
      <c r="S309" s="52">
        <f t="shared" si="7"/>
        <v>23135</v>
      </c>
    </row>
    <row r="310" spans="1:19" ht="16.5">
      <c r="A310" s="38">
        <f t="shared" si="10"/>
        <v>309</v>
      </c>
      <c r="B310" s="38"/>
      <c r="C310" s="102" t="s">
        <v>773</v>
      </c>
      <c r="D310" s="102" t="s">
        <v>774</v>
      </c>
      <c r="E310" s="103">
        <v>302039586964</v>
      </c>
      <c r="F310" s="104" t="s">
        <v>1093</v>
      </c>
      <c r="G310" s="51" t="s">
        <v>879</v>
      </c>
      <c r="H310" s="38" t="s">
        <v>880</v>
      </c>
      <c r="I310" s="304"/>
      <c r="J310" s="102"/>
      <c r="K310" s="105"/>
      <c r="L310" s="104">
        <v>201978000041</v>
      </c>
      <c r="M310" s="106" t="s">
        <v>302</v>
      </c>
      <c r="N310" s="105">
        <v>3</v>
      </c>
      <c r="O310" s="104">
        <v>302039814346</v>
      </c>
      <c r="P310" s="107">
        <v>27900</v>
      </c>
      <c r="Q310" s="107">
        <v>3245</v>
      </c>
      <c r="R310" s="108">
        <v>1485</v>
      </c>
      <c r="S310" s="52">
        <f t="shared" si="7"/>
        <v>32630</v>
      </c>
    </row>
    <row r="311" spans="1:19" ht="16.5">
      <c r="A311" s="38">
        <f t="shared" si="10"/>
        <v>310</v>
      </c>
      <c r="B311" s="38"/>
      <c r="C311" s="102" t="s">
        <v>784</v>
      </c>
      <c r="D311" s="102" t="s">
        <v>785</v>
      </c>
      <c r="E311" s="103">
        <v>302039621754</v>
      </c>
      <c r="F311" s="104" t="s">
        <v>443</v>
      </c>
      <c r="G311" s="51" t="s">
        <v>879</v>
      </c>
      <c r="H311" s="38" t="s">
        <v>880</v>
      </c>
      <c r="I311" s="304"/>
      <c r="J311" s="102"/>
      <c r="K311" s="105"/>
      <c r="L311" s="104">
        <v>201978000041</v>
      </c>
      <c r="M311" s="106" t="s">
        <v>302</v>
      </c>
      <c r="N311" s="105">
        <v>4</v>
      </c>
      <c r="O311" s="104">
        <v>302039873905</v>
      </c>
      <c r="P311" s="371">
        <v>102130</v>
      </c>
      <c r="Q311" s="371">
        <v>6336</v>
      </c>
      <c r="R311" s="371">
        <v>3300</v>
      </c>
      <c r="S311" s="374">
        <f t="shared" si="7"/>
        <v>111766</v>
      </c>
    </row>
    <row r="312" spans="1:19" ht="16.5">
      <c r="A312" s="38">
        <f t="shared" si="10"/>
        <v>311</v>
      </c>
      <c r="B312" s="38"/>
      <c r="C312" s="102" t="s">
        <v>784</v>
      </c>
      <c r="D312" s="102" t="s">
        <v>785</v>
      </c>
      <c r="E312" s="103">
        <v>302039621754</v>
      </c>
      <c r="F312" s="104" t="s">
        <v>443</v>
      </c>
      <c r="G312" s="51" t="s">
        <v>879</v>
      </c>
      <c r="H312" s="38" t="s">
        <v>880</v>
      </c>
      <c r="I312" s="304"/>
      <c r="J312" s="102"/>
      <c r="K312" s="105"/>
      <c r="L312" s="104">
        <v>201978000126</v>
      </c>
      <c r="M312" s="106" t="s">
        <v>404</v>
      </c>
      <c r="N312" s="105">
        <v>2</v>
      </c>
      <c r="O312" s="104">
        <v>302039873905</v>
      </c>
      <c r="P312" s="372"/>
      <c r="Q312" s="372"/>
      <c r="R312" s="372"/>
      <c r="S312" s="375"/>
    </row>
    <row r="313" spans="1:19" ht="16.5">
      <c r="A313" s="38">
        <f t="shared" si="10"/>
        <v>312</v>
      </c>
      <c r="B313" s="38"/>
      <c r="C313" s="102" t="s">
        <v>784</v>
      </c>
      <c r="D313" s="102" t="s">
        <v>785</v>
      </c>
      <c r="E313" s="103">
        <v>302039621754</v>
      </c>
      <c r="F313" s="104" t="s">
        <v>443</v>
      </c>
      <c r="G313" s="51" t="s">
        <v>879</v>
      </c>
      <c r="H313" s="38" t="s">
        <v>880</v>
      </c>
      <c r="I313" s="304"/>
      <c r="J313" s="102"/>
      <c r="K313" s="105"/>
      <c r="L313" s="104">
        <v>201978000066</v>
      </c>
      <c r="M313" s="106" t="s">
        <v>420</v>
      </c>
      <c r="N313" s="105">
        <v>1</v>
      </c>
      <c r="O313" s="104">
        <v>302039873905</v>
      </c>
      <c r="P313" s="372"/>
      <c r="Q313" s="372"/>
      <c r="R313" s="372"/>
      <c r="S313" s="375"/>
    </row>
    <row r="314" spans="1:19" ht="16.5">
      <c r="A314" s="38">
        <f t="shared" si="10"/>
        <v>313</v>
      </c>
      <c r="B314" s="38"/>
      <c r="C314" s="102" t="s">
        <v>784</v>
      </c>
      <c r="D314" s="102" t="s">
        <v>785</v>
      </c>
      <c r="E314" s="103">
        <v>302039621754</v>
      </c>
      <c r="F314" s="104" t="s">
        <v>443</v>
      </c>
      <c r="G314" s="51" t="s">
        <v>879</v>
      </c>
      <c r="H314" s="38" t="s">
        <v>880</v>
      </c>
      <c r="I314" s="304"/>
      <c r="J314" s="102"/>
      <c r="K314" s="105"/>
      <c r="L314" s="104">
        <v>201978000117</v>
      </c>
      <c r="M314" s="106" t="s">
        <v>1094</v>
      </c>
      <c r="N314" s="105">
        <v>3</v>
      </c>
      <c r="O314" s="104">
        <v>302039873905</v>
      </c>
      <c r="P314" s="372"/>
      <c r="Q314" s="372"/>
      <c r="R314" s="372"/>
      <c r="S314" s="375"/>
    </row>
    <row r="315" spans="1:19" ht="16.5">
      <c r="A315" s="38">
        <f t="shared" si="10"/>
        <v>314</v>
      </c>
      <c r="B315" s="38"/>
      <c r="C315" s="102" t="s">
        <v>784</v>
      </c>
      <c r="D315" s="102" t="s">
        <v>785</v>
      </c>
      <c r="E315" s="103">
        <v>302039621754</v>
      </c>
      <c r="F315" s="104" t="s">
        <v>443</v>
      </c>
      <c r="G315" s="51" t="s">
        <v>879</v>
      </c>
      <c r="H315" s="38" t="s">
        <v>880</v>
      </c>
      <c r="I315" s="304"/>
      <c r="J315" s="102"/>
      <c r="K315" s="105"/>
      <c r="L315" s="104">
        <v>202008000058</v>
      </c>
      <c r="M315" s="106" t="s">
        <v>315</v>
      </c>
      <c r="N315" s="105">
        <v>5</v>
      </c>
      <c r="O315" s="104">
        <v>302039873905</v>
      </c>
      <c r="P315" s="372"/>
      <c r="Q315" s="372"/>
      <c r="R315" s="372"/>
      <c r="S315" s="375"/>
    </row>
    <row r="316" spans="1:19" ht="16.5">
      <c r="A316" s="38">
        <f t="shared" si="10"/>
        <v>315</v>
      </c>
      <c r="B316" s="38"/>
      <c r="C316" s="102" t="s">
        <v>784</v>
      </c>
      <c r="D316" s="102" t="s">
        <v>785</v>
      </c>
      <c r="E316" s="103">
        <v>302039621754</v>
      </c>
      <c r="F316" s="104" t="s">
        <v>443</v>
      </c>
      <c r="G316" s="51" t="s">
        <v>879</v>
      </c>
      <c r="H316" s="38" t="s">
        <v>880</v>
      </c>
      <c r="I316" s="304"/>
      <c r="J316" s="102"/>
      <c r="K316" s="105"/>
      <c r="L316" s="104">
        <v>201991000134</v>
      </c>
      <c r="M316" s="106" t="s">
        <v>1095</v>
      </c>
      <c r="N316" s="105">
        <v>2</v>
      </c>
      <c r="O316" s="104">
        <v>302039873905</v>
      </c>
      <c r="P316" s="372"/>
      <c r="Q316" s="372"/>
      <c r="R316" s="372"/>
      <c r="S316" s="375"/>
    </row>
    <row r="317" spans="1:19" ht="16.5">
      <c r="A317" s="38">
        <f t="shared" si="10"/>
        <v>316</v>
      </c>
      <c r="B317" s="38"/>
      <c r="C317" s="102" t="s">
        <v>784</v>
      </c>
      <c r="D317" s="102" t="s">
        <v>785</v>
      </c>
      <c r="E317" s="103">
        <v>302039621754</v>
      </c>
      <c r="F317" s="104" t="s">
        <v>443</v>
      </c>
      <c r="G317" s="51" t="s">
        <v>879</v>
      </c>
      <c r="H317" s="38" t="s">
        <v>880</v>
      </c>
      <c r="I317" s="304"/>
      <c r="J317" s="102"/>
      <c r="K317" s="105"/>
      <c r="L317" s="104">
        <v>201991000133</v>
      </c>
      <c r="M317" s="106" t="s">
        <v>1096</v>
      </c>
      <c r="N317" s="105">
        <v>2</v>
      </c>
      <c r="O317" s="104">
        <v>302039873905</v>
      </c>
      <c r="P317" s="372"/>
      <c r="Q317" s="372"/>
      <c r="R317" s="372"/>
      <c r="S317" s="375"/>
    </row>
    <row r="318" spans="1:19" ht="16.5">
      <c r="A318" s="38">
        <f t="shared" si="10"/>
        <v>317</v>
      </c>
      <c r="B318" s="38"/>
      <c r="C318" s="102" t="s">
        <v>784</v>
      </c>
      <c r="D318" s="102" t="s">
        <v>785</v>
      </c>
      <c r="E318" s="103">
        <v>302039621754</v>
      </c>
      <c r="F318" s="104" t="s">
        <v>443</v>
      </c>
      <c r="G318" s="51" t="s">
        <v>879</v>
      </c>
      <c r="H318" s="38" t="s">
        <v>880</v>
      </c>
      <c r="I318" s="304"/>
      <c r="J318" s="102"/>
      <c r="K318" s="105"/>
      <c r="L318" s="104">
        <v>201988000037</v>
      </c>
      <c r="M318" s="106" t="s">
        <v>1097</v>
      </c>
      <c r="N318" s="105">
        <v>2</v>
      </c>
      <c r="O318" s="104">
        <v>302039873905</v>
      </c>
      <c r="P318" s="372"/>
      <c r="Q318" s="372"/>
      <c r="R318" s="372"/>
      <c r="S318" s="375"/>
    </row>
    <row r="319" spans="1:19" ht="16.5">
      <c r="A319" s="38">
        <f t="shared" si="10"/>
        <v>318</v>
      </c>
      <c r="B319" s="38"/>
      <c r="C319" s="102" t="s">
        <v>784</v>
      </c>
      <c r="D319" s="102" t="s">
        <v>785</v>
      </c>
      <c r="E319" s="103">
        <v>302039621754</v>
      </c>
      <c r="F319" s="104" t="s">
        <v>443</v>
      </c>
      <c r="G319" s="51" t="s">
        <v>879</v>
      </c>
      <c r="H319" s="38" t="s">
        <v>880</v>
      </c>
      <c r="I319" s="304"/>
      <c r="J319" s="102"/>
      <c r="K319" s="105"/>
      <c r="L319" s="104">
        <v>201978000025</v>
      </c>
      <c r="M319" s="106" t="s">
        <v>444</v>
      </c>
      <c r="N319" s="105">
        <v>1</v>
      </c>
      <c r="O319" s="104">
        <v>302039873905</v>
      </c>
      <c r="P319" s="373"/>
      <c r="Q319" s="373"/>
      <c r="R319" s="373"/>
      <c r="S319" s="376"/>
    </row>
    <row r="320" spans="1:19" ht="16.5">
      <c r="A320" s="38">
        <f t="shared" si="10"/>
        <v>319</v>
      </c>
      <c r="B320" s="38"/>
      <c r="C320" s="102" t="s">
        <v>784</v>
      </c>
      <c r="D320" s="102" t="s">
        <v>883</v>
      </c>
      <c r="E320" s="103">
        <v>302053269164</v>
      </c>
      <c r="F320" s="104" t="s">
        <v>1098</v>
      </c>
      <c r="G320" s="51" t="s">
        <v>879</v>
      </c>
      <c r="H320" s="38" t="s">
        <v>880</v>
      </c>
      <c r="I320" s="304"/>
      <c r="J320" s="102"/>
      <c r="K320" s="105"/>
      <c r="L320" s="104">
        <v>201991000037</v>
      </c>
      <c r="M320" s="106" t="s">
        <v>1099</v>
      </c>
      <c r="N320" s="105">
        <v>1</v>
      </c>
      <c r="O320" s="104" t="s">
        <v>796</v>
      </c>
      <c r="P320" s="107">
        <v>8900</v>
      </c>
      <c r="Q320" s="371">
        <v>3245</v>
      </c>
      <c r="R320" s="371">
        <v>1430</v>
      </c>
      <c r="S320" s="374">
        <f>SUM(P320:R322)</f>
        <v>35375</v>
      </c>
    </row>
    <row r="321" spans="1:19" ht="16.5">
      <c r="A321" s="38">
        <f t="shared" si="10"/>
        <v>320</v>
      </c>
      <c r="B321" s="38"/>
      <c r="C321" s="102" t="s">
        <v>784</v>
      </c>
      <c r="D321" s="102" t="s">
        <v>883</v>
      </c>
      <c r="E321" s="103">
        <v>302053269164</v>
      </c>
      <c r="F321" s="104" t="s">
        <v>1098</v>
      </c>
      <c r="G321" s="51" t="s">
        <v>879</v>
      </c>
      <c r="H321" s="38" t="s">
        <v>880</v>
      </c>
      <c r="I321" s="304"/>
      <c r="J321" s="102"/>
      <c r="K321" s="105"/>
      <c r="L321" s="104">
        <v>201991000074</v>
      </c>
      <c r="M321" s="106" t="s">
        <v>1047</v>
      </c>
      <c r="N321" s="105">
        <v>1</v>
      </c>
      <c r="O321" s="104" t="s">
        <v>796</v>
      </c>
      <c r="P321" s="107">
        <v>8900</v>
      </c>
      <c r="Q321" s="372"/>
      <c r="R321" s="372"/>
      <c r="S321" s="375"/>
    </row>
    <row r="322" spans="1:19" ht="16.5">
      <c r="A322" s="38">
        <f t="shared" si="10"/>
        <v>321</v>
      </c>
      <c r="B322" s="38"/>
      <c r="C322" s="102" t="s">
        <v>784</v>
      </c>
      <c r="D322" s="102" t="s">
        <v>883</v>
      </c>
      <c r="E322" s="103">
        <v>302053269164</v>
      </c>
      <c r="F322" s="104" t="s">
        <v>1098</v>
      </c>
      <c r="G322" s="51" t="s">
        <v>879</v>
      </c>
      <c r="H322" s="38" t="s">
        <v>880</v>
      </c>
      <c r="I322" s="304"/>
      <c r="J322" s="102"/>
      <c r="K322" s="105"/>
      <c r="L322" s="104">
        <v>201991000077</v>
      </c>
      <c r="M322" s="106" t="s">
        <v>1100</v>
      </c>
      <c r="N322" s="105">
        <v>1</v>
      </c>
      <c r="O322" s="104" t="s">
        <v>796</v>
      </c>
      <c r="P322" s="107">
        <v>12900</v>
      </c>
      <c r="Q322" s="373"/>
      <c r="R322" s="373"/>
      <c r="S322" s="376"/>
    </row>
    <row r="323" spans="1:19" ht="16.5">
      <c r="A323" s="38">
        <f t="shared" si="10"/>
        <v>322</v>
      </c>
      <c r="B323" s="38"/>
      <c r="C323" s="102" t="s">
        <v>787</v>
      </c>
      <c r="D323" s="102" t="s">
        <v>785</v>
      </c>
      <c r="E323" s="103">
        <v>302053255993</v>
      </c>
      <c r="F323" s="104" t="s">
        <v>1101</v>
      </c>
      <c r="G323" s="51" t="s">
        <v>879</v>
      </c>
      <c r="H323" s="38" t="s">
        <v>880</v>
      </c>
      <c r="I323" s="304"/>
      <c r="J323" s="102"/>
      <c r="K323" s="105"/>
      <c r="L323" s="104">
        <v>201978000043</v>
      </c>
      <c r="M323" s="106" t="s">
        <v>344</v>
      </c>
      <c r="N323" s="105">
        <v>4</v>
      </c>
      <c r="O323" s="104">
        <v>302053430466</v>
      </c>
      <c r="P323" s="371">
        <v>9900</v>
      </c>
      <c r="Q323" s="371">
        <v>2750</v>
      </c>
      <c r="R323" s="371">
        <v>1485</v>
      </c>
      <c r="S323" s="374">
        <f t="shared" si="7"/>
        <v>14135</v>
      </c>
    </row>
    <row r="324" spans="1:19" ht="16.5">
      <c r="A324" s="38">
        <f t="shared" si="10"/>
        <v>323</v>
      </c>
      <c r="B324" s="38"/>
      <c r="C324" s="102" t="s">
        <v>787</v>
      </c>
      <c r="D324" s="102" t="s">
        <v>785</v>
      </c>
      <c r="E324" s="103">
        <v>302053255993</v>
      </c>
      <c r="F324" s="104" t="s">
        <v>1101</v>
      </c>
      <c r="G324" s="51" t="s">
        <v>879</v>
      </c>
      <c r="H324" s="38" t="s">
        <v>880</v>
      </c>
      <c r="I324" s="304"/>
      <c r="J324" s="102"/>
      <c r="K324" s="105"/>
      <c r="L324" s="104">
        <v>201991000151</v>
      </c>
      <c r="M324" s="106" t="s">
        <v>848</v>
      </c>
      <c r="N324" s="105">
        <v>1</v>
      </c>
      <c r="O324" s="104">
        <v>302053430466</v>
      </c>
      <c r="P324" s="373"/>
      <c r="Q324" s="373"/>
      <c r="R324" s="373"/>
      <c r="S324" s="376"/>
    </row>
    <row r="325" spans="1:19" ht="16.5">
      <c r="A325" s="38">
        <f t="shared" si="10"/>
        <v>324</v>
      </c>
      <c r="B325" s="38"/>
      <c r="C325" s="102" t="s">
        <v>802</v>
      </c>
      <c r="D325" s="102" t="s">
        <v>793</v>
      </c>
      <c r="E325" s="103">
        <v>302039734970</v>
      </c>
      <c r="F325" s="104" t="s">
        <v>1102</v>
      </c>
      <c r="G325" s="51" t="s">
        <v>879</v>
      </c>
      <c r="H325" s="38" t="s">
        <v>880</v>
      </c>
      <c r="I325" s="304"/>
      <c r="J325" s="102"/>
      <c r="K325" s="105"/>
      <c r="L325" s="104">
        <v>201978000041</v>
      </c>
      <c r="M325" s="106" t="s">
        <v>302</v>
      </c>
      <c r="N325" s="105">
        <v>2</v>
      </c>
      <c r="O325" s="104">
        <v>302040018750</v>
      </c>
      <c r="P325" s="371">
        <v>18900</v>
      </c>
      <c r="Q325" s="371">
        <v>2750</v>
      </c>
      <c r="R325" s="371">
        <v>1485</v>
      </c>
      <c r="S325" s="374">
        <f t="shared" si="7"/>
        <v>23135</v>
      </c>
    </row>
    <row r="326" spans="1:19" ht="16.5">
      <c r="A326" s="38">
        <f t="shared" si="10"/>
        <v>325</v>
      </c>
      <c r="B326" s="38"/>
      <c r="C326" s="102" t="s">
        <v>802</v>
      </c>
      <c r="D326" s="102" t="s">
        <v>793</v>
      </c>
      <c r="E326" s="103">
        <v>302039734970</v>
      </c>
      <c r="F326" s="104" t="s">
        <v>1102</v>
      </c>
      <c r="G326" s="51" t="s">
        <v>879</v>
      </c>
      <c r="H326" s="38" t="s">
        <v>880</v>
      </c>
      <c r="I326" s="304"/>
      <c r="J326" s="102"/>
      <c r="K326" s="105"/>
      <c r="L326" s="104">
        <v>201978000043</v>
      </c>
      <c r="M326" s="106" t="s">
        <v>344</v>
      </c>
      <c r="N326" s="105">
        <v>1</v>
      </c>
      <c r="O326" s="104">
        <v>302040018750</v>
      </c>
      <c r="P326" s="373"/>
      <c r="Q326" s="373"/>
      <c r="R326" s="373"/>
      <c r="S326" s="376"/>
    </row>
    <row r="327" spans="1:19" ht="16.5">
      <c r="A327" s="38">
        <f t="shared" si="10"/>
        <v>326</v>
      </c>
      <c r="B327" s="38"/>
      <c r="C327" s="102" t="s">
        <v>808</v>
      </c>
      <c r="D327" s="102" t="s">
        <v>785</v>
      </c>
      <c r="E327" s="103">
        <v>302053247700</v>
      </c>
      <c r="F327" s="104" t="s">
        <v>1103</v>
      </c>
      <c r="G327" s="51" t="s">
        <v>879</v>
      </c>
      <c r="H327" s="38" t="s">
        <v>880</v>
      </c>
      <c r="I327" s="304"/>
      <c r="J327" s="102"/>
      <c r="K327" s="105"/>
      <c r="L327" s="104">
        <v>201987000165</v>
      </c>
      <c r="M327" s="106" t="s">
        <v>318</v>
      </c>
      <c r="N327" s="105">
        <v>2</v>
      </c>
      <c r="O327" s="104" t="s">
        <v>796</v>
      </c>
      <c r="P327" s="107">
        <v>7000</v>
      </c>
      <c r="Q327" s="107">
        <v>2750</v>
      </c>
      <c r="R327" s="108">
        <v>1320</v>
      </c>
      <c r="S327" s="52">
        <f t="shared" si="7"/>
        <v>11070</v>
      </c>
    </row>
    <row r="328" spans="1:19" ht="16.5">
      <c r="A328" s="38">
        <f t="shared" si="10"/>
        <v>327</v>
      </c>
      <c r="B328" s="38"/>
      <c r="C328" s="102" t="s">
        <v>810</v>
      </c>
      <c r="D328" s="102" t="s">
        <v>1003</v>
      </c>
      <c r="E328" s="103">
        <v>302053488710</v>
      </c>
      <c r="F328" s="104" t="s">
        <v>1104</v>
      </c>
      <c r="G328" s="51" t="s">
        <v>879</v>
      </c>
      <c r="H328" s="38" t="s">
        <v>880</v>
      </c>
      <c r="I328" s="304"/>
      <c r="J328" s="102"/>
      <c r="K328" s="105"/>
      <c r="L328" s="104">
        <v>201978000041</v>
      </c>
      <c r="M328" s="106" t="s">
        <v>302</v>
      </c>
      <c r="N328" s="105">
        <v>4</v>
      </c>
      <c r="O328" s="104">
        <v>302053560235</v>
      </c>
      <c r="P328" s="107">
        <v>33900</v>
      </c>
      <c r="Q328" s="107">
        <v>3300</v>
      </c>
      <c r="R328" s="108">
        <v>1100</v>
      </c>
      <c r="S328" s="52">
        <f t="shared" si="7"/>
        <v>38300</v>
      </c>
    </row>
    <row r="329" spans="1:19" ht="16.5">
      <c r="A329" s="38">
        <f t="shared" si="10"/>
        <v>328</v>
      </c>
      <c r="B329" s="38"/>
      <c r="C329" s="102" t="s">
        <v>810</v>
      </c>
      <c r="D329" s="102" t="s">
        <v>787</v>
      </c>
      <c r="E329" s="103">
        <v>302039930406</v>
      </c>
      <c r="F329" s="104" t="s">
        <v>1105</v>
      </c>
      <c r="G329" s="51" t="s">
        <v>879</v>
      </c>
      <c r="H329" s="38" t="s">
        <v>880</v>
      </c>
      <c r="I329" s="304"/>
      <c r="J329" s="102"/>
      <c r="K329" s="105"/>
      <c r="L329" s="104">
        <v>202008000058</v>
      </c>
      <c r="M329" s="106" t="s">
        <v>315</v>
      </c>
      <c r="N329" s="105">
        <v>8</v>
      </c>
      <c r="O329" s="104" t="s">
        <v>796</v>
      </c>
      <c r="P329" s="107">
        <v>26900</v>
      </c>
      <c r="Q329" s="107">
        <v>2750</v>
      </c>
      <c r="R329" s="108">
        <v>1595</v>
      </c>
      <c r="S329" s="52">
        <f t="shared" si="7"/>
        <v>31245</v>
      </c>
    </row>
    <row r="330" spans="1:19" ht="16.5">
      <c r="A330" s="38">
        <f t="shared" si="10"/>
        <v>329</v>
      </c>
      <c r="B330" s="38"/>
      <c r="C330" s="102" t="s">
        <v>825</v>
      </c>
      <c r="D330" s="102" t="s">
        <v>810</v>
      </c>
      <c r="E330" s="103">
        <v>302053576512</v>
      </c>
      <c r="F330" s="104" t="s">
        <v>1106</v>
      </c>
      <c r="G330" s="51" t="s">
        <v>879</v>
      </c>
      <c r="H330" s="38" t="s">
        <v>880</v>
      </c>
      <c r="I330" s="304"/>
      <c r="J330" s="102"/>
      <c r="K330" s="105"/>
      <c r="L330" s="104">
        <v>201978000043</v>
      </c>
      <c r="M330" s="106" t="s">
        <v>344</v>
      </c>
      <c r="N330" s="105">
        <v>4</v>
      </c>
      <c r="O330" s="104" t="s">
        <v>796</v>
      </c>
      <c r="P330" s="107">
        <v>10000</v>
      </c>
      <c r="Q330" s="107">
        <v>2750</v>
      </c>
      <c r="R330" s="108">
        <v>1485</v>
      </c>
      <c r="S330" s="52">
        <f t="shared" si="7"/>
        <v>14235</v>
      </c>
    </row>
    <row r="331" spans="1:19" ht="16.5">
      <c r="A331" s="38">
        <f t="shared" si="10"/>
        <v>330</v>
      </c>
      <c r="B331" s="38"/>
      <c r="C331" s="102" t="s">
        <v>825</v>
      </c>
      <c r="D331" s="102" t="s">
        <v>816</v>
      </c>
      <c r="E331" s="103">
        <v>302053586603</v>
      </c>
      <c r="F331" s="104" t="s">
        <v>1107</v>
      </c>
      <c r="G331" s="51" t="s">
        <v>879</v>
      </c>
      <c r="H331" s="38" t="s">
        <v>880</v>
      </c>
      <c r="I331" s="304"/>
      <c r="J331" s="102"/>
      <c r="K331" s="105"/>
      <c r="L331" s="104">
        <v>201978000043</v>
      </c>
      <c r="M331" s="106" t="s">
        <v>344</v>
      </c>
      <c r="N331" s="105">
        <v>4</v>
      </c>
      <c r="O331" s="104" t="s">
        <v>796</v>
      </c>
      <c r="P331" s="107">
        <v>8000</v>
      </c>
      <c r="Q331" s="107">
        <v>2750</v>
      </c>
      <c r="R331" s="108">
        <v>1485</v>
      </c>
      <c r="S331" s="52">
        <f t="shared" si="7"/>
        <v>12235</v>
      </c>
    </row>
    <row r="332" spans="1:19" ht="16.5">
      <c r="A332" s="38">
        <f t="shared" si="10"/>
        <v>331</v>
      </c>
      <c r="B332" s="38"/>
      <c r="C332" s="102" t="s">
        <v>825</v>
      </c>
      <c r="D332" s="102" t="s">
        <v>816</v>
      </c>
      <c r="E332" s="103">
        <v>302053590696</v>
      </c>
      <c r="F332" s="104" t="s">
        <v>1108</v>
      </c>
      <c r="G332" s="51" t="s">
        <v>879</v>
      </c>
      <c r="H332" s="38" t="s">
        <v>880</v>
      </c>
      <c r="I332" s="304"/>
      <c r="J332" s="102"/>
      <c r="K332" s="105"/>
      <c r="L332" s="104">
        <v>201978000041</v>
      </c>
      <c r="M332" s="106" t="s">
        <v>302</v>
      </c>
      <c r="N332" s="105">
        <v>2</v>
      </c>
      <c r="O332" s="104" t="s">
        <v>796</v>
      </c>
      <c r="P332" s="107">
        <v>14060</v>
      </c>
      <c r="Q332" s="107">
        <v>2750</v>
      </c>
      <c r="R332" s="108">
        <v>1485</v>
      </c>
      <c r="S332" s="52">
        <f t="shared" si="7"/>
        <v>18295</v>
      </c>
    </row>
    <row r="333" spans="1:19" ht="16.5">
      <c r="A333" s="38">
        <f t="shared" si="10"/>
        <v>332</v>
      </c>
      <c r="B333" s="38"/>
      <c r="C333" s="102" t="s">
        <v>825</v>
      </c>
      <c r="D333" s="102" t="s">
        <v>808</v>
      </c>
      <c r="E333" s="103">
        <v>302040123934</v>
      </c>
      <c r="F333" s="104" t="s">
        <v>1109</v>
      </c>
      <c r="G333" s="51" t="s">
        <v>879</v>
      </c>
      <c r="H333" s="38" t="s">
        <v>880</v>
      </c>
      <c r="I333" s="304"/>
      <c r="J333" s="102"/>
      <c r="K333" s="105"/>
      <c r="L333" s="104">
        <v>202008000058</v>
      </c>
      <c r="M333" s="106" t="s">
        <v>315</v>
      </c>
      <c r="N333" s="105">
        <v>8</v>
      </c>
      <c r="O333" s="104" t="s">
        <v>796</v>
      </c>
      <c r="P333" s="107">
        <v>26900</v>
      </c>
      <c r="Q333" s="107">
        <v>2750</v>
      </c>
      <c r="R333" s="108">
        <v>1595</v>
      </c>
      <c r="S333" s="52">
        <f t="shared" si="7"/>
        <v>31245</v>
      </c>
    </row>
    <row r="334" spans="1:19" ht="16.5">
      <c r="A334" s="38">
        <f t="shared" si="10"/>
        <v>333</v>
      </c>
      <c r="B334" s="38"/>
      <c r="C334" s="102" t="s">
        <v>825</v>
      </c>
      <c r="D334" s="102" t="s">
        <v>816</v>
      </c>
      <c r="E334" s="103">
        <v>302040375363</v>
      </c>
      <c r="F334" s="104" t="s">
        <v>1110</v>
      </c>
      <c r="G334" s="51" t="s">
        <v>879</v>
      </c>
      <c r="H334" s="38" t="s">
        <v>880</v>
      </c>
      <c r="I334" s="304"/>
      <c r="J334" s="102"/>
      <c r="K334" s="105"/>
      <c r="L334" s="104">
        <v>201978000068</v>
      </c>
      <c r="M334" s="106" t="s">
        <v>401</v>
      </c>
      <c r="N334" s="105">
        <v>8</v>
      </c>
      <c r="O334" s="104" t="s">
        <v>796</v>
      </c>
      <c r="P334" s="371">
        <v>25900</v>
      </c>
      <c r="Q334" s="371">
        <v>2750</v>
      </c>
      <c r="R334" s="371">
        <v>1320</v>
      </c>
      <c r="S334" s="374">
        <f t="shared" si="7"/>
        <v>29970</v>
      </c>
    </row>
    <row r="335" spans="1:19" ht="16.5">
      <c r="A335" s="38">
        <f t="shared" si="10"/>
        <v>334</v>
      </c>
      <c r="B335" s="38"/>
      <c r="C335" s="102" t="s">
        <v>825</v>
      </c>
      <c r="D335" s="102" t="s">
        <v>816</v>
      </c>
      <c r="E335" s="103">
        <v>302040375363</v>
      </c>
      <c r="F335" s="104" t="s">
        <v>1110</v>
      </c>
      <c r="G335" s="51" t="s">
        <v>879</v>
      </c>
      <c r="H335" s="38" t="s">
        <v>880</v>
      </c>
      <c r="I335" s="304"/>
      <c r="J335" s="102"/>
      <c r="K335" s="105"/>
      <c r="L335" s="104">
        <v>201987000208</v>
      </c>
      <c r="M335" s="106" t="s">
        <v>919</v>
      </c>
      <c r="N335" s="105">
        <v>1</v>
      </c>
      <c r="O335" s="104" t="s">
        <v>796</v>
      </c>
      <c r="P335" s="373"/>
      <c r="Q335" s="373"/>
      <c r="R335" s="373"/>
      <c r="S335" s="376"/>
    </row>
    <row r="336" spans="1:19" ht="16.5">
      <c r="A336" s="38">
        <f t="shared" si="10"/>
        <v>335</v>
      </c>
      <c r="B336" s="38"/>
      <c r="C336" s="102" t="s">
        <v>825</v>
      </c>
      <c r="D336" s="102" t="s">
        <v>810</v>
      </c>
      <c r="E336" s="103">
        <v>302040253950</v>
      </c>
      <c r="F336" s="104" t="s">
        <v>1111</v>
      </c>
      <c r="G336" s="51" t="s">
        <v>879</v>
      </c>
      <c r="H336" s="38" t="s">
        <v>880</v>
      </c>
      <c r="I336" s="304"/>
      <c r="J336" s="102"/>
      <c r="K336" s="105"/>
      <c r="L336" s="104">
        <v>201978000068</v>
      </c>
      <c r="M336" s="106" t="s">
        <v>401</v>
      </c>
      <c r="N336" s="105">
        <v>8</v>
      </c>
      <c r="O336" s="104">
        <v>302040602126</v>
      </c>
      <c r="P336" s="371">
        <v>25900</v>
      </c>
      <c r="Q336" s="371">
        <v>2750</v>
      </c>
      <c r="R336" s="371">
        <v>1320</v>
      </c>
      <c r="S336" s="374">
        <f>SUM(P336:R337)</f>
        <v>29970</v>
      </c>
    </row>
    <row r="337" spans="1:19" ht="16.5">
      <c r="A337" s="38">
        <f t="shared" si="10"/>
        <v>336</v>
      </c>
      <c r="B337" s="38"/>
      <c r="C337" s="102" t="s">
        <v>825</v>
      </c>
      <c r="D337" s="102" t="s">
        <v>810</v>
      </c>
      <c r="E337" s="103">
        <v>302040253950</v>
      </c>
      <c r="F337" s="104" t="s">
        <v>1111</v>
      </c>
      <c r="G337" s="51" t="s">
        <v>879</v>
      </c>
      <c r="H337" s="38" t="s">
        <v>880</v>
      </c>
      <c r="I337" s="304"/>
      <c r="J337" s="102"/>
      <c r="K337" s="105"/>
      <c r="L337" s="104">
        <v>201987000207</v>
      </c>
      <c r="M337" s="106" t="s">
        <v>783</v>
      </c>
      <c r="N337" s="105">
        <v>1</v>
      </c>
      <c r="O337" s="104">
        <v>302040602126</v>
      </c>
      <c r="P337" s="373"/>
      <c r="Q337" s="373"/>
      <c r="R337" s="373"/>
      <c r="S337" s="376"/>
    </row>
    <row r="338" spans="1:19" ht="68.25">
      <c r="A338" s="38">
        <f t="shared" si="10"/>
        <v>337</v>
      </c>
      <c r="B338" s="38"/>
      <c r="C338" s="102" t="s">
        <v>864</v>
      </c>
      <c r="D338" s="102" t="s">
        <v>816</v>
      </c>
      <c r="E338" s="103">
        <v>302040386036</v>
      </c>
      <c r="F338" s="104" t="s">
        <v>1112</v>
      </c>
      <c r="G338" s="51" t="s">
        <v>879</v>
      </c>
      <c r="H338" s="38" t="s">
        <v>880</v>
      </c>
      <c r="I338" s="304"/>
      <c r="J338" s="102"/>
      <c r="K338" s="105"/>
      <c r="L338" s="104">
        <v>201987000293</v>
      </c>
      <c r="M338" s="106" t="s">
        <v>866</v>
      </c>
      <c r="N338" s="105">
        <v>1</v>
      </c>
      <c r="O338" s="104">
        <v>302040702764</v>
      </c>
      <c r="P338" s="107">
        <v>50000</v>
      </c>
      <c r="Q338" s="107">
        <v>3300</v>
      </c>
      <c r="R338" s="108">
        <v>1375</v>
      </c>
      <c r="S338" s="52">
        <f t="shared" si="7"/>
        <v>54675</v>
      </c>
    </row>
    <row r="339" spans="1:19" ht="68.25">
      <c r="A339" s="38">
        <f t="shared" si="10"/>
        <v>338</v>
      </c>
      <c r="B339" s="38"/>
      <c r="C339" s="102" t="s">
        <v>864</v>
      </c>
      <c r="D339" s="102" t="s">
        <v>810</v>
      </c>
      <c r="E339" s="103">
        <v>302040221363</v>
      </c>
      <c r="F339" s="104" t="s">
        <v>1113</v>
      </c>
      <c r="G339" s="51" t="s">
        <v>879</v>
      </c>
      <c r="H339" s="38" t="s">
        <v>880</v>
      </c>
      <c r="I339" s="304"/>
      <c r="J339" s="102"/>
      <c r="K339" s="105"/>
      <c r="L339" s="104">
        <v>201987000293</v>
      </c>
      <c r="M339" s="106" t="s">
        <v>866</v>
      </c>
      <c r="N339" s="105">
        <v>1</v>
      </c>
      <c r="O339" s="104">
        <v>302040702790</v>
      </c>
      <c r="P339" s="107">
        <v>50000</v>
      </c>
      <c r="Q339" s="107">
        <v>3300</v>
      </c>
      <c r="R339" s="108">
        <v>1375</v>
      </c>
      <c r="S339" s="52">
        <f t="shared" si="7"/>
        <v>54675</v>
      </c>
    </row>
    <row r="340" spans="1:19" ht="68.25">
      <c r="A340" s="38">
        <f t="shared" si="10"/>
        <v>339</v>
      </c>
      <c r="B340" s="38"/>
      <c r="C340" s="102" t="s">
        <v>864</v>
      </c>
      <c r="D340" s="102" t="s">
        <v>816</v>
      </c>
      <c r="E340" s="103">
        <v>302040383041</v>
      </c>
      <c r="F340" s="104" t="s">
        <v>1114</v>
      </c>
      <c r="G340" s="51" t="s">
        <v>879</v>
      </c>
      <c r="H340" s="38" t="s">
        <v>880</v>
      </c>
      <c r="I340" s="304"/>
      <c r="J340" s="102"/>
      <c r="K340" s="105"/>
      <c r="L340" s="104">
        <v>201987000293</v>
      </c>
      <c r="M340" s="106" t="s">
        <v>866</v>
      </c>
      <c r="N340" s="105">
        <v>1</v>
      </c>
      <c r="O340" s="104">
        <v>302040702812</v>
      </c>
      <c r="P340" s="107">
        <v>50000</v>
      </c>
      <c r="Q340" s="107">
        <v>3300</v>
      </c>
      <c r="R340" s="108">
        <v>1375</v>
      </c>
      <c r="S340" s="52">
        <f t="shared" si="7"/>
        <v>54675</v>
      </c>
    </row>
    <row r="341" spans="1:19" ht="68.25">
      <c r="A341" s="38">
        <f t="shared" si="10"/>
        <v>340</v>
      </c>
      <c r="B341" s="38"/>
      <c r="C341" s="102" t="s">
        <v>864</v>
      </c>
      <c r="D341" s="102" t="s">
        <v>816</v>
      </c>
      <c r="E341" s="103">
        <v>302040386655</v>
      </c>
      <c r="F341" s="104" t="s">
        <v>1115</v>
      </c>
      <c r="G341" s="51" t="s">
        <v>879</v>
      </c>
      <c r="H341" s="38" t="s">
        <v>880</v>
      </c>
      <c r="I341" s="304"/>
      <c r="J341" s="102"/>
      <c r="K341" s="105"/>
      <c r="L341" s="104">
        <v>201987000293</v>
      </c>
      <c r="M341" s="106" t="s">
        <v>866</v>
      </c>
      <c r="N341" s="105">
        <v>1</v>
      </c>
      <c r="O341" s="104">
        <v>302040702834</v>
      </c>
      <c r="P341" s="107">
        <v>50000</v>
      </c>
      <c r="Q341" s="107">
        <v>3300</v>
      </c>
      <c r="R341" s="108">
        <v>1375</v>
      </c>
      <c r="S341" s="52">
        <f t="shared" si="7"/>
        <v>54675</v>
      </c>
    </row>
    <row r="342" spans="1:19" ht="16.5">
      <c r="A342" s="38">
        <f t="shared" si="10"/>
        <v>341</v>
      </c>
      <c r="B342" s="38"/>
      <c r="C342" s="102" t="s">
        <v>831</v>
      </c>
      <c r="D342" s="102" t="s">
        <v>816</v>
      </c>
      <c r="E342" s="103">
        <v>302053611641</v>
      </c>
      <c r="F342" s="104" t="s">
        <v>1116</v>
      </c>
      <c r="G342" s="51" t="s">
        <v>879</v>
      </c>
      <c r="H342" s="38" t="s">
        <v>880</v>
      </c>
      <c r="I342" s="304"/>
      <c r="J342" s="102"/>
      <c r="K342" s="105"/>
      <c r="L342" s="104">
        <v>201978000041</v>
      </c>
      <c r="M342" s="106" t="s">
        <v>302</v>
      </c>
      <c r="N342" s="105">
        <v>2</v>
      </c>
      <c r="O342" s="104">
        <v>302053844133</v>
      </c>
      <c r="P342" s="107">
        <v>14930</v>
      </c>
      <c r="Q342" s="107">
        <v>2750</v>
      </c>
      <c r="R342" s="108">
        <v>1485</v>
      </c>
      <c r="S342" s="52">
        <f t="shared" si="7"/>
        <v>19165</v>
      </c>
    </row>
    <row r="343" spans="1:19" ht="16.5">
      <c r="A343" s="38">
        <f t="shared" si="10"/>
        <v>342</v>
      </c>
      <c r="B343" s="38"/>
      <c r="C343" s="102" t="s">
        <v>831</v>
      </c>
      <c r="D343" s="102" t="s">
        <v>1001</v>
      </c>
      <c r="E343" s="103">
        <v>302053636152</v>
      </c>
      <c r="F343" s="104" t="s">
        <v>1117</v>
      </c>
      <c r="G343" s="51" t="s">
        <v>879</v>
      </c>
      <c r="H343" s="38" t="s">
        <v>880</v>
      </c>
      <c r="I343" s="304"/>
      <c r="J343" s="102"/>
      <c r="K343" s="105"/>
      <c r="L343" s="104">
        <v>201978000043</v>
      </c>
      <c r="M343" s="106" t="s">
        <v>344</v>
      </c>
      <c r="N343" s="105">
        <v>4</v>
      </c>
      <c r="O343" s="104">
        <v>302053843606</v>
      </c>
      <c r="P343" s="107">
        <v>8500</v>
      </c>
      <c r="Q343" s="107">
        <v>2750</v>
      </c>
      <c r="R343" s="108">
        <v>1485</v>
      </c>
      <c r="S343" s="52">
        <f t="shared" si="7"/>
        <v>12735</v>
      </c>
    </row>
    <row r="344" spans="1:19" ht="68.25">
      <c r="A344" s="38">
        <f t="shared" si="10"/>
        <v>343</v>
      </c>
      <c r="B344" s="38"/>
      <c r="C344" s="102" t="s">
        <v>831</v>
      </c>
      <c r="D344" s="102" t="s">
        <v>825</v>
      </c>
      <c r="E344" s="103">
        <v>302040582390</v>
      </c>
      <c r="F344" s="104" t="s">
        <v>1118</v>
      </c>
      <c r="G344" s="51" t="s">
        <v>879</v>
      </c>
      <c r="H344" s="38" t="s">
        <v>880</v>
      </c>
      <c r="I344" s="304"/>
      <c r="J344" s="102"/>
      <c r="K344" s="105"/>
      <c r="L344" s="104">
        <v>201987000293</v>
      </c>
      <c r="M344" s="106" t="s">
        <v>866</v>
      </c>
      <c r="N344" s="105">
        <v>1</v>
      </c>
      <c r="O344" s="104">
        <v>302040759626</v>
      </c>
      <c r="P344" s="107">
        <v>50000</v>
      </c>
      <c r="Q344" s="107">
        <v>3300</v>
      </c>
      <c r="R344" s="108">
        <v>1375</v>
      </c>
      <c r="S344" s="52">
        <f t="shared" si="7"/>
        <v>54675</v>
      </c>
    </row>
    <row r="345" spans="1:19" ht="16.5">
      <c r="A345" s="38">
        <f t="shared" si="10"/>
        <v>344</v>
      </c>
      <c r="B345" s="38"/>
      <c r="C345" s="102" t="s">
        <v>838</v>
      </c>
      <c r="D345" s="102" t="s">
        <v>1074</v>
      </c>
      <c r="E345" s="103">
        <v>302053745680</v>
      </c>
      <c r="F345" s="104" t="s">
        <v>1119</v>
      </c>
      <c r="G345" s="51" t="s">
        <v>879</v>
      </c>
      <c r="H345" s="38" t="s">
        <v>880</v>
      </c>
      <c r="I345" s="304"/>
      <c r="J345" s="102"/>
      <c r="K345" s="105"/>
      <c r="L345" s="104">
        <v>201991000074</v>
      </c>
      <c r="M345" s="106" t="s">
        <v>1047</v>
      </c>
      <c r="N345" s="105">
        <v>3</v>
      </c>
      <c r="O345" s="104">
        <v>302053871186</v>
      </c>
      <c r="P345" s="107">
        <v>21830</v>
      </c>
      <c r="Q345" s="107">
        <v>3795</v>
      </c>
      <c r="R345" s="108">
        <v>1540</v>
      </c>
      <c r="S345" s="52">
        <f t="shared" si="7"/>
        <v>27165</v>
      </c>
    </row>
    <row r="346" spans="1:19" ht="16.5">
      <c r="A346" s="38">
        <f t="shared" si="10"/>
        <v>345</v>
      </c>
      <c r="B346" s="38"/>
      <c r="C346" s="102" t="s">
        <v>845</v>
      </c>
      <c r="D346" s="102" t="s">
        <v>849</v>
      </c>
      <c r="E346" s="103">
        <v>302053837225</v>
      </c>
      <c r="F346" s="104" t="s">
        <v>1120</v>
      </c>
      <c r="G346" s="51" t="s">
        <v>879</v>
      </c>
      <c r="H346" s="38" t="s">
        <v>880</v>
      </c>
      <c r="I346" s="304"/>
      <c r="J346" s="102"/>
      <c r="K346" s="105"/>
      <c r="L346" s="104">
        <v>202008000058</v>
      </c>
      <c r="M346" s="106" t="s">
        <v>315</v>
      </c>
      <c r="N346" s="105">
        <v>4</v>
      </c>
      <c r="O346" s="104">
        <v>302053948466</v>
      </c>
      <c r="P346" s="107">
        <v>11960</v>
      </c>
      <c r="Q346" s="107">
        <v>2750</v>
      </c>
      <c r="R346" s="108">
        <v>1485</v>
      </c>
      <c r="S346" s="52">
        <f t="shared" si="7"/>
        <v>16195</v>
      </c>
    </row>
    <row r="347" spans="1:19" ht="16.5">
      <c r="A347" s="38">
        <f t="shared" si="10"/>
        <v>346</v>
      </c>
      <c r="B347" s="38"/>
      <c r="C347" s="102" t="s">
        <v>845</v>
      </c>
      <c r="D347" s="102" t="s">
        <v>1121</v>
      </c>
      <c r="E347" s="103">
        <v>302053910036</v>
      </c>
      <c r="F347" s="104" t="s">
        <v>1122</v>
      </c>
      <c r="G347" s="51" t="s">
        <v>879</v>
      </c>
      <c r="H347" s="38" t="s">
        <v>880</v>
      </c>
      <c r="I347" s="304"/>
      <c r="J347" s="102"/>
      <c r="K347" s="105"/>
      <c r="L347" s="104">
        <v>201978000073</v>
      </c>
      <c r="M347" s="106" t="s">
        <v>941</v>
      </c>
      <c r="N347" s="105">
        <v>2</v>
      </c>
      <c r="O347" s="104" t="s">
        <v>796</v>
      </c>
      <c r="P347" s="107">
        <v>16530</v>
      </c>
      <c r="Q347" s="371">
        <v>3795</v>
      </c>
      <c r="R347" s="371">
        <v>1540</v>
      </c>
      <c r="S347" s="374">
        <f>SUM(P347:R350)</f>
        <v>84055</v>
      </c>
    </row>
    <row r="348" spans="1:19" ht="16.5">
      <c r="A348" s="38">
        <f t="shared" si="10"/>
        <v>347</v>
      </c>
      <c r="B348" s="38"/>
      <c r="C348" s="102" t="s">
        <v>845</v>
      </c>
      <c r="D348" s="102" t="s">
        <v>1121</v>
      </c>
      <c r="E348" s="103">
        <v>302053910036</v>
      </c>
      <c r="F348" s="104" t="s">
        <v>1122</v>
      </c>
      <c r="G348" s="51" t="s">
        <v>879</v>
      </c>
      <c r="H348" s="38" t="s">
        <v>880</v>
      </c>
      <c r="I348" s="304"/>
      <c r="J348" s="102"/>
      <c r="K348" s="105"/>
      <c r="L348" s="104">
        <v>201978000093</v>
      </c>
      <c r="M348" s="106" t="s">
        <v>917</v>
      </c>
      <c r="N348" s="105">
        <v>2</v>
      </c>
      <c r="O348" s="104" t="s">
        <v>796</v>
      </c>
      <c r="P348" s="107">
        <v>21350</v>
      </c>
      <c r="Q348" s="372"/>
      <c r="R348" s="372"/>
      <c r="S348" s="375"/>
    </row>
    <row r="349" spans="1:19" ht="16.5">
      <c r="A349" s="38">
        <f t="shared" si="10"/>
        <v>348</v>
      </c>
      <c r="B349" s="38"/>
      <c r="C349" s="102" t="s">
        <v>845</v>
      </c>
      <c r="D349" s="102" t="s">
        <v>1121</v>
      </c>
      <c r="E349" s="103">
        <v>302053910036</v>
      </c>
      <c r="F349" s="104" t="s">
        <v>1122</v>
      </c>
      <c r="G349" s="51" t="s">
        <v>879</v>
      </c>
      <c r="H349" s="38" t="s">
        <v>880</v>
      </c>
      <c r="I349" s="304"/>
      <c r="J349" s="102"/>
      <c r="K349" s="105"/>
      <c r="L349" s="104">
        <v>201978000069</v>
      </c>
      <c r="M349" s="106" t="s">
        <v>1123</v>
      </c>
      <c r="N349" s="105">
        <v>3</v>
      </c>
      <c r="O349" s="104" t="s">
        <v>796</v>
      </c>
      <c r="P349" s="107">
        <v>25320</v>
      </c>
      <c r="Q349" s="372"/>
      <c r="R349" s="372"/>
      <c r="S349" s="375"/>
    </row>
    <row r="350" spans="1:19" ht="16.5">
      <c r="A350" s="38">
        <f t="shared" si="10"/>
        <v>349</v>
      </c>
      <c r="B350" s="38"/>
      <c r="C350" s="102" t="s">
        <v>845</v>
      </c>
      <c r="D350" s="102" t="s">
        <v>1121</v>
      </c>
      <c r="E350" s="103">
        <v>302053910036</v>
      </c>
      <c r="F350" s="104" t="s">
        <v>1122</v>
      </c>
      <c r="G350" s="51" t="s">
        <v>879</v>
      </c>
      <c r="H350" s="38" t="s">
        <v>880</v>
      </c>
      <c r="I350" s="304"/>
      <c r="J350" s="102"/>
      <c r="K350" s="105"/>
      <c r="L350" s="104">
        <v>201991000021</v>
      </c>
      <c r="M350" s="106" t="s">
        <v>1124</v>
      </c>
      <c r="N350" s="105">
        <v>4</v>
      </c>
      <c r="O350" s="104" t="s">
        <v>796</v>
      </c>
      <c r="P350" s="107">
        <v>15520</v>
      </c>
      <c r="Q350" s="373"/>
      <c r="R350" s="373"/>
      <c r="S350" s="376"/>
    </row>
    <row r="351" spans="1:19" ht="16.5">
      <c r="A351" s="38">
        <f t="shared" si="10"/>
        <v>350</v>
      </c>
      <c r="B351" s="38"/>
      <c r="C351" s="102" t="s">
        <v>953</v>
      </c>
      <c r="D351" s="102" t="s">
        <v>1121</v>
      </c>
      <c r="E351" s="103">
        <v>302053910261</v>
      </c>
      <c r="F351" s="104" t="s">
        <v>1125</v>
      </c>
      <c r="G351" s="51" t="s">
        <v>879</v>
      </c>
      <c r="H351" s="38" t="s">
        <v>880</v>
      </c>
      <c r="I351" s="304"/>
      <c r="J351" s="102"/>
      <c r="K351" s="105"/>
      <c r="L351" s="104">
        <v>201978000093</v>
      </c>
      <c r="M351" s="106" t="s">
        <v>1126</v>
      </c>
      <c r="N351" s="105">
        <v>2</v>
      </c>
      <c r="O351" s="104" t="s">
        <v>796</v>
      </c>
      <c r="P351" s="107">
        <v>18330</v>
      </c>
      <c r="Q351" s="107">
        <v>3245</v>
      </c>
      <c r="R351" s="108">
        <v>1485</v>
      </c>
      <c r="S351" s="52">
        <f t="shared" ref="S348:S355" si="11">SUM(P351:R351)</f>
        <v>23060</v>
      </c>
    </row>
    <row r="352" spans="1:19" ht="16.5">
      <c r="A352" s="38">
        <f t="shared" si="10"/>
        <v>351</v>
      </c>
      <c r="B352" s="38"/>
      <c r="C352" s="102" t="s">
        <v>953</v>
      </c>
      <c r="D352" s="102" t="s">
        <v>936</v>
      </c>
      <c r="E352" s="103">
        <v>302040370430</v>
      </c>
      <c r="F352" s="104" t="s">
        <v>1127</v>
      </c>
      <c r="G352" s="51" t="s">
        <v>879</v>
      </c>
      <c r="H352" s="38" t="s">
        <v>880</v>
      </c>
      <c r="I352" s="304"/>
      <c r="J352" s="102"/>
      <c r="K352" s="105"/>
      <c r="L352" s="104">
        <v>201978000041</v>
      </c>
      <c r="M352" s="106" t="s">
        <v>302</v>
      </c>
      <c r="N352" s="105">
        <v>2</v>
      </c>
      <c r="O352" s="104">
        <v>302040976346</v>
      </c>
      <c r="P352" s="371">
        <v>19900</v>
      </c>
      <c r="Q352" s="371">
        <v>2750</v>
      </c>
      <c r="R352" s="371">
        <v>1485</v>
      </c>
      <c r="S352" s="374">
        <f t="shared" si="11"/>
        <v>24135</v>
      </c>
    </row>
    <row r="353" spans="1:21" ht="16.5">
      <c r="A353" s="38">
        <f t="shared" si="10"/>
        <v>352</v>
      </c>
      <c r="B353" s="38"/>
      <c r="C353" s="102" t="s">
        <v>953</v>
      </c>
      <c r="D353" s="102" t="s">
        <v>936</v>
      </c>
      <c r="E353" s="103">
        <v>302040370430</v>
      </c>
      <c r="F353" s="104" t="s">
        <v>1127</v>
      </c>
      <c r="G353" s="51" t="s">
        <v>879</v>
      </c>
      <c r="H353" s="38" t="s">
        <v>880</v>
      </c>
      <c r="I353" s="304"/>
      <c r="J353" s="102"/>
      <c r="K353" s="105"/>
      <c r="L353" s="104">
        <v>201978000043</v>
      </c>
      <c r="M353" s="106" t="s">
        <v>344</v>
      </c>
      <c r="N353" s="105">
        <v>1</v>
      </c>
      <c r="O353" s="104">
        <v>302040976346</v>
      </c>
      <c r="P353" s="373"/>
      <c r="Q353" s="373"/>
      <c r="R353" s="373"/>
      <c r="S353" s="376"/>
    </row>
    <row r="354" spans="1:21" ht="16.5">
      <c r="A354" s="38">
        <f t="shared" si="10"/>
        <v>353</v>
      </c>
      <c r="B354" s="38"/>
      <c r="C354" s="102" t="s">
        <v>959</v>
      </c>
      <c r="D354" s="102" t="s">
        <v>960</v>
      </c>
      <c r="E354" s="103">
        <v>302053890510</v>
      </c>
      <c r="F354" s="104" t="s">
        <v>1128</v>
      </c>
      <c r="G354" s="51" t="s">
        <v>879</v>
      </c>
      <c r="H354" s="38" t="s">
        <v>880</v>
      </c>
      <c r="I354" s="304"/>
      <c r="J354" s="102"/>
      <c r="K354" s="105"/>
      <c r="L354" s="104">
        <v>201991000041</v>
      </c>
      <c r="M354" s="106" t="s">
        <v>356</v>
      </c>
      <c r="N354" s="105">
        <v>5</v>
      </c>
      <c r="O354" s="104">
        <v>302054065753</v>
      </c>
      <c r="P354" s="107">
        <v>24900</v>
      </c>
      <c r="Q354" s="107">
        <v>3245</v>
      </c>
      <c r="R354" s="108">
        <v>1485</v>
      </c>
      <c r="S354" s="52">
        <f t="shared" si="11"/>
        <v>29630</v>
      </c>
    </row>
    <row r="355" spans="1:21" ht="16.5">
      <c r="A355" s="38">
        <f t="shared" si="10"/>
        <v>354</v>
      </c>
      <c r="B355" s="38"/>
      <c r="C355" s="102" t="s">
        <v>959</v>
      </c>
      <c r="D355" s="102" t="s">
        <v>968</v>
      </c>
      <c r="E355" s="103">
        <v>302040889314</v>
      </c>
      <c r="F355" s="104" t="s">
        <v>1129</v>
      </c>
      <c r="G355" s="51" t="s">
        <v>879</v>
      </c>
      <c r="H355" s="38" t="s">
        <v>880</v>
      </c>
      <c r="I355" s="304"/>
      <c r="J355" s="102"/>
      <c r="K355" s="105"/>
      <c r="L355" s="104">
        <v>201978000041</v>
      </c>
      <c r="M355" s="106" t="s">
        <v>302</v>
      </c>
      <c r="N355" s="105">
        <v>2</v>
      </c>
      <c r="O355" s="104">
        <v>302041022885</v>
      </c>
      <c r="P355" s="107">
        <v>18590</v>
      </c>
      <c r="Q355" s="107">
        <v>2750</v>
      </c>
      <c r="R355" s="108">
        <v>1485</v>
      </c>
      <c r="S355" s="52">
        <f t="shared" si="11"/>
        <v>22825</v>
      </c>
    </row>
    <row r="356" spans="1:21" ht="16.5">
      <c r="A356" s="38">
        <f t="shared" si="10"/>
        <v>355</v>
      </c>
      <c r="B356" s="38" t="s">
        <v>752</v>
      </c>
      <c r="C356" s="102" t="s">
        <v>963</v>
      </c>
      <c r="D356" s="102" t="s">
        <v>968</v>
      </c>
      <c r="E356" s="103">
        <v>302040877624</v>
      </c>
      <c r="F356" s="104" t="s">
        <v>1130</v>
      </c>
      <c r="G356" s="51" t="s">
        <v>879</v>
      </c>
      <c r="H356" s="38" t="s">
        <v>880</v>
      </c>
      <c r="I356" s="304"/>
      <c r="J356" s="102"/>
      <c r="K356" s="105"/>
      <c r="L356" s="104">
        <v>201978000138</v>
      </c>
      <c r="M356" s="106" t="s">
        <v>407</v>
      </c>
      <c r="N356" s="105">
        <v>2</v>
      </c>
      <c r="O356" s="104" t="s">
        <v>796</v>
      </c>
      <c r="P356" s="371">
        <v>62604</v>
      </c>
      <c r="Q356" s="371">
        <v>4015</v>
      </c>
      <c r="R356" s="371">
        <v>2035</v>
      </c>
      <c r="S356" s="374">
        <f t="shared" si="7"/>
        <v>68654</v>
      </c>
    </row>
    <row r="357" spans="1:21" ht="16.5">
      <c r="A357" s="38">
        <f t="shared" si="10"/>
        <v>356</v>
      </c>
      <c r="B357" s="38" t="s">
        <v>752</v>
      </c>
      <c r="C357" s="102" t="s">
        <v>963</v>
      </c>
      <c r="D357" s="102" t="s">
        <v>968</v>
      </c>
      <c r="E357" s="103">
        <v>302040877624</v>
      </c>
      <c r="F357" s="104" t="s">
        <v>1130</v>
      </c>
      <c r="G357" s="51" t="s">
        <v>879</v>
      </c>
      <c r="H357" s="38" t="s">
        <v>880</v>
      </c>
      <c r="I357" s="304"/>
      <c r="J357" s="102"/>
      <c r="K357" s="105"/>
      <c r="L357" s="104">
        <v>201978000103</v>
      </c>
      <c r="M357" s="106" t="s">
        <v>935</v>
      </c>
      <c r="N357" s="105">
        <v>4</v>
      </c>
      <c r="O357" s="104" t="s">
        <v>796</v>
      </c>
      <c r="P357" s="373"/>
      <c r="Q357" s="373"/>
      <c r="R357" s="373"/>
      <c r="S357" s="376"/>
    </row>
    <row r="358" spans="1:21" ht="16.5">
      <c r="A358" s="38">
        <f t="shared" si="10"/>
        <v>357</v>
      </c>
      <c r="B358" s="38" t="s">
        <v>752</v>
      </c>
      <c r="C358" s="102"/>
      <c r="D358" s="102"/>
      <c r="E358" s="103"/>
      <c r="F358" s="104"/>
      <c r="G358" s="51"/>
      <c r="H358" s="38"/>
      <c r="I358" s="304"/>
      <c r="J358" s="102"/>
      <c r="K358" s="105"/>
      <c r="L358" s="104"/>
      <c r="M358" s="106"/>
      <c r="N358" s="105"/>
      <c r="O358" s="104"/>
      <c r="P358" s="107"/>
      <c r="Q358" s="107"/>
      <c r="R358" s="108"/>
      <c r="S358" s="52">
        <f t="shared" si="7"/>
        <v>0</v>
      </c>
    </row>
    <row r="359" spans="1:21" ht="16.5">
      <c r="A359" s="38">
        <f t="shared" si="10"/>
        <v>358</v>
      </c>
      <c r="B359" s="38" t="s">
        <v>752</v>
      </c>
      <c r="C359" s="102"/>
      <c r="D359" s="102"/>
      <c r="E359" s="103"/>
      <c r="F359" s="104"/>
      <c r="G359" s="51"/>
      <c r="H359" s="38"/>
      <c r="I359" s="304"/>
      <c r="J359" s="181"/>
      <c r="K359" s="105"/>
      <c r="L359" s="104"/>
      <c r="M359" s="106"/>
      <c r="N359" s="105"/>
      <c r="O359" s="104"/>
      <c r="P359" s="107"/>
      <c r="Q359" s="107"/>
      <c r="R359" s="108"/>
      <c r="S359" s="52">
        <f t="shared" si="7"/>
        <v>0</v>
      </c>
    </row>
    <row r="360" spans="1:21" ht="16.5">
      <c r="A360" s="38">
        <f t="shared" si="10"/>
        <v>359</v>
      </c>
      <c r="B360" s="38" t="s">
        <v>752</v>
      </c>
      <c r="C360" s="102"/>
      <c r="D360" s="102"/>
      <c r="E360" s="103"/>
      <c r="F360" s="104"/>
      <c r="G360" s="51"/>
      <c r="H360" s="38"/>
      <c r="I360" s="304"/>
      <c r="J360" s="181"/>
      <c r="K360" s="105"/>
      <c r="L360" s="104"/>
      <c r="M360" s="106"/>
      <c r="N360" s="105"/>
      <c r="O360" s="104"/>
      <c r="P360" s="107"/>
      <c r="Q360" s="107"/>
      <c r="R360" s="108"/>
      <c r="S360" s="52">
        <f t="shared" si="7"/>
        <v>0</v>
      </c>
    </row>
    <row r="361" spans="1:21" ht="16.5">
      <c r="A361" s="38">
        <f t="shared" si="10"/>
        <v>360</v>
      </c>
      <c r="B361" s="38" t="s">
        <v>752</v>
      </c>
      <c r="C361" s="102"/>
      <c r="D361" s="102"/>
      <c r="E361" s="103"/>
      <c r="F361" s="104"/>
      <c r="G361" s="51"/>
      <c r="H361" s="38"/>
      <c r="I361" s="304"/>
      <c r="J361" s="181"/>
      <c r="K361" s="105"/>
      <c r="L361" s="104"/>
      <c r="M361" s="106"/>
      <c r="N361" s="105"/>
      <c r="O361" s="104"/>
      <c r="P361" s="107"/>
      <c r="Q361" s="107"/>
      <c r="R361" s="108"/>
      <c r="S361" s="52">
        <f t="shared" si="7"/>
        <v>0</v>
      </c>
    </row>
    <row r="362" spans="1:21" ht="16.5">
      <c r="A362" s="38">
        <f t="shared" si="10"/>
        <v>361</v>
      </c>
      <c r="B362" s="38" t="s">
        <v>752</v>
      </c>
      <c r="C362" s="102"/>
      <c r="D362" s="102"/>
      <c r="E362" s="103"/>
      <c r="F362" s="104"/>
      <c r="G362" s="51"/>
      <c r="H362" s="38"/>
      <c r="I362" s="304"/>
      <c r="J362" s="181"/>
      <c r="K362" s="105"/>
      <c r="L362" s="104"/>
      <c r="M362" s="106"/>
      <c r="N362" s="105"/>
      <c r="O362" s="104"/>
      <c r="P362" s="107"/>
      <c r="Q362" s="107"/>
      <c r="R362" s="108"/>
      <c r="S362" s="52">
        <f t="shared" si="7"/>
        <v>0</v>
      </c>
    </row>
    <row r="363" spans="1:21" ht="16.5">
      <c r="A363" s="38">
        <f t="shared" si="10"/>
        <v>362</v>
      </c>
      <c r="B363" s="38" t="s">
        <v>752</v>
      </c>
      <c r="C363" s="102"/>
      <c r="D363" s="102"/>
      <c r="E363" s="103"/>
      <c r="F363" s="104"/>
      <c r="G363" s="51"/>
      <c r="H363" s="38"/>
      <c r="I363" s="304"/>
      <c r="J363" s="181"/>
      <c r="K363" s="105"/>
      <c r="L363" s="104"/>
      <c r="M363" s="106"/>
      <c r="N363" s="105"/>
      <c r="O363" s="104"/>
      <c r="P363" s="107"/>
      <c r="Q363" s="107"/>
      <c r="R363" s="108"/>
      <c r="S363" s="52">
        <f t="shared" si="7"/>
        <v>0</v>
      </c>
    </row>
    <row r="364" spans="1:21" ht="16.5">
      <c r="A364" s="38">
        <f t="shared" si="10"/>
        <v>363</v>
      </c>
      <c r="B364" s="38" t="s">
        <v>752</v>
      </c>
      <c r="C364" s="102"/>
      <c r="D364" s="102"/>
      <c r="E364" s="103"/>
      <c r="F364" s="104"/>
      <c r="G364" s="51"/>
      <c r="H364" s="38"/>
      <c r="I364" s="304"/>
      <c r="J364" s="181"/>
      <c r="K364" s="105"/>
      <c r="L364" s="104"/>
      <c r="M364" s="106"/>
      <c r="N364" s="105"/>
      <c r="O364" s="104"/>
      <c r="P364" s="107"/>
      <c r="Q364" s="107"/>
      <c r="R364" s="108"/>
      <c r="S364" s="52">
        <f t="shared" si="7"/>
        <v>0</v>
      </c>
    </row>
    <row r="365" spans="1:21" ht="16.5">
      <c r="A365" s="377" t="s">
        <v>676</v>
      </c>
      <c r="B365" s="378"/>
      <c r="C365" s="378"/>
      <c r="D365" s="378"/>
      <c r="E365" s="378"/>
      <c r="F365" s="378"/>
      <c r="G365" s="378"/>
      <c r="H365" s="378"/>
      <c r="I365" s="378"/>
      <c r="J365" s="378"/>
      <c r="K365" s="378"/>
      <c r="L365" s="378"/>
      <c r="M365" s="378"/>
      <c r="N365" s="378"/>
      <c r="O365" s="378"/>
      <c r="P365" s="378"/>
      <c r="Q365" s="378"/>
      <c r="R365" s="379"/>
      <c r="S365" s="101">
        <f>SUM(S2:S364)</f>
        <v>6392339</v>
      </c>
      <c r="U365" s="45"/>
    </row>
    <row r="367" spans="1:21">
      <c r="C367"/>
      <c r="D367"/>
      <c r="E367"/>
    </row>
    <row r="368" spans="1:21">
      <c r="C368"/>
      <c r="D368"/>
      <c r="E368"/>
    </row>
    <row r="369" spans="3:13">
      <c r="C369"/>
      <c r="D369"/>
      <c r="E369"/>
      <c r="M369" s="105"/>
    </row>
    <row r="370" spans="3:13">
      <c r="C370"/>
      <c r="D370"/>
      <c r="E370"/>
    </row>
    <row r="371" spans="3:13">
      <c r="C371"/>
      <c r="D371"/>
      <c r="E371"/>
    </row>
    <row r="372" spans="3:13">
      <c r="C372"/>
      <c r="D372"/>
      <c r="E372"/>
    </row>
    <row r="373" spans="3:13">
      <c r="C373"/>
      <c r="D373"/>
      <c r="E373"/>
    </row>
    <row r="374" spans="3:13">
      <c r="C374"/>
      <c r="D374"/>
      <c r="E374"/>
    </row>
    <row r="375" spans="3:13">
      <c r="C375"/>
      <c r="D375"/>
      <c r="E375"/>
    </row>
    <row r="376" spans="3:13">
      <c r="C376"/>
      <c r="D376"/>
      <c r="E376"/>
    </row>
    <row r="377" spans="3:13">
      <c r="C377"/>
      <c r="D377"/>
      <c r="E377"/>
    </row>
    <row r="378" spans="3:13">
      <c r="C378"/>
      <c r="D378"/>
      <c r="E378"/>
    </row>
    <row r="379" spans="3:13">
      <c r="C379"/>
      <c r="D379"/>
      <c r="E379"/>
    </row>
    <row r="380" spans="3:13">
      <c r="C380"/>
      <c r="D380"/>
      <c r="E380"/>
    </row>
    <row r="381" spans="3:13">
      <c r="C381"/>
      <c r="D381"/>
      <c r="E381"/>
    </row>
    <row r="382" spans="3:13">
      <c r="C382"/>
      <c r="D382"/>
      <c r="E382"/>
    </row>
    <row r="383" spans="3:13">
      <c r="C383"/>
      <c r="D383"/>
      <c r="E383"/>
    </row>
    <row r="384" spans="3:13">
      <c r="C384"/>
      <c r="D384"/>
      <c r="E384"/>
    </row>
    <row r="385" spans="3:5">
      <c r="C385"/>
      <c r="D385"/>
      <c r="E385"/>
    </row>
    <row r="386" spans="3:5">
      <c r="C386"/>
      <c r="D386"/>
      <c r="E386"/>
    </row>
    <row r="387" spans="3:5">
      <c r="C387"/>
      <c r="D387"/>
      <c r="E387"/>
    </row>
    <row r="388" spans="3:5">
      <c r="C388"/>
      <c r="D388"/>
      <c r="E388"/>
    </row>
    <row r="389" spans="3:5">
      <c r="C389"/>
      <c r="D389"/>
      <c r="E389"/>
    </row>
    <row r="390" spans="3:5">
      <c r="C390"/>
      <c r="D390"/>
      <c r="E390"/>
    </row>
    <row r="391" spans="3:5">
      <c r="C391"/>
      <c r="D391"/>
      <c r="E391"/>
    </row>
    <row r="392" spans="3:5">
      <c r="C392"/>
      <c r="D392"/>
      <c r="E392"/>
    </row>
    <row r="393" spans="3:5">
      <c r="C393"/>
      <c r="D393"/>
      <c r="E393"/>
    </row>
    <row r="394" spans="3:5">
      <c r="C394"/>
      <c r="D394"/>
      <c r="E394"/>
    </row>
    <row r="395" spans="3:5">
      <c r="C395"/>
      <c r="D395"/>
      <c r="E395"/>
    </row>
    <row r="396" spans="3:5">
      <c r="C396"/>
      <c r="D396"/>
      <c r="E396"/>
    </row>
    <row r="397" spans="3:5">
      <c r="C397"/>
      <c r="D397"/>
      <c r="E397"/>
    </row>
    <row r="398" spans="3:5">
      <c r="C398"/>
      <c r="D398"/>
      <c r="E398"/>
    </row>
  </sheetData>
  <mergeCells count="206">
    <mergeCell ref="P200:P205"/>
    <mergeCell ref="Q200:Q205"/>
    <mergeCell ref="R200:R205"/>
    <mergeCell ref="S200:S205"/>
    <mergeCell ref="P217:P218"/>
    <mergeCell ref="Q217:Q218"/>
    <mergeCell ref="R217:R218"/>
    <mergeCell ref="S217:S218"/>
    <mergeCell ref="Q193:Q195"/>
    <mergeCell ref="R193:R195"/>
    <mergeCell ref="S193:S195"/>
    <mergeCell ref="P197:P199"/>
    <mergeCell ref="Q197:Q199"/>
    <mergeCell ref="R197:R199"/>
    <mergeCell ref="S197:S199"/>
    <mergeCell ref="S168:S173"/>
    <mergeCell ref="P180:P181"/>
    <mergeCell ref="Q179:Q181"/>
    <mergeCell ref="R179:R181"/>
    <mergeCell ref="S179:S181"/>
    <mergeCell ref="Q160:Q161"/>
    <mergeCell ref="R160:R161"/>
    <mergeCell ref="Q168:Q173"/>
    <mergeCell ref="R168:R173"/>
    <mergeCell ref="P170:P171"/>
    <mergeCell ref="P140:P146"/>
    <mergeCell ref="Q140:Q146"/>
    <mergeCell ref="R140:R146"/>
    <mergeCell ref="S140:S146"/>
    <mergeCell ref="P149:P154"/>
    <mergeCell ref="Q149:Q154"/>
    <mergeCell ref="R149:R154"/>
    <mergeCell ref="S149:S154"/>
    <mergeCell ref="P118:P123"/>
    <mergeCell ref="Q118:Q123"/>
    <mergeCell ref="R118:R123"/>
    <mergeCell ref="S118:S123"/>
    <mergeCell ref="P128:P129"/>
    <mergeCell ref="Q128:Q129"/>
    <mergeCell ref="R128:R129"/>
    <mergeCell ref="S128:S129"/>
    <mergeCell ref="P112:P113"/>
    <mergeCell ref="Q112:Q113"/>
    <mergeCell ref="R112:R113"/>
    <mergeCell ref="S112:S113"/>
    <mergeCell ref="P114:P117"/>
    <mergeCell ref="Q114:Q117"/>
    <mergeCell ref="R114:R117"/>
    <mergeCell ref="S114:S117"/>
    <mergeCell ref="P99:P100"/>
    <mergeCell ref="Q99:Q100"/>
    <mergeCell ref="R99:R100"/>
    <mergeCell ref="S99:S100"/>
    <mergeCell ref="P108:P109"/>
    <mergeCell ref="Q108:Q109"/>
    <mergeCell ref="R108:R109"/>
    <mergeCell ref="S108:S109"/>
    <mergeCell ref="Q90:Q92"/>
    <mergeCell ref="R90:R92"/>
    <mergeCell ref="S90:S92"/>
    <mergeCell ref="Q94:Q95"/>
    <mergeCell ref="R94:R95"/>
    <mergeCell ref="S94:S95"/>
    <mergeCell ref="Q81:Q82"/>
    <mergeCell ref="R81:R82"/>
    <mergeCell ref="S81:S82"/>
    <mergeCell ref="P86:P87"/>
    <mergeCell ref="Q86:Q87"/>
    <mergeCell ref="R86:R87"/>
    <mergeCell ref="S86:S87"/>
    <mergeCell ref="P74:P75"/>
    <mergeCell ref="Q74:Q75"/>
    <mergeCell ref="R74:R75"/>
    <mergeCell ref="S74:S75"/>
    <mergeCell ref="P77:P78"/>
    <mergeCell ref="Q77:Q78"/>
    <mergeCell ref="R77:R78"/>
    <mergeCell ref="S77:S78"/>
    <mergeCell ref="P66:P67"/>
    <mergeCell ref="Q66:Q67"/>
    <mergeCell ref="R66:R67"/>
    <mergeCell ref="S66:S67"/>
    <mergeCell ref="Q69:Q70"/>
    <mergeCell ref="R69:R70"/>
    <mergeCell ref="S69:S70"/>
    <mergeCell ref="P69:P70"/>
    <mergeCell ref="Q56:Q57"/>
    <mergeCell ref="R56:R57"/>
    <mergeCell ref="S56:S57"/>
    <mergeCell ref="Q58:Q59"/>
    <mergeCell ref="R58:R59"/>
    <mergeCell ref="S58:S59"/>
    <mergeCell ref="A365:R365"/>
    <mergeCell ref="Q39:Q40"/>
    <mergeCell ref="R39:R40"/>
    <mergeCell ref="S39:S40"/>
    <mergeCell ref="Q3:Q4"/>
    <mergeCell ref="R3:R4"/>
    <mergeCell ref="S3:S4"/>
    <mergeCell ref="Q15:Q16"/>
    <mergeCell ref="R15:R16"/>
    <mergeCell ref="S15:S16"/>
    <mergeCell ref="S52:S53"/>
    <mergeCell ref="R52:R53"/>
    <mergeCell ref="Q52:Q53"/>
    <mergeCell ref="Q54:Q55"/>
    <mergeCell ref="R54:R55"/>
    <mergeCell ref="S54:S55"/>
    <mergeCell ref="Q212:Q213"/>
    <mergeCell ref="R212:R213"/>
    <mergeCell ref="S212:S213"/>
    <mergeCell ref="Q206:Q207"/>
    <mergeCell ref="R206:R207"/>
    <mergeCell ref="S206:S207"/>
    <mergeCell ref="P219:P220"/>
    <mergeCell ref="Q219:Q220"/>
    <mergeCell ref="R219:R220"/>
    <mergeCell ref="S219:S220"/>
    <mergeCell ref="R226:R230"/>
    <mergeCell ref="Q226:Q230"/>
    <mergeCell ref="P227:P228"/>
    <mergeCell ref="P229:P230"/>
    <mergeCell ref="S226:S230"/>
    <mergeCell ref="P235:P236"/>
    <mergeCell ref="Q235:Q238"/>
    <mergeCell ref="R235:R238"/>
    <mergeCell ref="S235:S238"/>
    <mergeCell ref="Q239:Q241"/>
    <mergeCell ref="R239:R241"/>
    <mergeCell ref="P242:P247"/>
    <mergeCell ref="Q242:Q247"/>
    <mergeCell ref="R242:R247"/>
    <mergeCell ref="S242:S247"/>
    <mergeCell ref="P250:P251"/>
    <mergeCell ref="Q250:Q251"/>
    <mergeCell ref="R250:R251"/>
    <mergeCell ref="S250:S251"/>
    <mergeCell ref="P265:P266"/>
    <mergeCell ref="Q265:Q266"/>
    <mergeCell ref="R265:R266"/>
    <mergeCell ref="S265:S266"/>
    <mergeCell ref="P273:P274"/>
    <mergeCell ref="Q273:Q274"/>
    <mergeCell ref="R273:R274"/>
    <mergeCell ref="S273:S274"/>
    <mergeCell ref="P282:P284"/>
    <mergeCell ref="Q282:Q284"/>
    <mergeCell ref="R282:R284"/>
    <mergeCell ref="S282:S284"/>
    <mergeCell ref="P293:P294"/>
    <mergeCell ref="Q293:Q294"/>
    <mergeCell ref="R293:R294"/>
    <mergeCell ref="S293:S294"/>
    <mergeCell ref="P295:P296"/>
    <mergeCell ref="Q295:Q296"/>
    <mergeCell ref="R295:R296"/>
    <mergeCell ref="S295:S296"/>
    <mergeCell ref="P297:P298"/>
    <mergeCell ref="Q297:Q298"/>
    <mergeCell ref="R297:R298"/>
    <mergeCell ref="S297:S298"/>
    <mergeCell ref="P299:P300"/>
    <mergeCell ref="Q299:Q300"/>
    <mergeCell ref="R299:R300"/>
    <mergeCell ref="S299:S300"/>
    <mergeCell ref="Q302:Q303"/>
    <mergeCell ref="R302:R303"/>
    <mergeCell ref="S302:S303"/>
    <mergeCell ref="P307:P308"/>
    <mergeCell ref="Q307:Q308"/>
    <mergeCell ref="R307:R308"/>
    <mergeCell ref="S307:S308"/>
    <mergeCell ref="P311:P319"/>
    <mergeCell ref="Q311:Q319"/>
    <mergeCell ref="R311:R319"/>
    <mergeCell ref="S311:S319"/>
    <mergeCell ref="Q320:Q322"/>
    <mergeCell ref="R320:R322"/>
    <mergeCell ref="S320:S322"/>
    <mergeCell ref="P323:P324"/>
    <mergeCell ref="Q323:Q324"/>
    <mergeCell ref="R323:R324"/>
    <mergeCell ref="S323:S324"/>
    <mergeCell ref="P325:P326"/>
    <mergeCell ref="Q325:Q326"/>
    <mergeCell ref="R325:R326"/>
    <mergeCell ref="S325:S326"/>
    <mergeCell ref="P334:P335"/>
    <mergeCell ref="Q334:Q335"/>
    <mergeCell ref="R334:R335"/>
    <mergeCell ref="S334:S335"/>
    <mergeCell ref="P336:P337"/>
    <mergeCell ref="Q336:Q337"/>
    <mergeCell ref="R336:R337"/>
    <mergeCell ref="S336:S337"/>
    <mergeCell ref="Q347:Q350"/>
    <mergeCell ref="R347:R350"/>
    <mergeCell ref="S347:S350"/>
    <mergeCell ref="P352:P353"/>
    <mergeCell ref="Q352:Q353"/>
    <mergeCell ref="R352:R353"/>
    <mergeCell ref="S352:S353"/>
    <mergeCell ref="P356:P357"/>
    <mergeCell ref="Q356:Q357"/>
    <mergeCell ref="R356:R357"/>
    <mergeCell ref="S356:S357"/>
  </mergeCells>
  <phoneticPr fontId="2" type="noConversion"/>
  <conditionalFormatting sqref="E1"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  <cfRule type="duplicateValues" dxfId="6" priority="10"/>
    <cfRule type="duplicateValues" dxfId="5" priority="11"/>
    <cfRule type="duplicateValues" dxfId="4" priority="12"/>
    <cfRule type="duplicateValues" dxfId="3" priority="13"/>
    <cfRule type="duplicateValues" dxfId="2" priority="14" stopIfTrue="1"/>
    <cfRule type="duplicateValues" dxfId="1" priority="15"/>
  </conditionalFormatting>
  <conditionalFormatting sqref="E2:E452">
    <cfRule type="duplicateValues" dxfId="0" priority="16"/>
  </conditionalFormatting>
  <pageMargins left="0.7" right="0.7" top="0.75" bottom="0.75" header="0.3" footer="0.3"/>
  <pageSetup paperSize="9" orientation="portrait" verticalDpi="203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>
    <pageSetUpPr fitToPage="1"/>
  </sheetPr>
  <dimension ref="A1:M332"/>
  <sheetViews>
    <sheetView showGridLines="0" topLeftCell="A102" zoomScale="85" zoomScaleNormal="85" workbookViewId="0">
      <selection activeCell="O206" sqref="O206"/>
    </sheetView>
  </sheetViews>
  <sheetFormatPr defaultColWidth="9" defaultRowHeight="13.5"/>
  <cols>
    <col min="1" max="1" width="1.875" style="45" customWidth="1"/>
    <col min="2" max="2" width="6.625" style="182" customWidth="1"/>
    <col min="3" max="4" width="16.75" style="189" customWidth="1"/>
    <col min="5" max="5" width="41.75" style="45" customWidth="1"/>
    <col min="6" max="7" width="10.625" style="45" customWidth="1"/>
    <col min="8" max="8" width="10.625" style="189" customWidth="1"/>
    <col min="9" max="9" width="1.25" style="45" customWidth="1"/>
    <col min="10" max="10" width="14.625" style="268" bestFit="1" customWidth="1"/>
    <col min="11" max="11" width="10.5" style="45" bestFit="1" customWidth="1"/>
    <col min="12" max="12" width="21.125" style="45" customWidth="1"/>
    <col min="13" max="13" width="14.625" style="45" bestFit="1" customWidth="1"/>
    <col min="14" max="16384" width="9" style="45"/>
  </cols>
  <sheetData>
    <row r="1" spans="2:13" ht="51" customHeight="1">
      <c r="B1" s="472" t="s">
        <v>1131</v>
      </c>
      <c r="C1" s="472"/>
      <c r="D1" s="472"/>
      <c r="E1" s="472"/>
      <c r="F1" s="472"/>
      <c r="G1" s="472"/>
      <c r="H1" s="472"/>
      <c r="I1" s="472"/>
      <c r="J1" s="472"/>
      <c r="K1" s="472"/>
      <c r="L1" s="472"/>
      <c r="M1" s="472"/>
    </row>
    <row r="2" spans="2:13" ht="10.5" customHeight="1">
      <c r="C2" s="183"/>
      <c r="D2" s="183"/>
      <c r="E2" s="184"/>
      <c r="F2" s="183"/>
      <c r="G2" s="183"/>
      <c r="H2" s="183"/>
      <c r="I2" s="182"/>
      <c r="K2" s="185"/>
      <c r="L2" s="182"/>
      <c r="M2" s="182"/>
    </row>
    <row r="3" spans="2:13" ht="24.95" customHeight="1">
      <c r="B3" s="473" t="s">
        <v>1132</v>
      </c>
      <c r="C3" s="474"/>
      <c r="D3" s="482" t="s">
        <v>1133</v>
      </c>
      <c r="E3" s="483"/>
      <c r="F3" s="186"/>
      <c r="G3" s="186"/>
      <c r="H3" s="187"/>
      <c r="I3" s="186"/>
      <c r="J3" s="475" t="s">
        <v>1134</v>
      </c>
      <c r="K3" s="476"/>
      <c r="L3" s="477" t="s">
        <v>1135</v>
      </c>
      <c r="M3" s="478"/>
    </row>
    <row r="4" spans="2:13" ht="24.95" customHeight="1">
      <c r="B4" s="473" t="s">
        <v>1136</v>
      </c>
      <c r="C4" s="474"/>
      <c r="D4" s="484" t="s">
        <v>1137</v>
      </c>
      <c r="E4" s="483"/>
      <c r="F4" s="186"/>
      <c r="G4" s="186"/>
      <c r="H4" s="187"/>
      <c r="I4" s="186"/>
      <c r="J4" s="475" t="s">
        <v>1138</v>
      </c>
      <c r="K4" s="476"/>
      <c r="L4" s="477" t="s">
        <v>1135</v>
      </c>
      <c r="M4" s="478"/>
    </row>
    <row r="5" spans="2:13" ht="24.95" customHeight="1">
      <c r="B5" s="473" t="s">
        <v>1139</v>
      </c>
      <c r="C5" s="474"/>
      <c r="D5" s="484" t="s">
        <v>1137</v>
      </c>
      <c r="E5" s="483"/>
      <c r="F5" s="186"/>
      <c r="G5" s="186"/>
      <c r="H5" s="187"/>
      <c r="I5" s="186"/>
      <c r="J5" s="475" t="s">
        <v>1140</v>
      </c>
      <c r="K5" s="476"/>
      <c r="L5" s="477" t="s">
        <v>1141</v>
      </c>
      <c r="M5" s="478"/>
    </row>
    <row r="6" spans="2:13" ht="8.25" customHeight="1">
      <c r="C6" s="183"/>
      <c r="D6" s="183"/>
      <c r="E6" s="188"/>
      <c r="F6" s="182"/>
      <c r="G6" s="182"/>
    </row>
    <row r="7" spans="2:13" ht="28.5" customHeight="1">
      <c r="B7" s="190" t="s">
        <v>1142</v>
      </c>
      <c r="C7" s="191" t="s">
        <v>1143</v>
      </c>
      <c r="D7" s="191" t="s">
        <v>1144</v>
      </c>
      <c r="E7" s="192" t="s">
        <v>1145</v>
      </c>
      <c r="F7" s="193" t="s">
        <v>1146</v>
      </c>
      <c r="G7" s="193" t="s">
        <v>1147</v>
      </c>
      <c r="H7" s="191" t="s">
        <v>1148</v>
      </c>
      <c r="I7" s="194"/>
      <c r="J7" s="191" t="s">
        <v>1149</v>
      </c>
      <c r="K7" s="190" t="s">
        <v>1150</v>
      </c>
      <c r="L7" s="195" t="s">
        <v>1151</v>
      </c>
      <c r="M7" s="190" t="s">
        <v>1152</v>
      </c>
    </row>
    <row r="8" spans="2:13" ht="19.5" customHeight="1">
      <c r="B8" s="38">
        <v>1</v>
      </c>
      <c r="C8" s="143">
        <v>201978000001</v>
      </c>
      <c r="D8" s="289" t="s">
        <v>1153</v>
      </c>
      <c r="E8" s="263" t="s">
        <v>1154</v>
      </c>
      <c r="F8" s="215">
        <v>1</v>
      </c>
      <c r="G8" s="215">
        <v>1</v>
      </c>
      <c r="H8" s="197">
        <f>G8-F8</f>
        <v>0</v>
      </c>
      <c r="J8" s="291"/>
      <c r="K8" s="109"/>
      <c r="L8" s="198">
        <f>(J8+G8)*K8</f>
        <v>0</v>
      </c>
      <c r="M8" s="170">
        <f>H8*K8</f>
        <v>0</v>
      </c>
    </row>
    <row r="9" spans="2:13" ht="21" customHeight="1">
      <c r="B9" s="38">
        <f>B8+1</f>
        <v>2</v>
      </c>
      <c r="C9" s="143">
        <v>201978000002</v>
      </c>
      <c r="D9" s="289" t="s">
        <v>1155</v>
      </c>
      <c r="E9" s="263" t="s">
        <v>1156</v>
      </c>
      <c r="F9" s="215">
        <v>61</v>
      </c>
      <c r="G9" s="215">
        <v>61</v>
      </c>
      <c r="H9" s="197">
        <f t="shared" ref="H9:H125" si="0">G9-F9</f>
        <v>0</v>
      </c>
      <c r="J9" s="291"/>
      <c r="K9" s="109"/>
      <c r="L9" s="198">
        <f t="shared" ref="L9:L125" si="1">(J9+G9)*K9</f>
        <v>0</v>
      </c>
      <c r="M9" s="170">
        <f t="shared" ref="M9:M18" si="2">H9*K9</f>
        <v>0</v>
      </c>
    </row>
    <row r="10" spans="2:13" ht="21" customHeight="1">
      <c r="B10" s="38">
        <f t="shared" ref="B10:B73" si="3">B9+1</f>
        <v>3</v>
      </c>
      <c r="C10" s="143">
        <v>201978000003</v>
      </c>
      <c r="D10" s="289">
        <v>1100534</v>
      </c>
      <c r="E10" s="263" t="s">
        <v>1157</v>
      </c>
      <c r="F10" s="215">
        <v>18</v>
      </c>
      <c r="G10" s="215">
        <v>18</v>
      </c>
      <c r="H10" s="197">
        <f t="shared" si="0"/>
        <v>0</v>
      </c>
      <c r="J10" s="291"/>
      <c r="K10" s="109"/>
      <c r="L10" s="198">
        <f t="shared" si="1"/>
        <v>0</v>
      </c>
      <c r="M10" s="170">
        <f t="shared" si="2"/>
        <v>0</v>
      </c>
    </row>
    <row r="11" spans="2:13" ht="21" customHeight="1">
      <c r="B11" s="38">
        <f t="shared" si="3"/>
        <v>4</v>
      </c>
      <c r="C11" s="143">
        <v>201978000005</v>
      </c>
      <c r="D11" s="289">
        <v>1119801</v>
      </c>
      <c r="E11" s="263" t="s">
        <v>1158</v>
      </c>
      <c r="F11" s="215">
        <v>14</v>
      </c>
      <c r="G11" s="215">
        <v>14</v>
      </c>
      <c r="H11" s="197">
        <f t="shared" si="0"/>
        <v>0</v>
      </c>
      <c r="J11" s="291"/>
      <c r="K11" s="109"/>
      <c r="L11" s="198">
        <f t="shared" si="1"/>
        <v>0</v>
      </c>
      <c r="M11" s="170">
        <f t="shared" si="2"/>
        <v>0</v>
      </c>
    </row>
    <row r="12" spans="2:13" ht="21" customHeight="1">
      <c r="B12" s="38">
        <f t="shared" si="3"/>
        <v>5</v>
      </c>
      <c r="C12" s="143">
        <v>201978000006</v>
      </c>
      <c r="D12" s="289">
        <v>1120001</v>
      </c>
      <c r="E12" s="263" t="s">
        <v>1159</v>
      </c>
      <c r="F12" s="215">
        <v>11</v>
      </c>
      <c r="G12" s="215">
        <v>10</v>
      </c>
      <c r="H12" s="197">
        <f t="shared" si="0"/>
        <v>-1</v>
      </c>
      <c r="J12" s="291"/>
      <c r="K12" s="109"/>
      <c r="L12" s="198">
        <f t="shared" si="1"/>
        <v>0</v>
      </c>
      <c r="M12" s="170">
        <f t="shared" si="2"/>
        <v>0</v>
      </c>
    </row>
    <row r="13" spans="2:13" ht="21" customHeight="1">
      <c r="B13" s="38">
        <f t="shared" si="3"/>
        <v>6</v>
      </c>
      <c r="C13" s="143">
        <v>201978000008</v>
      </c>
      <c r="D13" s="289">
        <v>1140708</v>
      </c>
      <c r="E13" s="263" t="s">
        <v>1160</v>
      </c>
      <c r="F13" s="215">
        <v>97</v>
      </c>
      <c r="G13" s="215">
        <v>98</v>
      </c>
      <c r="H13" s="197">
        <f t="shared" si="0"/>
        <v>1</v>
      </c>
      <c r="J13" s="291"/>
      <c r="K13" s="109"/>
      <c r="L13" s="198">
        <f t="shared" si="1"/>
        <v>0</v>
      </c>
      <c r="M13" s="170">
        <f t="shared" si="2"/>
        <v>0</v>
      </c>
    </row>
    <row r="14" spans="2:13" ht="21" customHeight="1">
      <c r="B14" s="38">
        <f t="shared" si="3"/>
        <v>7</v>
      </c>
      <c r="C14" s="143">
        <v>201978000015</v>
      </c>
      <c r="D14" s="289">
        <v>1215705</v>
      </c>
      <c r="E14" s="263" t="s">
        <v>1161</v>
      </c>
      <c r="F14" s="215">
        <v>14</v>
      </c>
      <c r="G14" s="215">
        <v>14</v>
      </c>
      <c r="H14" s="197">
        <f t="shared" si="0"/>
        <v>0</v>
      </c>
      <c r="J14" s="291"/>
      <c r="K14" s="109"/>
      <c r="L14" s="198">
        <f t="shared" si="1"/>
        <v>0</v>
      </c>
      <c r="M14" s="170">
        <f t="shared" si="2"/>
        <v>0</v>
      </c>
    </row>
    <row r="15" spans="2:13" ht="21" customHeight="1">
      <c r="B15" s="38">
        <f t="shared" si="3"/>
        <v>8</v>
      </c>
      <c r="C15" s="143">
        <v>201978000016</v>
      </c>
      <c r="D15" s="289">
        <v>1216501</v>
      </c>
      <c r="E15" s="263" t="s">
        <v>814</v>
      </c>
      <c r="F15" s="215">
        <v>50</v>
      </c>
      <c r="G15" s="215">
        <v>50</v>
      </c>
      <c r="H15" s="197">
        <f t="shared" si="0"/>
        <v>0</v>
      </c>
      <c r="J15" s="291"/>
      <c r="K15" s="109"/>
      <c r="L15" s="198">
        <f t="shared" si="1"/>
        <v>0</v>
      </c>
      <c r="M15" s="170">
        <f t="shared" si="2"/>
        <v>0</v>
      </c>
    </row>
    <row r="16" spans="2:13" ht="21" customHeight="1">
      <c r="B16" s="38">
        <f t="shared" si="3"/>
        <v>9</v>
      </c>
      <c r="C16" s="143">
        <v>201978000017</v>
      </c>
      <c r="D16" s="289">
        <v>1217802</v>
      </c>
      <c r="E16" s="263" t="s">
        <v>906</v>
      </c>
      <c r="F16" s="215">
        <v>18</v>
      </c>
      <c r="G16" s="215">
        <v>18</v>
      </c>
      <c r="H16" s="197">
        <f t="shared" si="0"/>
        <v>0</v>
      </c>
      <c r="J16" s="291"/>
      <c r="K16" s="109"/>
      <c r="L16" s="198">
        <f t="shared" si="1"/>
        <v>0</v>
      </c>
      <c r="M16" s="170">
        <f t="shared" si="2"/>
        <v>0</v>
      </c>
    </row>
    <row r="17" spans="2:13" ht="21" customHeight="1">
      <c r="B17" s="38">
        <f t="shared" si="3"/>
        <v>10</v>
      </c>
      <c r="C17" s="143">
        <v>201978000018</v>
      </c>
      <c r="D17" s="289">
        <v>1218502</v>
      </c>
      <c r="E17" s="263" t="s">
        <v>821</v>
      </c>
      <c r="F17" s="215">
        <v>35</v>
      </c>
      <c r="G17" s="215">
        <v>35</v>
      </c>
      <c r="H17" s="197">
        <f t="shared" si="0"/>
        <v>0</v>
      </c>
      <c r="J17" s="291"/>
      <c r="K17" s="109"/>
      <c r="L17" s="198">
        <f t="shared" si="1"/>
        <v>0</v>
      </c>
      <c r="M17" s="170">
        <f t="shared" si="2"/>
        <v>0</v>
      </c>
    </row>
    <row r="18" spans="2:13" ht="21" customHeight="1">
      <c r="B18" s="38">
        <f t="shared" si="3"/>
        <v>11</v>
      </c>
      <c r="C18" s="143">
        <v>201978000019</v>
      </c>
      <c r="D18" s="289">
        <v>1226603</v>
      </c>
      <c r="E18" s="263" t="s">
        <v>546</v>
      </c>
      <c r="F18" s="215">
        <v>53</v>
      </c>
      <c r="G18" s="215">
        <v>53</v>
      </c>
      <c r="H18" s="197">
        <f t="shared" si="0"/>
        <v>0</v>
      </c>
      <c r="J18" s="291"/>
      <c r="K18" s="109"/>
      <c r="L18" s="198">
        <f t="shared" si="1"/>
        <v>0</v>
      </c>
      <c r="M18" s="170">
        <f t="shared" si="2"/>
        <v>0</v>
      </c>
    </row>
    <row r="19" spans="2:13" ht="21" customHeight="1">
      <c r="B19" s="38">
        <f t="shared" si="3"/>
        <v>12</v>
      </c>
      <c r="C19" s="143">
        <v>201978000023</v>
      </c>
      <c r="D19" s="289">
        <v>1228301</v>
      </c>
      <c r="E19" s="263" t="s">
        <v>1126</v>
      </c>
      <c r="F19" s="215">
        <v>48</v>
      </c>
      <c r="G19" s="215">
        <v>48</v>
      </c>
      <c r="H19" s="197">
        <f t="shared" si="0"/>
        <v>0</v>
      </c>
      <c r="J19" s="291"/>
      <c r="K19" s="109"/>
      <c r="L19" s="198">
        <f t="shared" ref="L19:L71" si="4">(J19+G19)*K19</f>
        <v>0</v>
      </c>
      <c r="M19" s="170">
        <f t="shared" ref="M19:M82" si="5">H19*K19</f>
        <v>0</v>
      </c>
    </row>
    <row r="20" spans="2:13" ht="21" customHeight="1">
      <c r="B20" s="38">
        <f t="shared" si="3"/>
        <v>13</v>
      </c>
      <c r="C20" s="143">
        <v>201978000025</v>
      </c>
      <c r="D20" s="289" t="s">
        <v>1162</v>
      </c>
      <c r="E20" s="263" t="s">
        <v>444</v>
      </c>
      <c r="F20" s="215">
        <v>4</v>
      </c>
      <c r="G20" s="215">
        <v>4</v>
      </c>
      <c r="H20" s="197">
        <f t="shared" si="0"/>
        <v>0</v>
      </c>
      <c r="J20" s="291"/>
      <c r="K20" s="109"/>
      <c r="L20" s="198">
        <f t="shared" si="4"/>
        <v>0</v>
      </c>
      <c r="M20" s="170">
        <f t="shared" si="5"/>
        <v>0</v>
      </c>
    </row>
    <row r="21" spans="2:13" ht="21" customHeight="1">
      <c r="B21" s="38">
        <f t="shared" si="3"/>
        <v>14</v>
      </c>
      <c r="C21" s="143">
        <v>201978000026</v>
      </c>
      <c r="D21" s="289" t="s">
        <v>1163</v>
      </c>
      <c r="E21" s="263" t="s">
        <v>753</v>
      </c>
      <c r="F21" s="215">
        <v>25</v>
      </c>
      <c r="G21" s="215">
        <v>17</v>
      </c>
      <c r="H21" s="197">
        <f t="shared" si="0"/>
        <v>-8</v>
      </c>
      <c r="J21" s="291"/>
      <c r="K21" s="109"/>
      <c r="L21" s="198">
        <f t="shared" si="4"/>
        <v>0</v>
      </c>
      <c r="M21" s="170">
        <f t="shared" si="5"/>
        <v>0</v>
      </c>
    </row>
    <row r="22" spans="2:13" ht="21" customHeight="1">
      <c r="B22" s="38">
        <f t="shared" si="3"/>
        <v>15</v>
      </c>
      <c r="C22" s="143">
        <v>201978000027</v>
      </c>
      <c r="D22" s="289" t="s">
        <v>1164</v>
      </c>
      <c r="E22" s="263" t="s">
        <v>1165</v>
      </c>
      <c r="F22" s="215">
        <v>20</v>
      </c>
      <c r="G22" s="215">
        <v>20</v>
      </c>
      <c r="H22" s="197">
        <f t="shared" si="0"/>
        <v>0</v>
      </c>
      <c r="J22" s="291"/>
      <c r="K22" s="109"/>
      <c r="L22" s="198">
        <f t="shared" si="4"/>
        <v>0</v>
      </c>
      <c r="M22" s="170">
        <f t="shared" si="5"/>
        <v>0</v>
      </c>
    </row>
    <row r="23" spans="2:13" ht="21" customHeight="1">
      <c r="B23" s="38">
        <f t="shared" si="3"/>
        <v>16</v>
      </c>
      <c r="C23" s="143">
        <v>201978000030</v>
      </c>
      <c r="D23" s="289">
        <v>1243101</v>
      </c>
      <c r="E23" s="263" t="s">
        <v>1166</v>
      </c>
      <c r="F23" s="215">
        <v>115</v>
      </c>
      <c r="G23" s="215">
        <v>115</v>
      </c>
      <c r="H23" s="197">
        <f t="shared" si="0"/>
        <v>0</v>
      </c>
      <c r="J23" s="291"/>
      <c r="K23" s="109"/>
      <c r="L23" s="198">
        <f t="shared" si="4"/>
        <v>0</v>
      </c>
      <c r="M23" s="170">
        <f t="shared" si="5"/>
        <v>0</v>
      </c>
    </row>
    <row r="24" spans="2:13" ht="21" customHeight="1">
      <c r="B24" s="38">
        <f t="shared" si="3"/>
        <v>17</v>
      </c>
      <c r="C24" s="290">
        <v>201978000032</v>
      </c>
      <c r="D24" s="289" t="s">
        <v>1167</v>
      </c>
      <c r="E24" s="263" t="s">
        <v>754</v>
      </c>
      <c r="F24" s="215">
        <v>28</v>
      </c>
      <c r="G24" s="215">
        <v>28</v>
      </c>
      <c r="H24" s="197">
        <f t="shared" si="0"/>
        <v>0</v>
      </c>
      <c r="J24" s="291"/>
      <c r="K24" s="109"/>
      <c r="L24" s="198">
        <f t="shared" si="4"/>
        <v>0</v>
      </c>
      <c r="M24" s="170">
        <f t="shared" si="5"/>
        <v>0</v>
      </c>
    </row>
    <row r="25" spans="2:13" ht="21" customHeight="1">
      <c r="B25" s="38">
        <f t="shared" si="3"/>
        <v>18</v>
      </c>
      <c r="C25" s="290">
        <v>201978000033</v>
      </c>
      <c r="D25" s="289" t="s">
        <v>1168</v>
      </c>
      <c r="E25" s="263" t="s">
        <v>1169</v>
      </c>
      <c r="F25" s="215">
        <v>11</v>
      </c>
      <c r="G25" s="215">
        <v>11</v>
      </c>
      <c r="H25" s="197">
        <f t="shared" si="0"/>
        <v>0</v>
      </c>
      <c r="J25" s="291"/>
      <c r="K25" s="109"/>
      <c r="L25" s="198">
        <f t="shared" si="4"/>
        <v>0</v>
      </c>
      <c r="M25" s="170">
        <f t="shared" si="5"/>
        <v>0</v>
      </c>
    </row>
    <row r="26" spans="2:13" ht="21" customHeight="1">
      <c r="B26" s="38">
        <f t="shared" si="3"/>
        <v>19</v>
      </c>
      <c r="C26" s="290">
        <v>201978000034</v>
      </c>
      <c r="D26" s="289">
        <v>1270001</v>
      </c>
      <c r="E26" s="263" t="s">
        <v>554</v>
      </c>
      <c r="F26" s="215">
        <v>5204</v>
      </c>
      <c r="G26" s="215">
        <v>5204</v>
      </c>
      <c r="H26" s="197">
        <f t="shared" si="0"/>
        <v>0</v>
      </c>
      <c r="J26" s="291"/>
      <c r="K26" s="109"/>
      <c r="L26" s="198">
        <f t="shared" si="4"/>
        <v>0</v>
      </c>
      <c r="M26" s="170">
        <f t="shared" si="5"/>
        <v>0</v>
      </c>
    </row>
    <row r="27" spans="2:13" ht="21" customHeight="1">
      <c r="B27" s="38">
        <f t="shared" si="3"/>
        <v>20</v>
      </c>
      <c r="C27" s="290">
        <v>201978000036</v>
      </c>
      <c r="D27" s="289">
        <v>1270005</v>
      </c>
      <c r="E27" s="263" t="s">
        <v>1170</v>
      </c>
      <c r="F27" s="215">
        <v>684</v>
      </c>
      <c r="G27" s="215">
        <v>684</v>
      </c>
      <c r="H27" s="197">
        <f t="shared" si="0"/>
        <v>0</v>
      </c>
      <c r="J27" s="291"/>
      <c r="K27" s="109"/>
      <c r="L27" s="198">
        <f t="shared" si="4"/>
        <v>0</v>
      </c>
      <c r="M27" s="170">
        <f t="shared" si="5"/>
        <v>0</v>
      </c>
    </row>
    <row r="28" spans="2:13" ht="21" customHeight="1">
      <c r="B28" s="38">
        <f t="shared" si="3"/>
        <v>21</v>
      </c>
      <c r="C28" s="290">
        <v>201978000037</v>
      </c>
      <c r="D28" s="289">
        <v>1270101</v>
      </c>
      <c r="E28" s="263" t="s">
        <v>648</v>
      </c>
      <c r="F28" s="215">
        <v>2271</v>
      </c>
      <c r="G28" s="215">
        <v>2271</v>
      </c>
      <c r="H28" s="197">
        <f t="shared" si="0"/>
        <v>0</v>
      </c>
      <c r="J28" s="291"/>
      <c r="K28" s="109"/>
      <c r="L28" s="198">
        <f t="shared" si="4"/>
        <v>0</v>
      </c>
      <c r="M28" s="170">
        <f t="shared" si="5"/>
        <v>0</v>
      </c>
    </row>
    <row r="29" spans="2:13" ht="21" customHeight="1">
      <c r="B29" s="38">
        <f t="shared" si="3"/>
        <v>22</v>
      </c>
      <c r="C29" s="290">
        <v>201978000039</v>
      </c>
      <c r="D29" s="289">
        <v>1277701</v>
      </c>
      <c r="E29" s="263" t="s">
        <v>1171</v>
      </c>
      <c r="F29" s="215">
        <v>144</v>
      </c>
      <c r="G29" s="215">
        <v>144</v>
      </c>
      <c r="H29" s="197">
        <f t="shared" si="0"/>
        <v>0</v>
      </c>
      <c r="J29" s="291"/>
      <c r="K29" s="109"/>
      <c r="L29" s="198">
        <f t="shared" si="4"/>
        <v>0</v>
      </c>
      <c r="M29" s="170">
        <f t="shared" si="5"/>
        <v>0</v>
      </c>
    </row>
    <row r="30" spans="2:13" ht="21" customHeight="1">
      <c r="B30" s="38">
        <f t="shared" si="3"/>
        <v>23</v>
      </c>
      <c r="C30" s="290">
        <v>201978000040</v>
      </c>
      <c r="D30" s="289">
        <v>1277702</v>
      </c>
      <c r="E30" s="263" t="s">
        <v>1172</v>
      </c>
      <c r="F30" s="215">
        <v>155</v>
      </c>
      <c r="G30" s="215">
        <v>155</v>
      </c>
      <c r="H30" s="197">
        <f t="shared" si="0"/>
        <v>0</v>
      </c>
      <c r="J30" s="291"/>
      <c r="K30" s="109"/>
      <c r="L30" s="198">
        <f t="shared" si="4"/>
        <v>0</v>
      </c>
      <c r="M30" s="170">
        <f t="shared" si="5"/>
        <v>0</v>
      </c>
    </row>
    <row r="31" spans="2:13" ht="21" customHeight="1">
      <c r="B31" s="38">
        <f t="shared" si="3"/>
        <v>24</v>
      </c>
      <c r="C31" s="143">
        <v>201978000041</v>
      </c>
      <c r="D31" s="289">
        <v>1282101</v>
      </c>
      <c r="E31" s="263" t="s">
        <v>302</v>
      </c>
      <c r="F31" s="215">
        <v>10225</v>
      </c>
      <c r="G31" s="215">
        <v>10225</v>
      </c>
      <c r="H31" s="197">
        <f t="shared" si="0"/>
        <v>0</v>
      </c>
      <c r="J31" s="291"/>
      <c r="K31" s="109"/>
      <c r="L31" s="198">
        <f t="shared" si="4"/>
        <v>0</v>
      </c>
      <c r="M31" s="170">
        <f t="shared" si="5"/>
        <v>0</v>
      </c>
    </row>
    <row r="32" spans="2:13" ht="21" customHeight="1">
      <c r="B32" s="38">
        <f t="shared" si="3"/>
        <v>25</v>
      </c>
      <c r="C32" s="143">
        <v>201978000043</v>
      </c>
      <c r="D32" s="289">
        <v>1283001</v>
      </c>
      <c r="E32" s="263" t="s">
        <v>344</v>
      </c>
      <c r="F32" s="215">
        <v>1488</v>
      </c>
      <c r="G32" s="215">
        <v>1488</v>
      </c>
      <c r="H32" s="197">
        <f t="shared" si="0"/>
        <v>0</v>
      </c>
      <c r="J32" s="291"/>
      <c r="K32" s="109"/>
      <c r="L32" s="198">
        <f t="shared" si="4"/>
        <v>0</v>
      </c>
      <c r="M32" s="170">
        <f t="shared" si="5"/>
        <v>0</v>
      </c>
    </row>
    <row r="33" spans="2:13" ht="21" customHeight="1">
      <c r="B33" s="38">
        <f t="shared" si="3"/>
        <v>26</v>
      </c>
      <c r="C33" s="143">
        <v>201978000044</v>
      </c>
      <c r="D33" s="289">
        <v>1283002</v>
      </c>
      <c r="E33" s="263" t="s">
        <v>665</v>
      </c>
      <c r="F33" s="215">
        <v>1</v>
      </c>
      <c r="G33" s="215">
        <v>0</v>
      </c>
      <c r="H33" s="197">
        <f t="shared" si="0"/>
        <v>-1</v>
      </c>
      <c r="J33" s="291"/>
      <c r="K33" s="109"/>
      <c r="L33" s="198">
        <f t="shared" si="4"/>
        <v>0</v>
      </c>
      <c r="M33" s="170">
        <f t="shared" si="5"/>
        <v>0</v>
      </c>
    </row>
    <row r="34" spans="2:13" ht="21" customHeight="1">
      <c r="B34" s="38">
        <f t="shared" si="3"/>
        <v>27</v>
      </c>
      <c r="C34" s="143">
        <v>201978000045</v>
      </c>
      <c r="D34" s="289">
        <v>1284301</v>
      </c>
      <c r="E34" s="263" t="s">
        <v>398</v>
      </c>
      <c r="F34" s="215">
        <v>1740</v>
      </c>
      <c r="G34" s="215">
        <v>1740</v>
      </c>
      <c r="H34" s="197">
        <f t="shared" si="0"/>
        <v>0</v>
      </c>
      <c r="J34" s="291"/>
      <c r="K34" s="109"/>
      <c r="L34" s="198">
        <f t="shared" si="4"/>
        <v>0</v>
      </c>
      <c r="M34" s="170">
        <f t="shared" si="5"/>
        <v>0</v>
      </c>
    </row>
    <row r="35" spans="2:13" ht="21" customHeight="1">
      <c r="B35" s="38">
        <f t="shared" si="3"/>
        <v>28</v>
      </c>
      <c r="C35" s="143">
        <v>201978000046</v>
      </c>
      <c r="D35" s="289">
        <v>1284404</v>
      </c>
      <c r="E35" s="263" t="s">
        <v>900</v>
      </c>
      <c r="F35" s="215">
        <v>8</v>
      </c>
      <c r="G35" s="215">
        <v>8</v>
      </c>
      <c r="H35" s="197">
        <f t="shared" si="0"/>
        <v>0</v>
      </c>
      <c r="J35" s="291"/>
      <c r="K35" s="109"/>
      <c r="L35" s="198">
        <f t="shared" si="4"/>
        <v>0</v>
      </c>
      <c r="M35" s="170">
        <f t="shared" si="5"/>
        <v>0</v>
      </c>
    </row>
    <row r="36" spans="2:13" ht="21" customHeight="1">
      <c r="B36" s="38">
        <f t="shared" si="3"/>
        <v>29</v>
      </c>
      <c r="C36" s="143">
        <v>201978000049</v>
      </c>
      <c r="D36" s="289">
        <v>1357602</v>
      </c>
      <c r="E36" s="263" t="s">
        <v>1173</v>
      </c>
      <c r="F36" s="215">
        <v>633</v>
      </c>
      <c r="G36" s="215">
        <v>633</v>
      </c>
      <c r="H36" s="197">
        <f t="shared" si="0"/>
        <v>0</v>
      </c>
      <c r="J36" s="291"/>
      <c r="K36" s="109"/>
      <c r="L36" s="198">
        <f t="shared" si="4"/>
        <v>0</v>
      </c>
      <c r="M36" s="170">
        <f t="shared" si="5"/>
        <v>0</v>
      </c>
    </row>
    <row r="37" spans="2:13" ht="21" customHeight="1">
      <c r="B37" s="38">
        <f t="shared" si="3"/>
        <v>30</v>
      </c>
      <c r="C37" s="143">
        <v>201978000052</v>
      </c>
      <c r="D37" s="289">
        <v>1400088</v>
      </c>
      <c r="E37" s="263" t="s">
        <v>1174</v>
      </c>
      <c r="F37" s="215">
        <v>527</v>
      </c>
      <c r="G37" s="215">
        <v>527</v>
      </c>
      <c r="H37" s="197">
        <f t="shared" si="0"/>
        <v>0</v>
      </c>
      <c r="J37" s="291"/>
      <c r="K37" s="109"/>
      <c r="L37" s="198">
        <f t="shared" si="4"/>
        <v>0</v>
      </c>
      <c r="M37" s="170">
        <f t="shared" si="5"/>
        <v>0</v>
      </c>
    </row>
    <row r="38" spans="2:13" ht="21" customHeight="1">
      <c r="B38" s="38">
        <f t="shared" si="3"/>
        <v>31</v>
      </c>
      <c r="C38" s="143">
        <v>201978000053</v>
      </c>
      <c r="D38" s="289">
        <v>1400089</v>
      </c>
      <c r="E38" s="263" t="s">
        <v>1175</v>
      </c>
      <c r="F38" s="215">
        <v>20</v>
      </c>
      <c r="G38" s="215">
        <v>20</v>
      </c>
      <c r="H38" s="197">
        <f t="shared" si="0"/>
        <v>0</v>
      </c>
      <c r="J38" s="291"/>
      <c r="K38" s="109"/>
      <c r="L38" s="198">
        <f t="shared" si="4"/>
        <v>0</v>
      </c>
      <c r="M38" s="170">
        <f t="shared" si="5"/>
        <v>0</v>
      </c>
    </row>
    <row r="39" spans="2:13" ht="21" customHeight="1">
      <c r="B39" s="38">
        <f t="shared" si="3"/>
        <v>32</v>
      </c>
      <c r="C39" s="143">
        <v>201978000055</v>
      </c>
      <c r="D39" s="289">
        <v>1400091</v>
      </c>
      <c r="E39" s="263" t="s">
        <v>1176</v>
      </c>
      <c r="F39" s="215">
        <v>109</v>
      </c>
      <c r="G39" s="215">
        <v>109</v>
      </c>
      <c r="H39" s="197">
        <f t="shared" si="0"/>
        <v>0</v>
      </c>
      <c r="J39" s="291"/>
      <c r="K39" s="109"/>
      <c r="L39" s="198">
        <f t="shared" si="4"/>
        <v>0</v>
      </c>
      <c r="M39" s="170">
        <f t="shared" si="5"/>
        <v>0</v>
      </c>
    </row>
    <row r="40" spans="2:13" ht="21" customHeight="1">
      <c r="B40" s="38">
        <f t="shared" si="3"/>
        <v>33</v>
      </c>
      <c r="C40" s="143">
        <v>201978000056</v>
      </c>
      <c r="D40" s="289">
        <v>1400092</v>
      </c>
      <c r="E40" s="263" t="s">
        <v>1177</v>
      </c>
      <c r="F40" s="215">
        <v>60</v>
      </c>
      <c r="G40" s="215">
        <v>60</v>
      </c>
      <c r="H40" s="197">
        <f t="shared" si="0"/>
        <v>0</v>
      </c>
      <c r="J40" s="291"/>
      <c r="K40" s="109"/>
      <c r="L40" s="198">
        <f t="shared" si="4"/>
        <v>0</v>
      </c>
      <c r="M40" s="170">
        <f t="shared" si="5"/>
        <v>0</v>
      </c>
    </row>
    <row r="41" spans="2:13" ht="21" customHeight="1">
      <c r="B41" s="38">
        <f t="shared" si="3"/>
        <v>34</v>
      </c>
      <c r="C41" s="143">
        <v>201978000057</v>
      </c>
      <c r="D41" s="289">
        <v>1400093</v>
      </c>
      <c r="E41" s="263" t="s">
        <v>1178</v>
      </c>
      <c r="F41" s="215">
        <v>50</v>
      </c>
      <c r="G41" s="215">
        <v>50</v>
      </c>
      <c r="H41" s="197">
        <f t="shared" si="0"/>
        <v>0</v>
      </c>
      <c r="J41" s="291"/>
      <c r="K41" s="109"/>
      <c r="L41" s="198">
        <f t="shared" si="4"/>
        <v>0</v>
      </c>
      <c r="M41" s="170">
        <f t="shared" si="5"/>
        <v>0</v>
      </c>
    </row>
    <row r="42" spans="2:13" ht="21" customHeight="1">
      <c r="B42" s="38">
        <f t="shared" si="3"/>
        <v>35</v>
      </c>
      <c r="C42" s="143">
        <v>201978000058</v>
      </c>
      <c r="D42" s="289">
        <v>1400094</v>
      </c>
      <c r="E42" s="263" t="s">
        <v>1179</v>
      </c>
      <c r="F42" s="215">
        <v>90</v>
      </c>
      <c r="G42" s="215">
        <v>90</v>
      </c>
      <c r="H42" s="197">
        <f t="shared" si="0"/>
        <v>0</v>
      </c>
      <c r="J42" s="291"/>
      <c r="K42" s="109"/>
      <c r="L42" s="198">
        <f t="shared" si="4"/>
        <v>0</v>
      </c>
      <c r="M42" s="170">
        <f t="shared" si="5"/>
        <v>0</v>
      </c>
    </row>
    <row r="43" spans="2:13" ht="21" customHeight="1">
      <c r="B43" s="38">
        <f t="shared" si="3"/>
        <v>36</v>
      </c>
      <c r="C43" s="143">
        <v>201978000059</v>
      </c>
      <c r="D43" s="289">
        <v>1400095</v>
      </c>
      <c r="E43" s="263" t="s">
        <v>1180</v>
      </c>
      <c r="F43" s="215">
        <v>726</v>
      </c>
      <c r="G43" s="215">
        <v>726</v>
      </c>
      <c r="H43" s="197">
        <f t="shared" si="0"/>
        <v>0</v>
      </c>
      <c r="J43" s="291"/>
      <c r="K43" s="109"/>
      <c r="L43" s="198">
        <f t="shared" si="4"/>
        <v>0</v>
      </c>
      <c r="M43" s="170">
        <f t="shared" si="5"/>
        <v>0</v>
      </c>
    </row>
    <row r="44" spans="2:13" ht="21" customHeight="1">
      <c r="B44" s="38">
        <f t="shared" si="3"/>
        <v>37</v>
      </c>
      <c r="C44" s="143">
        <v>201978000060</v>
      </c>
      <c r="D44" s="289">
        <v>1400096</v>
      </c>
      <c r="E44" s="263" t="s">
        <v>1181</v>
      </c>
      <c r="F44" s="215">
        <v>491</v>
      </c>
      <c r="G44" s="215">
        <v>491</v>
      </c>
      <c r="H44" s="197">
        <f t="shared" si="0"/>
        <v>0</v>
      </c>
      <c r="J44" s="291"/>
      <c r="K44" s="109"/>
      <c r="L44" s="198">
        <f t="shared" si="4"/>
        <v>0</v>
      </c>
      <c r="M44" s="170">
        <f t="shared" si="5"/>
        <v>0</v>
      </c>
    </row>
    <row r="45" spans="2:13" ht="21" customHeight="1">
      <c r="B45" s="38">
        <f t="shared" si="3"/>
        <v>38</v>
      </c>
      <c r="C45" s="143">
        <v>201978000061</v>
      </c>
      <c r="D45" s="289" t="s">
        <v>1182</v>
      </c>
      <c r="E45" s="263" t="s">
        <v>693</v>
      </c>
      <c r="F45" s="215">
        <v>330</v>
      </c>
      <c r="G45" s="215">
        <v>330</v>
      </c>
      <c r="H45" s="197">
        <f t="shared" si="0"/>
        <v>0</v>
      </c>
      <c r="J45" s="291"/>
      <c r="K45" s="109"/>
      <c r="L45" s="198">
        <f t="shared" si="4"/>
        <v>0</v>
      </c>
      <c r="M45" s="170">
        <f t="shared" si="5"/>
        <v>0</v>
      </c>
    </row>
    <row r="46" spans="2:13" ht="21" customHeight="1">
      <c r="B46" s="38">
        <f t="shared" si="3"/>
        <v>39</v>
      </c>
      <c r="C46" s="143">
        <v>201978000062</v>
      </c>
      <c r="D46" s="289" t="s">
        <v>1183</v>
      </c>
      <c r="E46" s="263" t="s">
        <v>778</v>
      </c>
      <c r="F46" s="215">
        <v>271</v>
      </c>
      <c r="G46" s="215">
        <v>253</v>
      </c>
      <c r="H46" s="197">
        <f t="shared" si="0"/>
        <v>-18</v>
      </c>
      <c r="J46" s="291"/>
      <c r="K46" s="109"/>
      <c r="L46" s="198">
        <f t="shared" si="4"/>
        <v>0</v>
      </c>
      <c r="M46" s="170">
        <f t="shared" si="5"/>
        <v>0</v>
      </c>
    </row>
    <row r="47" spans="2:13" ht="21" customHeight="1">
      <c r="B47" s="38">
        <f t="shared" si="3"/>
        <v>40</v>
      </c>
      <c r="C47" s="143">
        <v>201978000063</v>
      </c>
      <c r="D47" s="289" t="s">
        <v>1184</v>
      </c>
      <c r="E47" s="263" t="s">
        <v>1185</v>
      </c>
      <c r="F47" s="215">
        <v>676</v>
      </c>
      <c r="G47" s="215">
        <v>675</v>
      </c>
      <c r="H47" s="197">
        <f t="shared" si="0"/>
        <v>-1</v>
      </c>
      <c r="J47" s="291"/>
      <c r="K47" s="109"/>
      <c r="L47" s="198">
        <f t="shared" si="4"/>
        <v>0</v>
      </c>
      <c r="M47" s="170">
        <f t="shared" si="5"/>
        <v>0</v>
      </c>
    </row>
    <row r="48" spans="2:13" ht="21" customHeight="1">
      <c r="B48" s="38">
        <f t="shared" si="3"/>
        <v>41</v>
      </c>
      <c r="C48" s="143">
        <v>201978000065</v>
      </c>
      <c r="D48" s="289">
        <v>1452501</v>
      </c>
      <c r="E48" s="263" t="s">
        <v>1186</v>
      </c>
      <c r="F48" s="215">
        <v>31</v>
      </c>
      <c r="G48" s="215">
        <v>31</v>
      </c>
      <c r="H48" s="197">
        <f t="shared" si="0"/>
        <v>0</v>
      </c>
      <c r="J48" s="291"/>
      <c r="K48" s="109"/>
      <c r="L48" s="198">
        <f t="shared" si="4"/>
        <v>0</v>
      </c>
      <c r="M48" s="170">
        <f t="shared" si="5"/>
        <v>0</v>
      </c>
    </row>
    <row r="49" spans="2:13" ht="21" customHeight="1">
      <c r="B49" s="38">
        <f t="shared" si="3"/>
        <v>42</v>
      </c>
      <c r="C49" s="143">
        <v>201978000066</v>
      </c>
      <c r="D49" s="289">
        <v>1598801</v>
      </c>
      <c r="E49" s="263" t="s">
        <v>420</v>
      </c>
      <c r="F49" s="215">
        <v>721</v>
      </c>
      <c r="G49" s="215">
        <v>721</v>
      </c>
      <c r="H49" s="197">
        <f t="shared" si="0"/>
        <v>0</v>
      </c>
      <c r="J49" s="291"/>
      <c r="K49" s="109"/>
      <c r="L49" s="198">
        <f t="shared" si="4"/>
        <v>0</v>
      </c>
      <c r="M49" s="170">
        <f t="shared" si="5"/>
        <v>0</v>
      </c>
    </row>
    <row r="50" spans="2:13" ht="21" customHeight="1">
      <c r="B50" s="38">
        <f t="shared" si="3"/>
        <v>43</v>
      </c>
      <c r="C50" s="143">
        <v>201978000067</v>
      </c>
      <c r="D50" s="289">
        <v>1809002</v>
      </c>
      <c r="E50" s="263" t="s">
        <v>1187</v>
      </c>
      <c r="F50" s="215">
        <v>25</v>
      </c>
      <c r="G50" s="215">
        <v>25</v>
      </c>
      <c r="H50" s="197">
        <f t="shared" si="0"/>
        <v>0</v>
      </c>
      <c r="J50" s="291"/>
      <c r="K50" s="109"/>
      <c r="L50" s="198">
        <f t="shared" si="4"/>
        <v>0</v>
      </c>
      <c r="M50" s="170">
        <f t="shared" si="5"/>
        <v>0</v>
      </c>
    </row>
    <row r="51" spans="2:13" ht="21" customHeight="1">
      <c r="B51" s="38">
        <f t="shared" si="3"/>
        <v>44</v>
      </c>
      <c r="C51" s="143">
        <v>201978000068</v>
      </c>
      <c r="D51" s="289">
        <v>3030301</v>
      </c>
      <c r="E51" s="263" t="s">
        <v>401</v>
      </c>
      <c r="F51" s="215">
        <v>12661</v>
      </c>
      <c r="G51" s="215">
        <v>12661</v>
      </c>
      <c r="H51" s="197">
        <f t="shared" si="0"/>
        <v>0</v>
      </c>
      <c r="J51" s="291"/>
      <c r="K51" s="109"/>
      <c r="L51" s="198">
        <f t="shared" si="4"/>
        <v>0</v>
      </c>
      <c r="M51" s="170">
        <f t="shared" si="5"/>
        <v>0</v>
      </c>
    </row>
    <row r="52" spans="2:13" ht="21" customHeight="1">
      <c r="B52" s="38">
        <f t="shared" si="3"/>
        <v>45</v>
      </c>
      <c r="C52" s="143">
        <v>201978000069</v>
      </c>
      <c r="D52" s="289">
        <v>3068801</v>
      </c>
      <c r="E52" s="263" t="s">
        <v>1123</v>
      </c>
      <c r="F52" s="215">
        <v>238</v>
      </c>
      <c r="G52" s="215">
        <v>237</v>
      </c>
      <c r="H52" s="197">
        <f t="shared" si="0"/>
        <v>-1</v>
      </c>
      <c r="J52" s="291"/>
      <c r="K52" s="109"/>
      <c r="L52" s="198">
        <f t="shared" si="4"/>
        <v>0</v>
      </c>
      <c r="M52" s="170">
        <f t="shared" si="5"/>
        <v>0</v>
      </c>
    </row>
    <row r="53" spans="2:13" ht="21" customHeight="1">
      <c r="B53" s="38">
        <f t="shared" si="3"/>
        <v>46</v>
      </c>
      <c r="C53" s="143">
        <v>201978000072</v>
      </c>
      <c r="D53" s="289">
        <v>3218701</v>
      </c>
      <c r="E53" s="263" t="s">
        <v>552</v>
      </c>
      <c r="F53" s="215">
        <v>263</v>
      </c>
      <c r="G53" s="215">
        <v>264</v>
      </c>
      <c r="H53" s="197">
        <f t="shared" si="0"/>
        <v>1</v>
      </c>
      <c r="J53" s="291"/>
      <c r="K53" s="109"/>
      <c r="L53" s="198">
        <f t="shared" si="4"/>
        <v>0</v>
      </c>
      <c r="M53" s="170">
        <f t="shared" si="5"/>
        <v>0</v>
      </c>
    </row>
    <row r="54" spans="2:13" ht="21" customHeight="1">
      <c r="B54" s="38">
        <f t="shared" si="3"/>
        <v>47</v>
      </c>
      <c r="C54" s="143">
        <v>201978000073</v>
      </c>
      <c r="D54" s="289">
        <v>3218901</v>
      </c>
      <c r="E54" s="263" t="s">
        <v>941</v>
      </c>
      <c r="F54" s="215">
        <v>278</v>
      </c>
      <c r="G54" s="215">
        <v>278</v>
      </c>
      <c r="H54" s="197">
        <f t="shared" si="0"/>
        <v>0</v>
      </c>
      <c r="J54" s="291"/>
      <c r="K54" s="109"/>
      <c r="L54" s="198">
        <f t="shared" si="4"/>
        <v>0</v>
      </c>
      <c r="M54" s="170">
        <f t="shared" si="5"/>
        <v>0</v>
      </c>
    </row>
    <row r="55" spans="2:13" ht="21" customHeight="1">
      <c r="B55" s="38">
        <f t="shared" si="3"/>
        <v>48</v>
      </c>
      <c r="C55" s="143">
        <v>201978000074</v>
      </c>
      <c r="D55" s="289">
        <v>3219001</v>
      </c>
      <c r="E55" s="263" t="s">
        <v>958</v>
      </c>
      <c r="F55" s="215">
        <v>868</v>
      </c>
      <c r="G55" s="215">
        <v>868</v>
      </c>
      <c r="H55" s="197">
        <f t="shared" si="0"/>
        <v>0</v>
      </c>
      <c r="J55" s="291"/>
      <c r="K55" s="109"/>
      <c r="L55" s="198">
        <f t="shared" si="4"/>
        <v>0</v>
      </c>
      <c r="M55" s="170">
        <f t="shared" si="5"/>
        <v>0</v>
      </c>
    </row>
    <row r="56" spans="2:13" ht="21" customHeight="1">
      <c r="B56" s="38">
        <f t="shared" si="3"/>
        <v>49</v>
      </c>
      <c r="C56" s="143">
        <v>201978000077</v>
      </c>
      <c r="D56" s="289">
        <v>3219901</v>
      </c>
      <c r="E56" s="263" t="s">
        <v>1188</v>
      </c>
      <c r="F56" s="215">
        <v>745</v>
      </c>
      <c r="G56" s="215">
        <v>745</v>
      </c>
      <c r="H56" s="197">
        <f t="shared" si="0"/>
        <v>0</v>
      </c>
      <c r="J56" s="291"/>
      <c r="K56" s="109"/>
      <c r="L56" s="198">
        <f t="shared" si="4"/>
        <v>0</v>
      </c>
      <c r="M56" s="170">
        <f t="shared" si="5"/>
        <v>0</v>
      </c>
    </row>
    <row r="57" spans="2:13" ht="21" customHeight="1">
      <c r="B57" s="38">
        <f t="shared" si="3"/>
        <v>50</v>
      </c>
      <c r="C57" s="143">
        <v>201978000078</v>
      </c>
      <c r="D57" s="289">
        <v>3225301</v>
      </c>
      <c r="E57" s="263" t="s">
        <v>948</v>
      </c>
      <c r="F57" s="215">
        <v>703</v>
      </c>
      <c r="G57" s="215">
        <v>703</v>
      </c>
      <c r="H57" s="197">
        <f t="shared" si="0"/>
        <v>0</v>
      </c>
      <c r="J57" s="291"/>
      <c r="K57" s="109"/>
      <c r="L57" s="198">
        <f t="shared" si="4"/>
        <v>0</v>
      </c>
      <c r="M57" s="170">
        <f t="shared" si="5"/>
        <v>0</v>
      </c>
    </row>
    <row r="58" spans="2:13" ht="21" customHeight="1">
      <c r="B58" s="38">
        <f t="shared" si="3"/>
        <v>51</v>
      </c>
      <c r="C58" s="143">
        <v>201978000079</v>
      </c>
      <c r="D58" s="289" t="s">
        <v>1189</v>
      </c>
      <c r="E58" s="263" t="s">
        <v>380</v>
      </c>
      <c r="F58" s="215">
        <v>1346</v>
      </c>
      <c r="G58" s="215">
        <v>1344</v>
      </c>
      <c r="H58" s="197">
        <f t="shared" si="0"/>
        <v>-2</v>
      </c>
      <c r="J58" s="291"/>
      <c r="K58" s="109"/>
      <c r="L58" s="198">
        <f t="shared" si="4"/>
        <v>0</v>
      </c>
      <c r="M58" s="170">
        <f t="shared" si="5"/>
        <v>0</v>
      </c>
    </row>
    <row r="59" spans="2:13" ht="21" customHeight="1">
      <c r="B59" s="38">
        <f t="shared" si="3"/>
        <v>52</v>
      </c>
      <c r="C59" s="143">
        <v>201978000080</v>
      </c>
      <c r="D59" s="289" t="s">
        <v>1190</v>
      </c>
      <c r="E59" s="263" t="s">
        <v>669</v>
      </c>
      <c r="F59" s="215">
        <v>157</v>
      </c>
      <c r="G59" s="215">
        <v>157</v>
      </c>
      <c r="H59" s="197">
        <f t="shared" si="0"/>
        <v>0</v>
      </c>
      <c r="J59" s="291"/>
      <c r="K59" s="109"/>
      <c r="L59" s="198">
        <f t="shared" si="4"/>
        <v>0</v>
      </c>
      <c r="M59" s="170">
        <f t="shared" si="5"/>
        <v>0</v>
      </c>
    </row>
    <row r="60" spans="2:13" ht="21" customHeight="1">
      <c r="B60" s="38">
        <f t="shared" si="3"/>
        <v>53</v>
      </c>
      <c r="C60" s="143">
        <v>201978000081</v>
      </c>
      <c r="D60" s="289" t="s">
        <v>1191</v>
      </c>
      <c r="E60" s="263" t="s">
        <v>991</v>
      </c>
      <c r="F60" s="215">
        <v>147</v>
      </c>
      <c r="G60" s="215">
        <v>147</v>
      </c>
      <c r="H60" s="197">
        <f t="shared" si="0"/>
        <v>0</v>
      </c>
      <c r="J60" s="291"/>
      <c r="K60" s="109"/>
      <c r="L60" s="198">
        <f t="shared" si="4"/>
        <v>0</v>
      </c>
      <c r="M60" s="170">
        <f t="shared" si="5"/>
        <v>0</v>
      </c>
    </row>
    <row r="61" spans="2:13" ht="21" customHeight="1">
      <c r="B61" s="38">
        <f t="shared" si="3"/>
        <v>54</v>
      </c>
      <c r="C61" s="143">
        <v>201978000086</v>
      </c>
      <c r="D61" s="289">
        <v>3247101</v>
      </c>
      <c r="E61" s="196" t="s">
        <v>893</v>
      </c>
      <c r="F61" s="215">
        <v>643</v>
      </c>
      <c r="G61" s="215">
        <v>643</v>
      </c>
      <c r="H61" s="197">
        <f t="shared" si="0"/>
        <v>0</v>
      </c>
      <c r="J61" s="291"/>
      <c r="K61" s="109"/>
      <c r="L61" s="198">
        <f t="shared" si="4"/>
        <v>0</v>
      </c>
      <c r="M61" s="170">
        <f t="shared" si="5"/>
        <v>0</v>
      </c>
    </row>
    <row r="62" spans="2:13" ht="21" customHeight="1">
      <c r="B62" s="38">
        <f t="shared" si="3"/>
        <v>55</v>
      </c>
      <c r="C62" s="143">
        <v>201978000087</v>
      </c>
      <c r="D62" s="289">
        <v>3247301</v>
      </c>
      <c r="E62" s="263" t="s">
        <v>894</v>
      </c>
      <c r="F62" s="215">
        <v>271</v>
      </c>
      <c r="G62" s="215">
        <v>271</v>
      </c>
      <c r="H62" s="197">
        <f t="shared" si="0"/>
        <v>0</v>
      </c>
      <c r="J62" s="291"/>
      <c r="K62" s="109"/>
      <c r="L62" s="198">
        <f t="shared" si="4"/>
        <v>0</v>
      </c>
      <c r="M62" s="170">
        <f t="shared" si="5"/>
        <v>0</v>
      </c>
    </row>
    <row r="63" spans="2:13" ht="21" customHeight="1">
      <c r="B63" s="38">
        <f t="shared" si="3"/>
        <v>56</v>
      </c>
      <c r="C63" s="143">
        <v>201978000088</v>
      </c>
      <c r="D63" s="289">
        <v>3249001</v>
      </c>
      <c r="E63" s="263" t="s">
        <v>450</v>
      </c>
      <c r="F63" s="215">
        <v>54</v>
      </c>
      <c r="G63" s="215">
        <v>53</v>
      </c>
      <c r="H63" s="197">
        <f t="shared" si="0"/>
        <v>-1</v>
      </c>
      <c r="J63" s="291"/>
      <c r="K63" s="109"/>
      <c r="L63" s="198">
        <f t="shared" si="4"/>
        <v>0</v>
      </c>
      <c r="M63" s="170">
        <f t="shared" si="5"/>
        <v>0</v>
      </c>
    </row>
    <row r="64" spans="2:13" ht="21" customHeight="1">
      <c r="B64" s="38">
        <f t="shared" si="3"/>
        <v>57</v>
      </c>
      <c r="C64" s="143">
        <v>201978000089</v>
      </c>
      <c r="D64" s="289">
        <v>3249101</v>
      </c>
      <c r="E64" s="263" t="s">
        <v>729</v>
      </c>
      <c r="F64" s="215">
        <v>78</v>
      </c>
      <c r="G64" s="215">
        <v>78</v>
      </c>
      <c r="H64" s="197">
        <f t="shared" si="0"/>
        <v>0</v>
      </c>
      <c r="J64" s="291"/>
      <c r="K64" s="109"/>
      <c r="L64" s="198">
        <f t="shared" si="4"/>
        <v>0</v>
      </c>
      <c r="M64" s="170">
        <f t="shared" si="5"/>
        <v>0</v>
      </c>
    </row>
    <row r="65" spans="2:13" ht="21" customHeight="1">
      <c r="B65" s="38">
        <f t="shared" si="3"/>
        <v>58</v>
      </c>
      <c r="C65" s="143">
        <v>201978000090</v>
      </c>
      <c r="D65" s="289">
        <v>3249201</v>
      </c>
      <c r="E65" s="263" t="s">
        <v>731</v>
      </c>
      <c r="F65" s="215">
        <v>19</v>
      </c>
      <c r="G65" s="215">
        <v>19</v>
      </c>
      <c r="H65" s="197">
        <f t="shared" si="0"/>
        <v>0</v>
      </c>
      <c r="J65" s="291"/>
      <c r="K65" s="109"/>
      <c r="L65" s="198">
        <f t="shared" si="4"/>
        <v>0</v>
      </c>
      <c r="M65" s="170">
        <f t="shared" si="5"/>
        <v>0</v>
      </c>
    </row>
    <row r="66" spans="2:13" ht="21" customHeight="1">
      <c r="B66" s="38">
        <f t="shared" si="3"/>
        <v>59</v>
      </c>
      <c r="C66" s="143">
        <v>201978000092</v>
      </c>
      <c r="D66" s="289">
        <v>3257201</v>
      </c>
      <c r="E66" s="263" t="s">
        <v>1192</v>
      </c>
      <c r="F66" s="215">
        <v>218</v>
      </c>
      <c r="G66" s="215">
        <v>218</v>
      </c>
      <c r="H66" s="197">
        <f t="shared" si="0"/>
        <v>0</v>
      </c>
      <c r="J66" s="291"/>
      <c r="K66" s="109"/>
      <c r="L66" s="198">
        <f t="shared" si="4"/>
        <v>0</v>
      </c>
      <c r="M66" s="170">
        <f t="shared" si="5"/>
        <v>0</v>
      </c>
    </row>
    <row r="67" spans="2:13" ht="21" customHeight="1">
      <c r="B67" s="38">
        <f t="shared" si="3"/>
        <v>60</v>
      </c>
      <c r="C67" s="143">
        <v>201978000093</v>
      </c>
      <c r="D67" s="289">
        <v>3257601</v>
      </c>
      <c r="E67" s="263" t="s">
        <v>917</v>
      </c>
      <c r="F67" s="215">
        <v>630</v>
      </c>
      <c r="G67" s="215">
        <v>630</v>
      </c>
      <c r="H67" s="197">
        <f t="shared" si="0"/>
        <v>0</v>
      </c>
      <c r="J67" s="291"/>
      <c r="K67" s="109"/>
      <c r="L67" s="198">
        <f t="shared" si="4"/>
        <v>0</v>
      </c>
      <c r="M67" s="170">
        <f t="shared" si="5"/>
        <v>0</v>
      </c>
    </row>
    <row r="68" spans="2:13" ht="21" customHeight="1">
      <c r="B68" s="38">
        <f t="shared" si="3"/>
        <v>61</v>
      </c>
      <c r="C68" s="143">
        <v>201978000096</v>
      </c>
      <c r="D68" s="289">
        <v>3262601</v>
      </c>
      <c r="E68" s="263" t="s">
        <v>1193</v>
      </c>
      <c r="F68" s="215">
        <v>126</v>
      </c>
      <c r="G68" s="215">
        <v>126</v>
      </c>
      <c r="H68" s="197">
        <f t="shared" si="0"/>
        <v>0</v>
      </c>
      <c r="J68" s="291"/>
      <c r="K68" s="109"/>
      <c r="L68" s="198">
        <f t="shared" si="4"/>
        <v>0</v>
      </c>
      <c r="M68" s="170">
        <f t="shared" si="5"/>
        <v>0</v>
      </c>
    </row>
    <row r="69" spans="2:13" ht="21" customHeight="1">
      <c r="B69" s="38">
        <f t="shared" si="3"/>
        <v>62</v>
      </c>
      <c r="C69" s="143">
        <v>201978000099</v>
      </c>
      <c r="D69" s="289">
        <v>3263701</v>
      </c>
      <c r="E69" s="263" t="s">
        <v>1194</v>
      </c>
      <c r="F69" s="215">
        <v>476</v>
      </c>
      <c r="G69" s="215">
        <v>475</v>
      </c>
      <c r="H69" s="197">
        <f t="shared" si="0"/>
        <v>-1</v>
      </c>
      <c r="J69" s="291"/>
      <c r="K69" s="109"/>
      <c r="L69" s="198">
        <f t="shared" si="4"/>
        <v>0</v>
      </c>
      <c r="M69" s="170">
        <f t="shared" si="5"/>
        <v>0</v>
      </c>
    </row>
    <row r="70" spans="2:13" ht="21" customHeight="1">
      <c r="B70" s="38">
        <f t="shared" si="3"/>
        <v>63</v>
      </c>
      <c r="C70" s="143">
        <v>201978000100</v>
      </c>
      <c r="D70" s="289">
        <v>3263801</v>
      </c>
      <c r="E70" s="263" t="s">
        <v>1195</v>
      </c>
      <c r="F70" s="215">
        <v>289</v>
      </c>
      <c r="G70" s="215">
        <v>289</v>
      </c>
      <c r="H70" s="197">
        <f t="shared" si="0"/>
        <v>0</v>
      </c>
      <c r="J70" s="291"/>
      <c r="K70" s="109"/>
      <c r="L70" s="198">
        <f t="shared" si="4"/>
        <v>0</v>
      </c>
      <c r="M70" s="170">
        <f t="shared" si="5"/>
        <v>0</v>
      </c>
    </row>
    <row r="71" spans="2:13" ht="21" customHeight="1">
      <c r="B71" s="38">
        <f t="shared" si="3"/>
        <v>64</v>
      </c>
      <c r="C71" s="143">
        <v>201978000103</v>
      </c>
      <c r="D71" s="289">
        <v>3285202</v>
      </c>
      <c r="E71" s="263" t="s">
        <v>935</v>
      </c>
      <c r="F71" s="215">
        <v>408</v>
      </c>
      <c r="G71" s="215">
        <v>408</v>
      </c>
      <c r="H71" s="197">
        <f t="shared" si="0"/>
        <v>0</v>
      </c>
      <c r="J71" s="291"/>
      <c r="K71" s="109"/>
      <c r="L71" s="198">
        <f t="shared" si="4"/>
        <v>0</v>
      </c>
      <c r="M71" s="170">
        <f t="shared" si="5"/>
        <v>0</v>
      </c>
    </row>
    <row r="72" spans="2:13" ht="21" customHeight="1">
      <c r="B72" s="38">
        <f t="shared" si="3"/>
        <v>65</v>
      </c>
      <c r="C72" s="143">
        <v>201978000105</v>
      </c>
      <c r="D72" s="289">
        <v>3286101</v>
      </c>
      <c r="E72" s="263" t="s">
        <v>1196</v>
      </c>
      <c r="F72" s="215">
        <v>73</v>
      </c>
      <c r="G72" s="215">
        <v>73</v>
      </c>
      <c r="H72" s="197">
        <f t="shared" si="0"/>
        <v>0</v>
      </c>
      <c r="J72" s="291"/>
      <c r="K72" s="109"/>
      <c r="L72" s="198">
        <f t="shared" si="1"/>
        <v>0</v>
      </c>
      <c r="M72" s="170">
        <f t="shared" si="5"/>
        <v>0</v>
      </c>
    </row>
    <row r="73" spans="2:13" ht="21" customHeight="1">
      <c r="B73" s="38">
        <f t="shared" si="3"/>
        <v>66</v>
      </c>
      <c r="C73" s="143">
        <v>201978000106</v>
      </c>
      <c r="D73" s="289">
        <v>3300801</v>
      </c>
      <c r="E73" s="263" t="s">
        <v>412</v>
      </c>
      <c r="F73" s="215">
        <v>1547</v>
      </c>
      <c r="G73" s="215">
        <v>1563</v>
      </c>
      <c r="H73" s="197">
        <f t="shared" si="0"/>
        <v>16</v>
      </c>
      <c r="J73" s="291"/>
      <c r="K73" s="109"/>
      <c r="L73" s="198">
        <f t="shared" si="1"/>
        <v>0</v>
      </c>
      <c r="M73" s="170">
        <f t="shared" si="5"/>
        <v>0</v>
      </c>
    </row>
    <row r="74" spans="2:13" ht="21" customHeight="1">
      <c r="B74" s="38">
        <f t="shared" ref="B74:B137" si="6">B73+1</f>
        <v>67</v>
      </c>
      <c r="C74" s="143">
        <v>201978000107</v>
      </c>
      <c r="D74" s="289">
        <v>3303601</v>
      </c>
      <c r="E74" s="263" t="s">
        <v>819</v>
      </c>
      <c r="F74" s="215">
        <v>5941</v>
      </c>
      <c r="G74" s="215">
        <v>5939</v>
      </c>
      <c r="H74" s="197">
        <f t="shared" si="0"/>
        <v>-2</v>
      </c>
      <c r="J74" s="291"/>
      <c r="K74" s="109"/>
      <c r="L74" s="198">
        <f t="shared" si="1"/>
        <v>0</v>
      </c>
      <c r="M74" s="170">
        <f t="shared" si="5"/>
        <v>0</v>
      </c>
    </row>
    <row r="75" spans="2:13" ht="21" customHeight="1">
      <c r="B75" s="38">
        <f t="shared" si="6"/>
        <v>68</v>
      </c>
      <c r="C75" s="143">
        <v>201978000108</v>
      </c>
      <c r="D75" s="289">
        <v>3307201</v>
      </c>
      <c r="E75" s="263" t="s">
        <v>1197</v>
      </c>
      <c r="F75" s="215">
        <v>109</v>
      </c>
      <c r="G75" s="215">
        <v>108</v>
      </c>
      <c r="H75" s="197">
        <f t="shared" si="0"/>
        <v>-1</v>
      </c>
      <c r="J75" s="291"/>
      <c r="K75" s="109"/>
      <c r="L75" s="198">
        <f t="shared" si="1"/>
        <v>0</v>
      </c>
      <c r="M75" s="170">
        <f t="shared" si="5"/>
        <v>0</v>
      </c>
    </row>
    <row r="76" spans="2:13" ht="21" customHeight="1">
      <c r="B76" s="38">
        <f t="shared" si="6"/>
        <v>69</v>
      </c>
      <c r="C76" s="143">
        <v>201978000109</v>
      </c>
      <c r="D76" s="289">
        <v>3308201</v>
      </c>
      <c r="E76" s="263" t="s">
        <v>1198</v>
      </c>
      <c r="F76" s="215">
        <v>2</v>
      </c>
      <c r="G76" s="215">
        <v>0</v>
      </c>
      <c r="H76" s="197">
        <f t="shared" si="0"/>
        <v>-2</v>
      </c>
      <c r="J76" s="291"/>
      <c r="K76" s="109"/>
      <c r="L76" s="198">
        <f t="shared" si="1"/>
        <v>0</v>
      </c>
      <c r="M76" s="170">
        <f t="shared" si="5"/>
        <v>0</v>
      </c>
    </row>
    <row r="77" spans="2:13" ht="21" customHeight="1">
      <c r="B77" s="38">
        <f t="shared" si="6"/>
        <v>70</v>
      </c>
      <c r="C77" s="143">
        <v>201978000110</v>
      </c>
      <c r="D77" s="289">
        <v>3308301</v>
      </c>
      <c r="E77" s="263" t="s">
        <v>428</v>
      </c>
      <c r="F77" s="215">
        <v>244</v>
      </c>
      <c r="G77" s="215">
        <v>243</v>
      </c>
      <c r="H77" s="197">
        <f t="shared" si="0"/>
        <v>-1</v>
      </c>
      <c r="J77" s="291"/>
      <c r="K77" s="109"/>
      <c r="L77" s="198">
        <f t="shared" si="1"/>
        <v>0</v>
      </c>
      <c r="M77" s="170">
        <f t="shared" si="5"/>
        <v>0</v>
      </c>
    </row>
    <row r="78" spans="2:13" ht="21" customHeight="1">
      <c r="B78" s="38">
        <f t="shared" si="6"/>
        <v>71</v>
      </c>
      <c r="C78" s="143">
        <v>201978000111</v>
      </c>
      <c r="D78" s="289">
        <v>3308601</v>
      </c>
      <c r="E78" s="263" t="s">
        <v>1199</v>
      </c>
      <c r="F78" s="215">
        <v>254</v>
      </c>
      <c r="G78" s="215">
        <v>254</v>
      </c>
      <c r="H78" s="197">
        <f t="shared" si="0"/>
        <v>0</v>
      </c>
      <c r="J78" s="291"/>
      <c r="K78" s="109"/>
      <c r="L78" s="198">
        <f t="shared" si="1"/>
        <v>0</v>
      </c>
      <c r="M78" s="170">
        <f t="shared" si="5"/>
        <v>0</v>
      </c>
    </row>
    <row r="79" spans="2:13" ht="21" customHeight="1">
      <c r="B79" s="38">
        <f t="shared" si="6"/>
        <v>72</v>
      </c>
      <c r="C79" s="143">
        <v>201978000117</v>
      </c>
      <c r="D79" s="289">
        <v>3317701</v>
      </c>
      <c r="E79" s="263" t="s">
        <v>1200</v>
      </c>
      <c r="F79" s="215">
        <v>464</v>
      </c>
      <c r="G79" s="215">
        <v>416</v>
      </c>
      <c r="H79" s="197">
        <f t="shared" si="0"/>
        <v>-48</v>
      </c>
      <c r="J79" s="291"/>
      <c r="K79" s="109"/>
      <c r="L79" s="198">
        <f t="shared" si="1"/>
        <v>0</v>
      </c>
      <c r="M79" s="170">
        <f t="shared" si="5"/>
        <v>0</v>
      </c>
    </row>
    <row r="80" spans="2:13" ht="21" customHeight="1">
      <c r="B80" s="38">
        <f t="shared" si="6"/>
        <v>73</v>
      </c>
      <c r="C80" s="143">
        <v>201978000118</v>
      </c>
      <c r="D80" s="289">
        <v>3318101</v>
      </c>
      <c r="E80" s="263" t="s">
        <v>1201</v>
      </c>
      <c r="F80" s="215">
        <v>300</v>
      </c>
      <c r="G80" s="215">
        <v>300</v>
      </c>
      <c r="H80" s="197">
        <f t="shared" si="0"/>
        <v>0</v>
      </c>
      <c r="J80" s="291"/>
      <c r="K80" s="109"/>
      <c r="L80" s="198">
        <f t="shared" si="1"/>
        <v>0</v>
      </c>
      <c r="M80" s="170">
        <f t="shared" si="5"/>
        <v>0</v>
      </c>
    </row>
    <row r="81" spans="2:13" ht="21" customHeight="1">
      <c r="B81" s="38">
        <f t="shared" si="6"/>
        <v>74</v>
      </c>
      <c r="C81" s="143">
        <v>201978000119</v>
      </c>
      <c r="D81" s="289">
        <v>3318201</v>
      </c>
      <c r="E81" s="263" t="s">
        <v>962</v>
      </c>
      <c r="F81" s="215">
        <v>131</v>
      </c>
      <c r="G81" s="215">
        <v>131</v>
      </c>
      <c r="H81" s="197">
        <f t="shared" si="0"/>
        <v>0</v>
      </c>
      <c r="J81" s="291"/>
      <c r="K81" s="109"/>
      <c r="L81" s="198">
        <f t="shared" si="1"/>
        <v>0</v>
      </c>
      <c r="M81" s="170">
        <f t="shared" si="5"/>
        <v>0</v>
      </c>
    </row>
    <row r="82" spans="2:13" ht="21" customHeight="1">
      <c r="B82" s="38">
        <f t="shared" si="6"/>
        <v>75</v>
      </c>
      <c r="C82" s="143">
        <v>201978000120</v>
      </c>
      <c r="D82" s="289">
        <v>3318301</v>
      </c>
      <c r="E82" s="263" t="s">
        <v>1202</v>
      </c>
      <c r="F82" s="215">
        <v>180</v>
      </c>
      <c r="G82" s="215">
        <v>180</v>
      </c>
      <c r="H82" s="197">
        <f t="shared" si="0"/>
        <v>0</v>
      </c>
      <c r="J82" s="291"/>
      <c r="K82" s="109"/>
      <c r="L82" s="198">
        <f t="shared" si="1"/>
        <v>0</v>
      </c>
      <c r="M82" s="170">
        <f t="shared" si="5"/>
        <v>0</v>
      </c>
    </row>
    <row r="83" spans="2:13" ht="21" customHeight="1">
      <c r="B83" s="38">
        <f t="shared" si="6"/>
        <v>76</v>
      </c>
      <c r="C83" s="143">
        <v>201978000121</v>
      </c>
      <c r="D83" s="289">
        <v>3318401</v>
      </c>
      <c r="E83" s="263" t="s">
        <v>1203</v>
      </c>
      <c r="F83" s="215">
        <v>122</v>
      </c>
      <c r="G83" s="215">
        <v>122</v>
      </c>
      <c r="H83" s="197">
        <f t="shared" si="0"/>
        <v>0</v>
      </c>
      <c r="J83" s="291"/>
      <c r="K83" s="109"/>
      <c r="L83" s="198">
        <f t="shared" si="1"/>
        <v>0</v>
      </c>
      <c r="M83" s="170">
        <f t="shared" ref="M83:M146" si="7">H83*K83</f>
        <v>0</v>
      </c>
    </row>
    <row r="84" spans="2:13" ht="21" customHeight="1">
      <c r="B84" s="38">
        <f t="shared" si="6"/>
        <v>77</v>
      </c>
      <c r="C84" s="143">
        <v>201978000122</v>
      </c>
      <c r="D84" s="289">
        <v>3324201</v>
      </c>
      <c r="E84" s="263" t="s">
        <v>1018</v>
      </c>
      <c r="F84" s="215">
        <v>343</v>
      </c>
      <c r="G84" s="215">
        <v>343</v>
      </c>
      <c r="H84" s="197">
        <f t="shared" si="0"/>
        <v>0</v>
      </c>
      <c r="J84" s="291"/>
      <c r="K84" s="109"/>
      <c r="L84" s="198">
        <f t="shared" si="1"/>
        <v>0</v>
      </c>
      <c r="M84" s="170">
        <f t="shared" si="7"/>
        <v>0</v>
      </c>
    </row>
    <row r="85" spans="2:13" ht="21" customHeight="1">
      <c r="B85" s="38">
        <f t="shared" si="6"/>
        <v>78</v>
      </c>
      <c r="C85" s="143">
        <v>201978000123</v>
      </c>
      <c r="D85" s="289">
        <v>3324301</v>
      </c>
      <c r="E85" s="263" t="s">
        <v>1204</v>
      </c>
      <c r="F85" s="215">
        <v>337</v>
      </c>
      <c r="G85" s="215">
        <v>337</v>
      </c>
      <c r="H85" s="197">
        <f t="shared" si="0"/>
        <v>0</v>
      </c>
      <c r="J85" s="291"/>
      <c r="K85" s="109"/>
      <c r="L85" s="198">
        <f t="shared" si="1"/>
        <v>0</v>
      </c>
      <c r="M85" s="170">
        <f t="shared" si="7"/>
        <v>0</v>
      </c>
    </row>
    <row r="86" spans="2:13" ht="21" customHeight="1">
      <c r="B86" s="38">
        <f t="shared" si="6"/>
        <v>79</v>
      </c>
      <c r="C86" s="143">
        <v>201978000124</v>
      </c>
      <c r="D86" s="289">
        <v>3324401</v>
      </c>
      <c r="E86" s="263" t="s">
        <v>1205</v>
      </c>
      <c r="F86" s="215">
        <v>365</v>
      </c>
      <c r="G86" s="215">
        <v>365</v>
      </c>
      <c r="H86" s="197">
        <f t="shared" si="0"/>
        <v>0</v>
      </c>
      <c r="J86" s="291"/>
      <c r="K86" s="109"/>
      <c r="L86" s="198">
        <f t="shared" si="1"/>
        <v>0</v>
      </c>
      <c r="M86" s="170">
        <f t="shared" si="7"/>
        <v>0</v>
      </c>
    </row>
    <row r="87" spans="2:13" ht="21" customHeight="1">
      <c r="B87" s="38">
        <f t="shared" si="6"/>
        <v>80</v>
      </c>
      <c r="C87" s="143">
        <v>201978000125</v>
      </c>
      <c r="D87" s="289">
        <v>3324501</v>
      </c>
      <c r="E87" s="263" t="s">
        <v>1206</v>
      </c>
      <c r="F87" s="215">
        <v>436</v>
      </c>
      <c r="G87" s="215">
        <v>436</v>
      </c>
      <c r="H87" s="197">
        <f t="shared" si="0"/>
        <v>0</v>
      </c>
      <c r="J87" s="291"/>
      <c r="K87" s="109"/>
      <c r="L87" s="198">
        <f t="shared" si="1"/>
        <v>0</v>
      </c>
      <c r="M87" s="170">
        <f t="shared" si="7"/>
        <v>0</v>
      </c>
    </row>
    <row r="88" spans="2:13" ht="21" customHeight="1">
      <c r="B88" s="38">
        <f t="shared" si="6"/>
        <v>81</v>
      </c>
      <c r="C88" s="143">
        <v>201978000126</v>
      </c>
      <c r="D88" s="289">
        <v>3324602</v>
      </c>
      <c r="E88" s="263" t="s">
        <v>404</v>
      </c>
      <c r="F88" s="215">
        <v>2939</v>
      </c>
      <c r="G88" s="215">
        <v>2939</v>
      </c>
      <c r="H88" s="197">
        <f t="shared" si="0"/>
        <v>0</v>
      </c>
      <c r="J88" s="291"/>
      <c r="K88" s="109"/>
      <c r="L88" s="198">
        <f t="shared" si="1"/>
        <v>0</v>
      </c>
      <c r="M88" s="170">
        <f t="shared" si="7"/>
        <v>0</v>
      </c>
    </row>
    <row r="89" spans="2:13" ht="21" customHeight="1">
      <c r="B89" s="38">
        <f t="shared" si="6"/>
        <v>82</v>
      </c>
      <c r="C89" s="143">
        <v>201978000133</v>
      </c>
      <c r="D89" s="289">
        <v>3327001</v>
      </c>
      <c r="E89" s="263" t="s">
        <v>1207</v>
      </c>
      <c r="F89" s="215">
        <v>1417</v>
      </c>
      <c r="G89" s="215">
        <v>1417</v>
      </c>
      <c r="H89" s="197">
        <f t="shared" si="0"/>
        <v>0</v>
      </c>
      <c r="J89" s="291"/>
      <c r="K89" s="109"/>
      <c r="L89" s="198">
        <f t="shared" si="1"/>
        <v>0</v>
      </c>
      <c r="M89" s="170">
        <f t="shared" si="7"/>
        <v>0</v>
      </c>
    </row>
    <row r="90" spans="2:13" ht="21" customHeight="1">
      <c r="B90" s="38">
        <f t="shared" si="6"/>
        <v>83</v>
      </c>
      <c r="C90" s="143">
        <v>201978000137</v>
      </c>
      <c r="D90" s="289">
        <v>3328901</v>
      </c>
      <c r="E90" s="263" t="s">
        <v>1208</v>
      </c>
      <c r="F90" s="215">
        <v>2068</v>
      </c>
      <c r="G90" s="215">
        <v>2068</v>
      </c>
      <c r="H90" s="197">
        <f t="shared" si="0"/>
        <v>0</v>
      </c>
      <c r="J90" s="291"/>
      <c r="K90" s="109"/>
      <c r="L90" s="198">
        <f t="shared" si="1"/>
        <v>0</v>
      </c>
      <c r="M90" s="170">
        <f t="shared" si="7"/>
        <v>0</v>
      </c>
    </row>
    <row r="91" spans="2:13" ht="21" customHeight="1">
      <c r="B91" s="38">
        <f t="shared" si="6"/>
        <v>84</v>
      </c>
      <c r="C91" s="143">
        <v>201978000138</v>
      </c>
      <c r="D91" s="289">
        <v>3385001</v>
      </c>
      <c r="E91" s="263" t="s">
        <v>407</v>
      </c>
      <c r="F91" s="215">
        <v>847</v>
      </c>
      <c r="G91" s="215">
        <v>847</v>
      </c>
      <c r="H91" s="197">
        <f t="shared" si="0"/>
        <v>0</v>
      </c>
      <c r="J91" s="291"/>
      <c r="K91" s="109"/>
      <c r="L91" s="198">
        <f t="shared" si="1"/>
        <v>0</v>
      </c>
      <c r="M91" s="170">
        <f t="shared" si="7"/>
        <v>0</v>
      </c>
    </row>
    <row r="92" spans="2:13" ht="21" customHeight="1">
      <c r="B92" s="38">
        <f t="shared" si="6"/>
        <v>85</v>
      </c>
      <c r="C92" s="143">
        <v>201978000140</v>
      </c>
      <c r="D92" s="289">
        <v>3385801</v>
      </c>
      <c r="E92" s="332" t="s">
        <v>1209</v>
      </c>
      <c r="F92" s="215">
        <v>41</v>
      </c>
      <c r="G92" s="215">
        <v>41</v>
      </c>
      <c r="H92" s="197">
        <f t="shared" si="0"/>
        <v>0</v>
      </c>
      <c r="I92" s="217"/>
      <c r="J92" s="291"/>
      <c r="K92" s="109"/>
      <c r="L92" s="198">
        <f t="shared" si="1"/>
        <v>0</v>
      </c>
      <c r="M92" s="170">
        <f t="shared" si="7"/>
        <v>0</v>
      </c>
    </row>
    <row r="93" spans="2:13" ht="21" customHeight="1">
      <c r="B93" s="38">
        <f t="shared" si="6"/>
        <v>86</v>
      </c>
      <c r="C93" s="143">
        <v>201978000141</v>
      </c>
      <c r="D93" s="289">
        <v>3385901</v>
      </c>
      <c r="E93" s="263" t="s">
        <v>1210</v>
      </c>
      <c r="F93" s="215">
        <v>19</v>
      </c>
      <c r="G93" s="215">
        <v>19</v>
      </c>
      <c r="H93" s="197">
        <f t="shared" si="0"/>
        <v>0</v>
      </c>
      <c r="J93" s="291"/>
      <c r="K93" s="109"/>
      <c r="L93" s="198">
        <f t="shared" si="1"/>
        <v>0</v>
      </c>
      <c r="M93" s="170">
        <f t="shared" si="7"/>
        <v>0</v>
      </c>
    </row>
    <row r="94" spans="2:13" ht="21" customHeight="1">
      <c r="B94" s="38">
        <f t="shared" si="6"/>
        <v>87</v>
      </c>
      <c r="C94" s="143">
        <v>201978000142</v>
      </c>
      <c r="D94" s="289">
        <v>3386501</v>
      </c>
      <c r="E94" s="263" t="s">
        <v>1211</v>
      </c>
      <c r="F94" s="215">
        <v>13</v>
      </c>
      <c r="G94" s="215">
        <v>13</v>
      </c>
      <c r="H94" s="197">
        <f t="shared" si="0"/>
        <v>0</v>
      </c>
      <c r="J94" s="291"/>
      <c r="K94" s="109"/>
      <c r="L94" s="198">
        <f t="shared" si="1"/>
        <v>0</v>
      </c>
      <c r="M94" s="170">
        <f t="shared" si="7"/>
        <v>0</v>
      </c>
    </row>
    <row r="95" spans="2:13" ht="21" customHeight="1">
      <c r="B95" s="38">
        <f t="shared" si="6"/>
        <v>88</v>
      </c>
      <c r="C95" s="143">
        <v>201978000143</v>
      </c>
      <c r="D95" s="289">
        <v>3386601</v>
      </c>
      <c r="E95" s="263" t="s">
        <v>1212</v>
      </c>
      <c r="F95" s="215">
        <v>290</v>
      </c>
      <c r="G95" s="215">
        <v>290</v>
      </c>
      <c r="H95" s="197">
        <f t="shared" si="0"/>
        <v>0</v>
      </c>
      <c r="J95" s="291"/>
      <c r="K95" s="109"/>
      <c r="L95" s="198">
        <f t="shared" si="1"/>
        <v>0</v>
      </c>
      <c r="M95" s="170">
        <f t="shared" si="7"/>
        <v>0</v>
      </c>
    </row>
    <row r="96" spans="2:13" ht="21" customHeight="1">
      <c r="B96" s="38">
        <f t="shared" si="6"/>
        <v>89</v>
      </c>
      <c r="C96" s="143">
        <v>201978000149</v>
      </c>
      <c r="D96" s="289">
        <v>3408601</v>
      </c>
      <c r="E96" s="263" t="s">
        <v>851</v>
      </c>
      <c r="F96" s="215">
        <v>75</v>
      </c>
      <c r="G96" s="215">
        <v>75</v>
      </c>
      <c r="H96" s="197">
        <f t="shared" si="0"/>
        <v>0</v>
      </c>
      <c r="J96" s="291"/>
      <c r="K96" s="109"/>
      <c r="L96" s="198">
        <f t="shared" si="1"/>
        <v>0</v>
      </c>
      <c r="M96" s="170">
        <f t="shared" si="7"/>
        <v>0</v>
      </c>
    </row>
    <row r="97" spans="2:13" ht="21" customHeight="1">
      <c r="B97" s="38">
        <f t="shared" si="6"/>
        <v>90</v>
      </c>
      <c r="C97" s="143">
        <v>201978000150</v>
      </c>
      <c r="D97" s="289">
        <v>3409101</v>
      </c>
      <c r="E97" s="263" t="s">
        <v>435</v>
      </c>
      <c r="F97" s="215">
        <v>369</v>
      </c>
      <c r="G97" s="215">
        <v>369</v>
      </c>
      <c r="H97" s="197">
        <f t="shared" si="0"/>
        <v>0</v>
      </c>
      <c r="J97" s="291"/>
      <c r="K97" s="109"/>
      <c r="L97" s="198">
        <f t="shared" si="1"/>
        <v>0</v>
      </c>
      <c r="M97" s="170">
        <f t="shared" si="7"/>
        <v>0</v>
      </c>
    </row>
    <row r="98" spans="2:13" ht="21" customHeight="1">
      <c r="B98" s="38">
        <f t="shared" si="6"/>
        <v>91</v>
      </c>
      <c r="C98" s="143">
        <v>201978000151</v>
      </c>
      <c r="D98" s="289">
        <v>3938303</v>
      </c>
      <c r="E98" s="263" t="s">
        <v>312</v>
      </c>
      <c r="F98" s="215">
        <v>394</v>
      </c>
      <c r="G98" s="215">
        <v>394</v>
      </c>
      <c r="H98" s="197">
        <f t="shared" si="0"/>
        <v>0</v>
      </c>
      <c r="J98" s="291"/>
      <c r="K98" s="109"/>
      <c r="L98" s="198">
        <f t="shared" si="1"/>
        <v>0</v>
      </c>
      <c r="M98" s="170">
        <f t="shared" si="7"/>
        <v>0</v>
      </c>
    </row>
    <row r="99" spans="2:13" ht="21" customHeight="1">
      <c r="B99" s="38">
        <f t="shared" si="6"/>
        <v>92</v>
      </c>
      <c r="C99" s="143">
        <v>201978000152</v>
      </c>
      <c r="D99" s="289">
        <v>3942503</v>
      </c>
      <c r="E99" s="263" t="s">
        <v>1213</v>
      </c>
      <c r="F99" s="215">
        <v>56</v>
      </c>
      <c r="G99" s="215">
        <v>56</v>
      </c>
      <c r="H99" s="197">
        <f t="shared" si="0"/>
        <v>0</v>
      </c>
      <c r="J99" s="291"/>
      <c r="K99" s="109"/>
      <c r="L99" s="198">
        <f t="shared" si="1"/>
        <v>0</v>
      </c>
      <c r="M99" s="170">
        <f t="shared" si="7"/>
        <v>0</v>
      </c>
    </row>
    <row r="100" spans="2:13" ht="21" customHeight="1">
      <c r="B100" s="38">
        <f t="shared" si="6"/>
        <v>93</v>
      </c>
      <c r="C100" s="143">
        <v>201978000167</v>
      </c>
      <c r="D100" s="289">
        <v>4000121</v>
      </c>
      <c r="E100" s="263" t="s">
        <v>1214</v>
      </c>
      <c r="F100" s="215">
        <v>58</v>
      </c>
      <c r="G100" s="215">
        <v>58</v>
      </c>
      <c r="H100" s="197">
        <f t="shared" si="0"/>
        <v>0</v>
      </c>
      <c r="J100" s="291"/>
      <c r="K100" s="109"/>
      <c r="L100" s="198">
        <f t="shared" si="1"/>
        <v>0</v>
      </c>
      <c r="M100" s="170">
        <f t="shared" si="7"/>
        <v>0</v>
      </c>
    </row>
    <row r="101" spans="2:13" ht="21" customHeight="1">
      <c r="B101" s="38">
        <f t="shared" si="6"/>
        <v>94</v>
      </c>
      <c r="C101" s="143">
        <v>201978000170</v>
      </c>
      <c r="D101" s="289">
        <v>4000124</v>
      </c>
      <c r="E101" s="263" t="s">
        <v>438</v>
      </c>
      <c r="F101" s="215">
        <v>39</v>
      </c>
      <c r="G101" s="215">
        <v>39</v>
      </c>
      <c r="H101" s="197">
        <f t="shared" si="0"/>
        <v>0</v>
      </c>
      <c r="J101" s="291"/>
      <c r="K101" s="109"/>
      <c r="L101" s="198">
        <f t="shared" si="1"/>
        <v>0</v>
      </c>
      <c r="M101" s="170">
        <f t="shared" si="7"/>
        <v>0</v>
      </c>
    </row>
    <row r="102" spans="2:13" ht="21" customHeight="1">
      <c r="B102" s="38">
        <f t="shared" si="6"/>
        <v>95</v>
      </c>
      <c r="C102" s="143">
        <v>201978000171</v>
      </c>
      <c r="D102" s="289">
        <v>4000125</v>
      </c>
      <c r="E102" s="263" t="s">
        <v>1215</v>
      </c>
      <c r="F102" s="215">
        <v>41</v>
      </c>
      <c r="G102" s="215">
        <v>41</v>
      </c>
      <c r="H102" s="197">
        <f t="shared" si="0"/>
        <v>0</v>
      </c>
      <c r="J102" s="291"/>
      <c r="K102" s="109"/>
      <c r="L102" s="198">
        <f t="shared" si="1"/>
        <v>0</v>
      </c>
      <c r="M102" s="170">
        <f t="shared" si="7"/>
        <v>0</v>
      </c>
    </row>
    <row r="103" spans="2:13" ht="21" customHeight="1">
      <c r="B103" s="38">
        <f t="shared" si="6"/>
        <v>96</v>
      </c>
      <c r="C103" s="143">
        <v>201978000172</v>
      </c>
      <c r="D103" s="289">
        <v>4000126</v>
      </c>
      <c r="E103" s="263" t="s">
        <v>383</v>
      </c>
      <c r="F103" s="215">
        <v>47</v>
      </c>
      <c r="G103" s="215">
        <v>47</v>
      </c>
      <c r="H103" s="197">
        <f t="shared" si="0"/>
        <v>0</v>
      </c>
      <c r="J103" s="291"/>
      <c r="K103" s="109"/>
      <c r="L103" s="198">
        <f t="shared" si="1"/>
        <v>0</v>
      </c>
      <c r="M103" s="170">
        <f t="shared" si="7"/>
        <v>0</v>
      </c>
    </row>
    <row r="104" spans="2:13" ht="21" customHeight="1">
      <c r="B104" s="38">
        <f t="shared" si="6"/>
        <v>97</v>
      </c>
      <c r="C104" s="143">
        <v>201978000188</v>
      </c>
      <c r="D104" s="289">
        <v>5000003</v>
      </c>
      <c r="E104" s="263" t="s">
        <v>1216</v>
      </c>
      <c r="F104" s="215">
        <v>706</v>
      </c>
      <c r="G104" s="215">
        <v>706</v>
      </c>
      <c r="H104" s="197">
        <f t="shared" si="0"/>
        <v>0</v>
      </c>
      <c r="J104" s="291"/>
      <c r="K104" s="109"/>
      <c r="L104" s="198">
        <f t="shared" si="1"/>
        <v>0</v>
      </c>
      <c r="M104" s="170">
        <f t="shared" si="7"/>
        <v>0</v>
      </c>
    </row>
    <row r="105" spans="2:13" ht="21" customHeight="1">
      <c r="B105" s="38">
        <f t="shared" si="6"/>
        <v>98</v>
      </c>
      <c r="C105" s="143">
        <v>201978000189</v>
      </c>
      <c r="D105" s="289">
        <v>5000006</v>
      </c>
      <c r="E105" s="263" t="s">
        <v>1217</v>
      </c>
      <c r="F105" s="215">
        <v>606</v>
      </c>
      <c r="G105" s="215">
        <v>606</v>
      </c>
      <c r="H105" s="197">
        <f t="shared" si="0"/>
        <v>0</v>
      </c>
      <c r="J105" s="291"/>
      <c r="K105" s="109"/>
      <c r="L105" s="198">
        <f t="shared" si="1"/>
        <v>0</v>
      </c>
      <c r="M105" s="170">
        <f t="shared" si="7"/>
        <v>0</v>
      </c>
    </row>
    <row r="106" spans="2:13" ht="21" customHeight="1">
      <c r="B106" s="38">
        <f t="shared" si="6"/>
        <v>99</v>
      </c>
      <c r="C106" s="143">
        <v>201978000205</v>
      </c>
      <c r="D106" s="289">
        <v>1370201</v>
      </c>
      <c r="E106" s="263" t="s">
        <v>1218</v>
      </c>
      <c r="F106" s="215">
        <v>25</v>
      </c>
      <c r="G106" s="215">
        <v>25</v>
      </c>
      <c r="H106" s="197">
        <f t="shared" si="0"/>
        <v>0</v>
      </c>
      <c r="J106" s="291"/>
      <c r="K106" s="109"/>
      <c r="L106" s="198">
        <f t="shared" si="1"/>
        <v>0</v>
      </c>
      <c r="M106" s="170">
        <f t="shared" si="7"/>
        <v>0</v>
      </c>
    </row>
    <row r="107" spans="2:13" ht="21" customHeight="1">
      <c r="B107" s="38">
        <f t="shared" si="6"/>
        <v>100</v>
      </c>
      <c r="C107" s="143">
        <v>201978000209</v>
      </c>
      <c r="D107" s="289">
        <v>1370401</v>
      </c>
      <c r="E107" s="263" t="s">
        <v>1219</v>
      </c>
      <c r="F107" s="215">
        <v>67</v>
      </c>
      <c r="G107" s="215">
        <v>67</v>
      </c>
      <c r="H107" s="197">
        <f t="shared" si="0"/>
        <v>0</v>
      </c>
      <c r="J107" s="291"/>
      <c r="K107" s="109"/>
      <c r="L107" s="198">
        <f t="shared" si="1"/>
        <v>0</v>
      </c>
      <c r="M107" s="170">
        <f t="shared" si="7"/>
        <v>0</v>
      </c>
    </row>
    <row r="108" spans="2:13" ht="21" customHeight="1">
      <c r="B108" s="38">
        <f t="shared" si="6"/>
        <v>101</v>
      </c>
      <c r="C108" s="143">
        <v>201978000210</v>
      </c>
      <c r="D108" s="289">
        <v>1370501</v>
      </c>
      <c r="E108" s="263" t="s">
        <v>1220</v>
      </c>
      <c r="F108" s="215">
        <v>30</v>
      </c>
      <c r="G108" s="215">
        <v>30</v>
      </c>
      <c r="H108" s="197">
        <f t="shared" si="0"/>
        <v>0</v>
      </c>
      <c r="J108" s="291"/>
      <c r="K108" s="109"/>
      <c r="L108" s="198">
        <f t="shared" si="1"/>
        <v>0</v>
      </c>
      <c r="M108" s="170">
        <f t="shared" si="7"/>
        <v>0</v>
      </c>
    </row>
    <row r="109" spans="2:13" ht="21" customHeight="1">
      <c r="B109" s="38">
        <f t="shared" si="6"/>
        <v>102</v>
      </c>
      <c r="C109" s="143">
        <v>201978000215</v>
      </c>
      <c r="D109" s="289">
        <v>1370901</v>
      </c>
      <c r="E109" s="263" t="s">
        <v>1221</v>
      </c>
      <c r="F109" s="215">
        <v>18</v>
      </c>
      <c r="G109" s="215">
        <v>18</v>
      </c>
      <c r="H109" s="197">
        <f t="shared" si="0"/>
        <v>0</v>
      </c>
      <c r="J109" s="291"/>
      <c r="K109" s="109"/>
      <c r="L109" s="198">
        <f t="shared" si="1"/>
        <v>0</v>
      </c>
      <c r="M109" s="170">
        <f t="shared" si="7"/>
        <v>0</v>
      </c>
    </row>
    <row r="110" spans="2:13" ht="21" customHeight="1">
      <c r="B110" s="38">
        <f t="shared" si="6"/>
        <v>103</v>
      </c>
      <c r="C110" s="143">
        <v>201978000220</v>
      </c>
      <c r="D110" s="289">
        <v>1372701</v>
      </c>
      <c r="E110" s="263" t="s">
        <v>1222</v>
      </c>
      <c r="F110" s="215">
        <v>36</v>
      </c>
      <c r="G110" s="215">
        <v>36</v>
      </c>
      <c r="H110" s="197">
        <f t="shared" si="0"/>
        <v>0</v>
      </c>
      <c r="J110" s="291"/>
      <c r="K110" s="109"/>
      <c r="L110" s="198">
        <f t="shared" si="1"/>
        <v>0</v>
      </c>
      <c r="M110" s="170">
        <f t="shared" si="7"/>
        <v>0</v>
      </c>
    </row>
    <row r="111" spans="2:13" ht="21" customHeight="1">
      <c r="B111" s="38">
        <f t="shared" si="6"/>
        <v>104</v>
      </c>
      <c r="C111" s="143">
        <v>201978000223</v>
      </c>
      <c r="D111" s="289">
        <v>1372901</v>
      </c>
      <c r="E111" s="263" t="s">
        <v>1223</v>
      </c>
      <c r="F111" s="215">
        <v>21</v>
      </c>
      <c r="G111" s="215">
        <v>21</v>
      </c>
      <c r="H111" s="197">
        <f t="shared" si="0"/>
        <v>0</v>
      </c>
      <c r="J111" s="291"/>
      <c r="K111" s="109"/>
      <c r="L111" s="198">
        <f t="shared" si="1"/>
        <v>0</v>
      </c>
      <c r="M111" s="170">
        <f t="shared" si="7"/>
        <v>0</v>
      </c>
    </row>
    <row r="112" spans="2:13" ht="21" customHeight="1">
      <c r="B112" s="38">
        <f t="shared" si="6"/>
        <v>105</v>
      </c>
      <c r="C112" s="143">
        <v>201978000232</v>
      </c>
      <c r="D112" s="289" t="s">
        <v>1153</v>
      </c>
      <c r="E112" s="263" t="s">
        <v>1224</v>
      </c>
      <c r="F112" s="215">
        <v>8</v>
      </c>
      <c r="G112" s="215">
        <v>8</v>
      </c>
      <c r="H112" s="197">
        <f t="shared" si="0"/>
        <v>0</v>
      </c>
      <c r="J112" s="291"/>
      <c r="K112" s="109"/>
      <c r="L112" s="198">
        <f t="shared" si="1"/>
        <v>0</v>
      </c>
      <c r="M112" s="170">
        <f t="shared" si="7"/>
        <v>0</v>
      </c>
    </row>
    <row r="113" spans="1:13" ht="21" customHeight="1">
      <c r="B113" s="38">
        <f t="shared" si="6"/>
        <v>106</v>
      </c>
      <c r="C113" s="143">
        <v>201987000001</v>
      </c>
      <c r="D113" s="289">
        <v>3939503</v>
      </c>
      <c r="E113" s="263" t="s">
        <v>1225</v>
      </c>
      <c r="F113" s="215">
        <v>223</v>
      </c>
      <c r="G113" s="215">
        <v>223</v>
      </c>
      <c r="H113" s="197">
        <f t="shared" si="0"/>
        <v>0</v>
      </c>
      <c r="J113" s="291"/>
      <c r="K113" s="109"/>
      <c r="L113" s="198">
        <f t="shared" si="1"/>
        <v>0</v>
      </c>
      <c r="M113" s="170">
        <f t="shared" si="7"/>
        <v>0</v>
      </c>
    </row>
    <row r="114" spans="1:13" ht="21" customHeight="1">
      <c r="B114" s="38">
        <f t="shared" si="6"/>
        <v>107</v>
      </c>
      <c r="C114" s="143">
        <v>201987000002</v>
      </c>
      <c r="D114" s="289">
        <v>3941503</v>
      </c>
      <c r="E114" s="332" t="s">
        <v>844</v>
      </c>
      <c r="F114" s="215">
        <v>168</v>
      </c>
      <c r="G114" s="215">
        <v>164</v>
      </c>
      <c r="H114" s="197">
        <f t="shared" si="0"/>
        <v>-4</v>
      </c>
      <c r="I114" s="217"/>
      <c r="J114" s="291"/>
      <c r="K114" s="109"/>
      <c r="L114" s="198">
        <f t="shared" si="1"/>
        <v>0</v>
      </c>
      <c r="M114" s="170">
        <f t="shared" si="7"/>
        <v>0</v>
      </c>
    </row>
    <row r="115" spans="1:13" ht="21" customHeight="1">
      <c r="B115" s="38">
        <f t="shared" si="6"/>
        <v>108</v>
      </c>
      <c r="C115" s="143">
        <v>201987000003</v>
      </c>
      <c r="D115" s="289">
        <v>3582601</v>
      </c>
      <c r="E115" s="263" t="s">
        <v>1226</v>
      </c>
      <c r="F115" s="215">
        <v>208</v>
      </c>
      <c r="G115" s="215">
        <v>206</v>
      </c>
      <c r="H115" s="197">
        <f t="shared" si="0"/>
        <v>-2</v>
      </c>
      <c r="J115" s="291"/>
      <c r="K115" s="109"/>
      <c r="L115" s="198">
        <f t="shared" si="1"/>
        <v>0</v>
      </c>
      <c r="M115" s="170">
        <f t="shared" si="7"/>
        <v>0</v>
      </c>
    </row>
    <row r="116" spans="1:13" ht="21" customHeight="1">
      <c r="B116" s="38">
        <f t="shared" si="6"/>
        <v>109</v>
      </c>
      <c r="C116" s="143">
        <v>201987000010</v>
      </c>
      <c r="D116" s="289">
        <v>1598901</v>
      </c>
      <c r="E116" s="263" t="s">
        <v>1227</v>
      </c>
      <c r="F116" s="215">
        <v>121</v>
      </c>
      <c r="G116" s="215">
        <v>121</v>
      </c>
      <c r="H116" s="197">
        <f t="shared" si="0"/>
        <v>0</v>
      </c>
      <c r="J116" s="291"/>
      <c r="K116" s="109"/>
      <c r="L116" s="198">
        <f t="shared" si="1"/>
        <v>0</v>
      </c>
      <c r="M116" s="170">
        <f t="shared" si="7"/>
        <v>0</v>
      </c>
    </row>
    <row r="117" spans="1:13" ht="21" customHeight="1">
      <c r="B117" s="38">
        <f t="shared" si="6"/>
        <v>110</v>
      </c>
      <c r="C117" s="143">
        <v>201987000012</v>
      </c>
      <c r="D117" s="289">
        <v>3249301</v>
      </c>
      <c r="E117" s="263" t="s">
        <v>322</v>
      </c>
      <c r="F117" s="215">
        <v>1354</v>
      </c>
      <c r="G117" s="215">
        <v>1354</v>
      </c>
      <c r="H117" s="197">
        <f t="shared" si="0"/>
        <v>0</v>
      </c>
      <c r="J117" s="291"/>
      <c r="K117" s="109"/>
      <c r="L117" s="198">
        <f t="shared" si="1"/>
        <v>0</v>
      </c>
      <c r="M117" s="170">
        <f t="shared" si="7"/>
        <v>0</v>
      </c>
    </row>
    <row r="118" spans="1:13" ht="21" customHeight="1">
      <c r="B118" s="38">
        <f t="shared" si="6"/>
        <v>111</v>
      </c>
      <c r="C118" s="143">
        <v>201987000019</v>
      </c>
      <c r="D118" s="289">
        <v>1219101</v>
      </c>
      <c r="E118" s="263" t="s">
        <v>1228</v>
      </c>
      <c r="F118" s="215">
        <v>54</v>
      </c>
      <c r="G118" s="215">
        <v>54</v>
      </c>
      <c r="H118" s="197">
        <f t="shared" si="0"/>
        <v>0</v>
      </c>
      <c r="J118" s="291"/>
      <c r="K118" s="109"/>
      <c r="L118" s="198">
        <f t="shared" si="1"/>
        <v>0</v>
      </c>
      <c r="M118" s="170">
        <f t="shared" si="7"/>
        <v>0</v>
      </c>
    </row>
    <row r="119" spans="1:13" ht="21" customHeight="1">
      <c r="A119" s="217"/>
      <c r="B119" s="38">
        <f t="shared" si="6"/>
        <v>112</v>
      </c>
      <c r="C119" s="143">
        <v>201987000037</v>
      </c>
      <c r="D119" s="289">
        <v>3015101</v>
      </c>
      <c r="E119" s="332" t="s">
        <v>1229</v>
      </c>
      <c r="F119" s="215">
        <v>79</v>
      </c>
      <c r="G119" s="215">
        <v>78</v>
      </c>
      <c r="H119" s="197">
        <f t="shared" si="0"/>
        <v>-1</v>
      </c>
      <c r="I119" s="217"/>
      <c r="J119" s="291"/>
      <c r="K119" s="109"/>
      <c r="L119" s="198">
        <f t="shared" si="1"/>
        <v>0</v>
      </c>
      <c r="M119" s="170">
        <f t="shared" si="7"/>
        <v>0</v>
      </c>
    </row>
    <row r="120" spans="1:13" ht="21" customHeight="1">
      <c r="B120" s="38">
        <f t="shared" si="6"/>
        <v>113</v>
      </c>
      <c r="C120" s="143">
        <v>201987000041</v>
      </c>
      <c r="D120" s="289">
        <v>1203501</v>
      </c>
      <c r="E120" s="263" t="s">
        <v>1230</v>
      </c>
      <c r="F120" s="215">
        <v>128</v>
      </c>
      <c r="G120" s="215">
        <v>128</v>
      </c>
      <c r="H120" s="197">
        <f t="shared" si="0"/>
        <v>0</v>
      </c>
      <c r="J120" s="291"/>
      <c r="K120" s="109"/>
      <c r="L120" s="198">
        <f t="shared" si="1"/>
        <v>0</v>
      </c>
      <c r="M120" s="170">
        <f t="shared" si="7"/>
        <v>0</v>
      </c>
    </row>
    <row r="121" spans="1:13" ht="21" customHeight="1">
      <c r="B121" s="38">
        <f t="shared" si="6"/>
        <v>114</v>
      </c>
      <c r="C121" s="143">
        <v>201987000046</v>
      </c>
      <c r="D121" s="289">
        <v>1463901</v>
      </c>
      <c r="E121" s="332" t="s">
        <v>1231</v>
      </c>
      <c r="F121" s="215">
        <v>2</v>
      </c>
      <c r="G121" s="215">
        <v>2</v>
      </c>
      <c r="H121" s="197">
        <f t="shared" si="0"/>
        <v>0</v>
      </c>
      <c r="I121" s="217"/>
      <c r="J121" s="291"/>
      <c r="K121" s="109"/>
      <c r="L121" s="198">
        <f t="shared" si="1"/>
        <v>0</v>
      </c>
      <c r="M121" s="170">
        <f t="shared" si="7"/>
        <v>0</v>
      </c>
    </row>
    <row r="122" spans="1:13" ht="21" customHeight="1">
      <c r="B122" s="38">
        <f t="shared" si="6"/>
        <v>115</v>
      </c>
      <c r="C122" s="143">
        <v>201987000047</v>
      </c>
      <c r="D122" s="289">
        <v>1452101</v>
      </c>
      <c r="E122" s="263" t="s">
        <v>1232</v>
      </c>
      <c r="F122" s="215">
        <v>316</v>
      </c>
      <c r="G122" s="215">
        <v>317</v>
      </c>
      <c r="H122" s="197">
        <f t="shared" si="0"/>
        <v>1</v>
      </c>
      <c r="J122" s="291"/>
      <c r="K122" s="109"/>
      <c r="L122" s="198">
        <f t="shared" si="1"/>
        <v>0</v>
      </c>
      <c r="M122" s="170">
        <f t="shared" si="7"/>
        <v>0</v>
      </c>
    </row>
    <row r="123" spans="1:13" ht="21" customHeight="1">
      <c r="B123" s="38">
        <f t="shared" si="6"/>
        <v>116</v>
      </c>
      <c r="C123" s="143">
        <v>201987000048</v>
      </c>
      <c r="D123" s="289">
        <v>3405301</v>
      </c>
      <c r="E123" s="263" t="s">
        <v>1233</v>
      </c>
      <c r="F123" s="215">
        <v>38</v>
      </c>
      <c r="G123" s="215">
        <v>38</v>
      </c>
      <c r="H123" s="197">
        <f t="shared" si="0"/>
        <v>0</v>
      </c>
      <c r="J123" s="291"/>
      <c r="K123" s="109"/>
      <c r="L123" s="198">
        <f t="shared" si="1"/>
        <v>0</v>
      </c>
      <c r="M123" s="170">
        <f t="shared" si="7"/>
        <v>0</v>
      </c>
    </row>
    <row r="124" spans="1:13" ht="21" customHeight="1">
      <c r="B124" s="38">
        <f t="shared" si="6"/>
        <v>117</v>
      </c>
      <c r="C124" s="143">
        <v>201987000049</v>
      </c>
      <c r="D124" s="289">
        <v>3405201</v>
      </c>
      <c r="E124" s="263" t="s">
        <v>1234</v>
      </c>
      <c r="F124" s="215">
        <v>35</v>
      </c>
      <c r="G124" s="215">
        <v>35</v>
      </c>
      <c r="H124" s="197">
        <f t="shared" si="0"/>
        <v>0</v>
      </c>
      <c r="J124" s="291"/>
      <c r="K124" s="109"/>
      <c r="L124" s="198">
        <f t="shared" si="1"/>
        <v>0</v>
      </c>
      <c r="M124" s="170">
        <f t="shared" si="7"/>
        <v>0</v>
      </c>
    </row>
    <row r="125" spans="1:13" ht="21" customHeight="1">
      <c r="B125" s="38">
        <f t="shared" si="6"/>
        <v>118</v>
      </c>
      <c r="C125" s="143">
        <v>201987000053</v>
      </c>
      <c r="D125" s="289" t="s">
        <v>1153</v>
      </c>
      <c r="E125" s="263" t="s">
        <v>1235</v>
      </c>
      <c r="F125" s="215">
        <v>1</v>
      </c>
      <c r="G125" s="215">
        <v>1</v>
      </c>
      <c r="H125" s="197">
        <f t="shared" si="0"/>
        <v>0</v>
      </c>
      <c r="J125" s="291"/>
      <c r="K125" s="109"/>
      <c r="L125" s="198">
        <f t="shared" si="1"/>
        <v>0</v>
      </c>
      <c r="M125" s="170">
        <f t="shared" si="7"/>
        <v>0</v>
      </c>
    </row>
    <row r="126" spans="1:13" ht="21" customHeight="1">
      <c r="B126" s="38">
        <f t="shared" si="6"/>
        <v>119</v>
      </c>
      <c r="C126" s="143">
        <v>201987000094</v>
      </c>
      <c r="D126" s="289">
        <v>1372601</v>
      </c>
      <c r="E126" s="263" t="s">
        <v>1236</v>
      </c>
      <c r="F126" s="215">
        <v>252</v>
      </c>
      <c r="G126" s="215">
        <v>252</v>
      </c>
      <c r="H126" s="197">
        <f t="shared" ref="H126:H189" si="8">G126-F126</f>
        <v>0</v>
      </c>
      <c r="J126" s="291"/>
      <c r="K126" s="109"/>
      <c r="L126" s="198">
        <f t="shared" ref="L126:L188" si="9">(J126+G126)*K126</f>
        <v>0</v>
      </c>
      <c r="M126" s="170">
        <f t="shared" si="7"/>
        <v>0</v>
      </c>
    </row>
    <row r="127" spans="1:13" ht="21" customHeight="1">
      <c r="B127" s="38">
        <f t="shared" si="6"/>
        <v>120</v>
      </c>
      <c r="C127" s="143">
        <v>201987000108</v>
      </c>
      <c r="D127" s="289">
        <v>1912901</v>
      </c>
      <c r="E127" s="263" t="s">
        <v>1237</v>
      </c>
      <c r="F127" s="215">
        <v>293</v>
      </c>
      <c r="G127" s="215">
        <v>293</v>
      </c>
      <c r="H127" s="197">
        <f t="shared" si="8"/>
        <v>0</v>
      </c>
      <c r="J127" s="291"/>
      <c r="K127" s="109"/>
      <c r="L127" s="198">
        <f t="shared" si="9"/>
        <v>0</v>
      </c>
      <c r="M127" s="170">
        <f t="shared" si="7"/>
        <v>0</v>
      </c>
    </row>
    <row r="128" spans="1:13" ht="21" customHeight="1">
      <c r="B128" s="38">
        <f t="shared" si="6"/>
        <v>121</v>
      </c>
      <c r="C128" s="143">
        <v>201987000109</v>
      </c>
      <c r="D128" s="289">
        <v>3327101</v>
      </c>
      <c r="E128" s="263" t="s">
        <v>1238</v>
      </c>
      <c r="F128" s="215">
        <v>36</v>
      </c>
      <c r="G128" s="215">
        <v>36</v>
      </c>
      <c r="H128" s="197">
        <f t="shared" si="8"/>
        <v>0</v>
      </c>
      <c r="J128" s="291"/>
      <c r="K128" s="109"/>
      <c r="L128" s="198">
        <f t="shared" si="9"/>
        <v>0</v>
      </c>
      <c r="M128" s="170">
        <f t="shared" si="7"/>
        <v>0</v>
      </c>
    </row>
    <row r="129" spans="2:13" ht="21" customHeight="1">
      <c r="B129" s="38">
        <f t="shared" si="6"/>
        <v>122</v>
      </c>
      <c r="C129" s="143">
        <v>201987000110</v>
      </c>
      <c r="D129" s="289">
        <v>3327201</v>
      </c>
      <c r="E129" s="263" t="s">
        <v>1239</v>
      </c>
      <c r="F129" s="215">
        <v>36</v>
      </c>
      <c r="G129" s="215">
        <v>36</v>
      </c>
      <c r="H129" s="197">
        <f t="shared" si="8"/>
        <v>0</v>
      </c>
      <c r="J129" s="291"/>
      <c r="K129" s="109"/>
      <c r="L129" s="198">
        <f t="shared" si="9"/>
        <v>0</v>
      </c>
      <c r="M129" s="170">
        <f t="shared" si="7"/>
        <v>0</v>
      </c>
    </row>
    <row r="130" spans="2:13" ht="21" customHeight="1">
      <c r="B130" s="38">
        <f t="shared" si="6"/>
        <v>123</v>
      </c>
      <c r="C130" s="143">
        <v>201987000135</v>
      </c>
      <c r="D130" s="289">
        <v>1465301</v>
      </c>
      <c r="E130" s="263" t="s">
        <v>1240</v>
      </c>
      <c r="F130" s="215">
        <v>845</v>
      </c>
      <c r="G130" s="215">
        <v>845</v>
      </c>
      <c r="H130" s="197">
        <f t="shared" si="8"/>
        <v>0</v>
      </c>
      <c r="J130" s="291"/>
      <c r="K130" s="109"/>
      <c r="L130" s="198">
        <f t="shared" si="9"/>
        <v>0</v>
      </c>
      <c r="M130" s="170">
        <f t="shared" si="7"/>
        <v>0</v>
      </c>
    </row>
    <row r="131" spans="2:13" ht="21" customHeight="1">
      <c r="B131" s="38">
        <f t="shared" si="6"/>
        <v>124</v>
      </c>
      <c r="C131" s="143">
        <v>201987000136</v>
      </c>
      <c r="D131" s="289">
        <v>3393201</v>
      </c>
      <c r="E131" s="263" t="s">
        <v>755</v>
      </c>
      <c r="F131" s="215">
        <v>2083</v>
      </c>
      <c r="G131" s="215">
        <v>2084</v>
      </c>
      <c r="H131" s="197">
        <f t="shared" si="8"/>
        <v>1</v>
      </c>
      <c r="J131" s="291"/>
      <c r="K131" s="109"/>
      <c r="L131" s="198">
        <f t="shared" si="9"/>
        <v>0</v>
      </c>
      <c r="M131" s="170">
        <f t="shared" si="7"/>
        <v>0</v>
      </c>
    </row>
    <row r="132" spans="2:13" ht="21" customHeight="1">
      <c r="B132" s="38">
        <f t="shared" si="6"/>
        <v>125</v>
      </c>
      <c r="C132" s="143">
        <v>201987000144</v>
      </c>
      <c r="D132" s="289">
        <v>3941403</v>
      </c>
      <c r="E132" s="263" t="s">
        <v>1241</v>
      </c>
      <c r="F132" s="215">
        <v>281</v>
      </c>
      <c r="G132" s="215">
        <v>281</v>
      </c>
      <c r="H132" s="197">
        <f t="shared" si="8"/>
        <v>0</v>
      </c>
      <c r="J132" s="291"/>
      <c r="K132" s="109"/>
      <c r="L132" s="198">
        <f t="shared" si="9"/>
        <v>0</v>
      </c>
      <c r="M132" s="170">
        <f t="shared" si="7"/>
        <v>0</v>
      </c>
    </row>
    <row r="133" spans="2:13" ht="21" customHeight="1">
      <c r="B133" s="38">
        <f t="shared" si="6"/>
        <v>126</v>
      </c>
      <c r="C133" s="143">
        <v>201987000159</v>
      </c>
      <c r="D133" s="289" t="s">
        <v>1153</v>
      </c>
      <c r="E133" s="263" t="s">
        <v>447</v>
      </c>
      <c r="F133" s="215">
        <v>1639</v>
      </c>
      <c r="G133" s="215">
        <v>1639</v>
      </c>
      <c r="H133" s="197">
        <f t="shared" si="8"/>
        <v>0</v>
      </c>
      <c r="J133" s="291"/>
      <c r="K133" s="109"/>
      <c r="L133" s="198">
        <f t="shared" si="9"/>
        <v>0</v>
      </c>
      <c r="M133" s="170">
        <f t="shared" si="7"/>
        <v>0</v>
      </c>
    </row>
    <row r="134" spans="2:13" ht="21" customHeight="1">
      <c r="B134" s="38">
        <f t="shared" si="6"/>
        <v>127</v>
      </c>
      <c r="C134" s="143">
        <v>201987000163</v>
      </c>
      <c r="D134" s="289" t="s">
        <v>1153</v>
      </c>
      <c r="E134" s="263" t="s">
        <v>1242</v>
      </c>
      <c r="F134" s="215">
        <v>3602</v>
      </c>
      <c r="G134" s="215">
        <v>3602</v>
      </c>
      <c r="H134" s="197">
        <f t="shared" si="8"/>
        <v>0</v>
      </c>
      <c r="J134" s="291"/>
      <c r="K134" s="109"/>
      <c r="L134" s="198">
        <f t="shared" si="9"/>
        <v>0</v>
      </c>
      <c r="M134" s="170">
        <f t="shared" si="7"/>
        <v>0</v>
      </c>
    </row>
    <row r="135" spans="2:13" ht="21" customHeight="1">
      <c r="B135" s="38">
        <f t="shared" si="6"/>
        <v>128</v>
      </c>
      <c r="C135" s="143">
        <v>201987000164</v>
      </c>
      <c r="D135" s="289">
        <v>3387201</v>
      </c>
      <c r="E135" s="263" t="s">
        <v>1243</v>
      </c>
      <c r="F135" s="215">
        <v>402</v>
      </c>
      <c r="G135" s="215">
        <v>402</v>
      </c>
      <c r="H135" s="197">
        <f t="shared" si="8"/>
        <v>0</v>
      </c>
      <c r="J135" s="291"/>
      <c r="K135" s="109"/>
      <c r="L135" s="198">
        <f t="shared" si="9"/>
        <v>0</v>
      </c>
      <c r="M135" s="170">
        <f t="shared" si="7"/>
        <v>0</v>
      </c>
    </row>
    <row r="136" spans="2:13" ht="21" customHeight="1">
      <c r="B136" s="38">
        <f t="shared" si="6"/>
        <v>129</v>
      </c>
      <c r="C136" s="143">
        <v>201987000165</v>
      </c>
      <c r="D136" s="289">
        <v>3387301</v>
      </c>
      <c r="E136" s="263" t="s">
        <v>318</v>
      </c>
      <c r="F136" s="215">
        <v>471</v>
      </c>
      <c r="G136" s="215">
        <v>471</v>
      </c>
      <c r="H136" s="197">
        <f t="shared" si="8"/>
        <v>0</v>
      </c>
      <c r="J136" s="291"/>
      <c r="K136" s="109"/>
      <c r="L136" s="198">
        <f t="shared" si="9"/>
        <v>0</v>
      </c>
      <c r="M136" s="170">
        <f t="shared" si="7"/>
        <v>0</v>
      </c>
    </row>
    <row r="137" spans="2:13" ht="21" customHeight="1">
      <c r="B137" s="38">
        <f t="shared" si="6"/>
        <v>130</v>
      </c>
      <c r="C137" s="143">
        <v>201987000175</v>
      </c>
      <c r="D137" s="289">
        <v>3255101</v>
      </c>
      <c r="E137" s="263" t="s">
        <v>1244</v>
      </c>
      <c r="F137" s="215">
        <v>7</v>
      </c>
      <c r="G137" s="215">
        <v>7</v>
      </c>
      <c r="H137" s="197">
        <f t="shared" si="8"/>
        <v>0</v>
      </c>
      <c r="J137" s="291"/>
      <c r="K137" s="109"/>
      <c r="L137" s="198">
        <f t="shared" si="9"/>
        <v>0</v>
      </c>
      <c r="M137" s="170">
        <f t="shared" si="7"/>
        <v>0</v>
      </c>
    </row>
    <row r="138" spans="2:13" ht="21" customHeight="1">
      <c r="B138" s="38">
        <f t="shared" ref="B138:B201" si="10">B137+1</f>
        <v>131</v>
      </c>
      <c r="C138" s="143">
        <v>201987000178</v>
      </c>
      <c r="D138" s="289">
        <v>1916802</v>
      </c>
      <c r="E138" s="263" t="s">
        <v>1245</v>
      </c>
      <c r="F138" s="215">
        <v>9</v>
      </c>
      <c r="G138" s="215">
        <v>9</v>
      </c>
      <c r="H138" s="197">
        <f t="shared" si="8"/>
        <v>0</v>
      </c>
      <c r="J138" s="291"/>
      <c r="K138" s="109"/>
      <c r="L138" s="198">
        <f t="shared" si="9"/>
        <v>0</v>
      </c>
      <c r="M138" s="170">
        <f t="shared" si="7"/>
        <v>0</v>
      </c>
    </row>
    <row r="139" spans="2:13" ht="21" customHeight="1">
      <c r="B139" s="38">
        <f t="shared" si="10"/>
        <v>132</v>
      </c>
      <c r="C139" s="143">
        <v>201987000179</v>
      </c>
      <c r="D139" s="289">
        <v>1916902</v>
      </c>
      <c r="E139" s="263" t="s">
        <v>1246</v>
      </c>
      <c r="F139" s="215">
        <v>3</v>
      </c>
      <c r="G139" s="215">
        <v>3</v>
      </c>
      <c r="H139" s="197">
        <f t="shared" si="8"/>
        <v>0</v>
      </c>
      <c r="J139" s="291"/>
      <c r="K139" s="109"/>
      <c r="L139" s="198">
        <f t="shared" si="9"/>
        <v>0</v>
      </c>
      <c r="M139" s="170">
        <f t="shared" si="7"/>
        <v>0</v>
      </c>
    </row>
    <row r="140" spans="2:13" ht="21" customHeight="1">
      <c r="B140" s="38">
        <f t="shared" si="10"/>
        <v>133</v>
      </c>
      <c r="C140" s="143">
        <v>201987000180</v>
      </c>
      <c r="D140" s="289">
        <v>1916602</v>
      </c>
      <c r="E140" s="263" t="s">
        <v>1247</v>
      </c>
      <c r="F140" s="215">
        <v>87</v>
      </c>
      <c r="G140" s="215">
        <v>87</v>
      </c>
      <c r="H140" s="197">
        <f t="shared" si="8"/>
        <v>0</v>
      </c>
      <c r="J140" s="291"/>
      <c r="K140" s="109"/>
      <c r="L140" s="198">
        <f t="shared" si="9"/>
        <v>0</v>
      </c>
      <c r="M140" s="170">
        <f t="shared" si="7"/>
        <v>0</v>
      </c>
    </row>
    <row r="141" spans="2:13" ht="21" customHeight="1">
      <c r="B141" s="38">
        <f t="shared" si="10"/>
        <v>134</v>
      </c>
      <c r="C141" s="143">
        <v>201987000182</v>
      </c>
      <c r="D141" s="289">
        <v>1915003</v>
      </c>
      <c r="E141" s="263" t="s">
        <v>1248</v>
      </c>
      <c r="F141" s="215">
        <v>12</v>
      </c>
      <c r="G141" s="215">
        <v>12</v>
      </c>
      <c r="H141" s="197">
        <f t="shared" si="8"/>
        <v>0</v>
      </c>
      <c r="J141" s="291"/>
      <c r="K141" s="109"/>
      <c r="L141" s="198">
        <f t="shared" si="9"/>
        <v>0</v>
      </c>
      <c r="M141" s="170">
        <f t="shared" si="7"/>
        <v>0</v>
      </c>
    </row>
    <row r="142" spans="2:13" ht="21" customHeight="1">
      <c r="B142" s="38">
        <f t="shared" si="10"/>
        <v>135</v>
      </c>
      <c r="C142" s="143">
        <v>201987000183</v>
      </c>
      <c r="D142" s="289" t="s">
        <v>1153</v>
      </c>
      <c r="E142" s="263" t="s">
        <v>1249</v>
      </c>
      <c r="F142" s="215">
        <v>1404</v>
      </c>
      <c r="G142" s="215">
        <v>1404</v>
      </c>
      <c r="H142" s="197">
        <f t="shared" si="8"/>
        <v>0</v>
      </c>
      <c r="J142" s="291"/>
      <c r="K142" s="109"/>
      <c r="L142" s="198">
        <f t="shared" si="9"/>
        <v>0</v>
      </c>
      <c r="M142" s="170">
        <f t="shared" si="7"/>
        <v>0</v>
      </c>
    </row>
    <row r="143" spans="2:13" ht="21" customHeight="1">
      <c r="B143" s="38">
        <f t="shared" si="10"/>
        <v>136</v>
      </c>
      <c r="C143" s="143">
        <v>201987000184</v>
      </c>
      <c r="D143" s="289">
        <v>1917102</v>
      </c>
      <c r="E143" s="263" t="s">
        <v>1250</v>
      </c>
      <c r="F143" s="215">
        <v>63</v>
      </c>
      <c r="G143" s="215">
        <v>63</v>
      </c>
      <c r="H143" s="197">
        <f t="shared" si="8"/>
        <v>0</v>
      </c>
      <c r="J143" s="291"/>
      <c r="K143" s="109"/>
      <c r="L143" s="198">
        <f t="shared" si="9"/>
        <v>0</v>
      </c>
      <c r="M143" s="170">
        <f t="shared" si="7"/>
        <v>0</v>
      </c>
    </row>
    <row r="144" spans="2:13" ht="21" customHeight="1">
      <c r="B144" s="38">
        <f t="shared" si="10"/>
        <v>137</v>
      </c>
      <c r="C144" s="143">
        <v>201987000186</v>
      </c>
      <c r="D144" s="289">
        <v>1372703</v>
      </c>
      <c r="E144" s="263" t="s">
        <v>1251</v>
      </c>
      <c r="F144" s="215">
        <v>291</v>
      </c>
      <c r="G144" s="215">
        <v>291</v>
      </c>
      <c r="H144" s="197">
        <f t="shared" si="8"/>
        <v>0</v>
      </c>
      <c r="J144" s="291"/>
      <c r="K144" s="109"/>
      <c r="L144" s="198">
        <f t="shared" si="9"/>
        <v>0</v>
      </c>
      <c r="M144" s="170">
        <f t="shared" si="7"/>
        <v>0</v>
      </c>
    </row>
    <row r="145" spans="2:13" ht="21" customHeight="1">
      <c r="B145" s="38">
        <f t="shared" si="10"/>
        <v>138</v>
      </c>
      <c r="C145" s="143">
        <v>201987000200</v>
      </c>
      <c r="D145" s="289">
        <v>1801116</v>
      </c>
      <c r="E145" s="263" t="s">
        <v>1252</v>
      </c>
      <c r="F145" s="215">
        <v>481</v>
      </c>
      <c r="G145" s="215">
        <v>481</v>
      </c>
      <c r="H145" s="197">
        <f t="shared" si="8"/>
        <v>0</v>
      </c>
      <c r="J145" s="291"/>
      <c r="K145" s="109"/>
      <c r="L145" s="198">
        <f t="shared" si="9"/>
        <v>0</v>
      </c>
      <c r="M145" s="170">
        <f t="shared" si="7"/>
        <v>0</v>
      </c>
    </row>
    <row r="146" spans="2:13" ht="21" customHeight="1">
      <c r="B146" s="38">
        <f t="shared" si="10"/>
        <v>139</v>
      </c>
      <c r="C146" s="143">
        <v>201987000201</v>
      </c>
      <c r="D146" s="289">
        <v>1801103</v>
      </c>
      <c r="E146" s="263" t="s">
        <v>1253</v>
      </c>
      <c r="F146" s="215">
        <v>149</v>
      </c>
      <c r="G146" s="215">
        <v>149</v>
      </c>
      <c r="H146" s="197">
        <f t="shared" si="8"/>
        <v>0</v>
      </c>
      <c r="J146" s="291"/>
      <c r="K146" s="109"/>
      <c r="L146" s="198">
        <f t="shared" si="9"/>
        <v>0</v>
      </c>
      <c r="M146" s="170">
        <f t="shared" si="7"/>
        <v>0</v>
      </c>
    </row>
    <row r="147" spans="2:13" ht="21" customHeight="1">
      <c r="B147" s="38">
        <f t="shared" si="10"/>
        <v>140</v>
      </c>
      <c r="C147" s="143">
        <v>201987000202</v>
      </c>
      <c r="D147" s="289">
        <v>1801031</v>
      </c>
      <c r="E147" s="263" t="s">
        <v>1254</v>
      </c>
      <c r="F147" s="215">
        <v>103</v>
      </c>
      <c r="G147" s="215">
        <v>103</v>
      </c>
      <c r="H147" s="197">
        <f t="shared" si="8"/>
        <v>0</v>
      </c>
      <c r="J147" s="291"/>
      <c r="K147" s="109"/>
      <c r="L147" s="198">
        <f t="shared" si="9"/>
        <v>0</v>
      </c>
      <c r="M147" s="170">
        <f t="shared" ref="M147:M210" si="11">H147*K147</f>
        <v>0</v>
      </c>
    </row>
    <row r="148" spans="2:13" ht="21" customHeight="1">
      <c r="B148" s="38">
        <f t="shared" si="10"/>
        <v>141</v>
      </c>
      <c r="C148" s="143">
        <v>201987000206</v>
      </c>
      <c r="D148" s="289">
        <v>1270003</v>
      </c>
      <c r="E148" s="263" t="s">
        <v>780</v>
      </c>
      <c r="F148" s="215">
        <v>11084</v>
      </c>
      <c r="G148" s="215">
        <v>11082</v>
      </c>
      <c r="H148" s="197">
        <f t="shared" si="8"/>
        <v>-2</v>
      </c>
      <c r="J148" s="291"/>
      <c r="K148" s="109"/>
      <c r="L148" s="198">
        <f t="shared" si="9"/>
        <v>0</v>
      </c>
      <c r="M148" s="170">
        <f t="shared" si="11"/>
        <v>0</v>
      </c>
    </row>
    <row r="149" spans="2:13" ht="21" customHeight="1">
      <c r="B149" s="38">
        <f t="shared" si="10"/>
        <v>142</v>
      </c>
      <c r="C149" s="143">
        <v>201987000207</v>
      </c>
      <c r="D149" s="289">
        <v>3380201</v>
      </c>
      <c r="E149" s="263" t="s">
        <v>783</v>
      </c>
      <c r="F149" s="215">
        <v>1249</v>
      </c>
      <c r="G149" s="215">
        <v>1249</v>
      </c>
      <c r="H149" s="197">
        <f t="shared" si="8"/>
        <v>0</v>
      </c>
      <c r="J149" s="291"/>
      <c r="K149" s="109"/>
      <c r="L149" s="198">
        <f t="shared" si="9"/>
        <v>0</v>
      </c>
      <c r="M149" s="170">
        <f t="shared" si="11"/>
        <v>0</v>
      </c>
    </row>
    <row r="150" spans="2:13" ht="21" customHeight="1">
      <c r="B150" s="38">
        <f t="shared" si="10"/>
        <v>143</v>
      </c>
      <c r="C150" s="143">
        <v>201987000208</v>
      </c>
      <c r="D150" s="289">
        <v>3380001</v>
      </c>
      <c r="E150" s="263" t="s">
        <v>919</v>
      </c>
      <c r="F150" s="215">
        <v>373</v>
      </c>
      <c r="G150" s="215">
        <v>378</v>
      </c>
      <c r="H150" s="197">
        <f t="shared" si="8"/>
        <v>5</v>
      </c>
      <c r="J150" s="291"/>
      <c r="K150" s="109"/>
      <c r="L150" s="198">
        <f t="shared" si="9"/>
        <v>0</v>
      </c>
      <c r="M150" s="170">
        <f t="shared" si="11"/>
        <v>0</v>
      </c>
    </row>
    <row r="151" spans="2:13" ht="21" customHeight="1">
      <c r="B151" s="38">
        <f t="shared" si="10"/>
        <v>144</v>
      </c>
      <c r="C151" s="143">
        <v>201987000219</v>
      </c>
      <c r="D151" s="289">
        <v>1270105</v>
      </c>
      <c r="E151" s="263" t="s">
        <v>1255</v>
      </c>
      <c r="F151" s="215">
        <v>1186</v>
      </c>
      <c r="G151" s="215">
        <v>1186</v>
      </c>
      <c r="H151" s="197">
        <f t="shared" si="8"/>
        <v>0</v>
      </c>
      <c r="J151" s="291"/>
      <c r="K151" s="109"/>
      <c r="L151" s="198">
        <f t="shared" si="9"/>
        <v>0</v>
      </c>
      <c r="M151" s="170">
        <f t="shared" si="11"/>
        <v>0</v>
      </c>
    </row>
    <row r="152" spans="2:13" ht="21" customHeight="1">
      <c r="B152" s="38">
        <f t="shared" si="10"/>
        <v>145</v>
      </c>
      <c r="C152" s="143">
        <v>201987000225</v>
      </c>
      <c r="D152" s="289" t="s">
        <v>1153</v>
      </c>
      <c r="E152" s="263" t="s">
        <v>1256</v>
      </c>
      <c r="F152" s="215">
        <v>28</v>
      </c>
      <c r="G152" s="215">
        <v>28</v>
      </c>
      <c r="H152" s="197">
        <f t="shared" si="8"/>
        <v>0</v>
      </c>
      <c r="J152" s="291"/>
      <c r="K152" s="109"/>
      <c r="L152" s="198">
        <f t="shared" si="9"/>
        <v>0</v>
      </c>
      <c r="M152" s="170">
        <f t="shared" si="11"/>
        <v>0</v>
      </c>
    </row>
    <row r="153" spans="2:13" ht="21" customHeight="1">
      <c r="B153" s="38">
        <f t="shared" si="10"/>
        <v>146</v>
      </c>
      <c r="C153" s="143">
        <v>201987000267</v>
      </c>
      <c r="D153" s="289">
        <v>3410801</v>
      </c>
      <c r="E153" s="263" t="s">
        <v>620</v>
      </c>
      <c r="F153" s="215">
        <v>9090</v>
      </c>
      <c r="G153" s="215">
        <v>9090</v>
      </c>
      <c r="H153" s="197">
        <f t="shared" si="8"/>
        <v>0</v>
      </c>
      <c r="J153" s="291"/>
      <c r="K153" s="109"/>
      <c r="L153" s="198">
        <f t="shared" si="9"/>
        <v>0</v>
      </c>
      <c r="M153" s="170">
        <f t="shared" si="11"/>
        <v>0</v>
      </c>
    </row>
    <row r="154" spans="2:13" ht="21" customHeight="1">
      <c r="B154" s="38">
        <f t="shared" si="10"/>
        <v>147</v>
      </c>
      <c r="C154" s="143">
        <v>201987000291</v>
      </c>
      <c r="D154" s="289">
        <v>1217801</v>
      </c>
      <c r="E154" s="263" t="s">
        <v>859</v>
      </c>
      <c r="F154" s="215">
        <v>9</v>
      </c>
      <c r="G154" s="215">
        <v>9</v>
      </c>
      <c r="H154" s="197">
        <f t="shared" si="8"/>
        <v>0</v>
      </c>
      <c r="J154" s="291"/>
      <c r="K154" s="109"/>
      <c r="L154" s="198">
        <f t="shared" si="9"/>
        <v>0</v>
      </c>
      <c r="M154" s="170">
        <f t="shared" si="11"/>
        <v>0</v>
      </c>
    </row>
    <row r="155" spans="2:13" ht="21" customHeight="1">
      <c r="B155" s="38">
        <f t="shared" si="10"/>
        <v>148</v>
      </c>
      <c r="C155" s="143">
        <v>201987000292</v>
      </c>
      <c r="D155" s="289">
        <v>3408401</v>
      </c>
      <c r="E155" s="263" t="s">
        <v>735</v>
      </c>
      <c r="F155" s="215">
        <v>80</v>
      </c>
      <c r="G155" s="215">
        <v>79</v>
      </c>
      <c r="H155" s="197">
        <f t="shared" si="8"/>
        <v>-1</v>
      </c>
      <c r="J155" s="291"/>
      <c r="K155" s="109"/>
      <c r="L155" s="198">
        <f t="shared" si="9"/>
        <v>0</v>
      </c>
      <c r="M155" s="170">
        <f t="shared" si="11"/>
        <v>0</v>
      </c>
    </row>
    <row r="156" spans="2:13" ht="21" customHeight="1">
      <c r="B156" s="38">
        <f t="shared" si="10"/>
        <v>149</v>
      </c>
      <c r="C156" s="143">
        <v>201987000294</v>
      </c>
      <c r="D156" s="289" t="s">
        <v>1153</v>
      </c>
      <c r="E156" s="263" t="s">
        <v>1257</v>
      </c>
      <c r="F156" s="215">
        <v>5525</v>
      </c>
      <c r="G156" s="215">
        <v>5525</v>
      </c>
      <c r="H156" s="197">
        <f t="shared" si="8"/>
        <v>0</v>
      </c>
      <c r="J156" s="291"/>
      <c r="K156" s="109"/>
      <c r="L156" s="198">
        <f t="shared" si="9"/>
        <v>0</v>
      </c>
      <c r="M156" s="170">
        <f t="shared" si="11"/>
        <v>0</v>
      </c>
    </row>
    <row r="157" spans="2:13" ht="21" customHeight="1">
      <c r="B157" s="38">
        <f t="shared" si="10"/>
        <v>150</v>
      </c>
      <c r="C157" s="143">
        <v>201987000295</v>
      </c>
      <c r="D157" s="289" t="s">
        <v>1153</v>
      </c>
      <c r="E157" s="263" t="s">
        <v>1258</v>
      </c>
      <c r="F157" s="215">
        <v>5520</v>
      </c>
      <c r="G157" s="215">
        <v>5520</v>
      </c>
      <c r="H157" s="197">
        <f t="shared" si="8"/>
        <v>0</v>
      </c>
      <c r="J157" s="291"/>
      <c r="K157" s="109"/>
      <c r="L157" s="198">
        <f t="shared" si="9"/>
        <v>0</v>
      </c>
      <c r="M157" s="170">
        <f t="shared" si="11"/>
        <v>0</v>
      </c>
    </row>
    <row r="158" spans="2:13" ht="21" customHeight="1">
      <c r="B158" s="38">
        <f t="shared" si="10"/>
        <v>151</v>
      </c>
      <c r="C158" s="143">
        <v>201987000296</v>
      </c>
      <c r="D158" s="289" t="s">
        <v>1153</v>
      </c>
      <c r="E158" s="263" t="s">
        <v>1259</v>
      </c>
      <c r="F158" s="215">
        <v>10000</v>
      </c>
      <c r="G158" s="215">
        <v>10000</v>
      </c>
      <c r="H158" s="197">
        <f t="shared" si="8"/>
        <v>0</v>
      </c>
      <c r="J158" s="291"/>
      <c r="K158" s="109"/>
      <c r="L158" s="198">
        <f t="shared" si="9"/>
        <v>0</v>
      </c>
      <c r="M158" s="170">
        <f t="shared" si="11"/>
        <v>0</v>
      </c>
    </row>
    <row r="159" spans="2:13" ht="21" customHeight="1">
      <c r="B159" s="38">
        <f t="shared" si="10"/>
        <v>152</v>
      </c>
      <c r="C159" s="143">
        <v>201988000017</v>
      </c>
      <c r="D159" s="289">
        <v>3019001</v>
      </c>
      <c r="E159" s="263" t="s">
        <v>1260</v>
      </c>
      <c r="F159" s="215">
        <v>34</v>
      </c>
      <c r="G159" s="215">
        <v>34</v>
      </c>
      <c r="H159" s="197">
        <f t="shared" si="8"/>
        <v>0</v>
      </c>
      <c r="J159" s="291"/>
      <c r="K159" s="109"/>
      <c r="L159" s="198">
        <f t="shared" si="9"/>
        <v>0</v>
      </c>
      <c r="M159" s="170">
        <f t="shared" si="11"/>
        <v>0</v>
      </c>
    </row>
    <row r="160" spans="2:13" ht="21" customHeight="1">
      <c r="B160" s="38">
        <f t="shared" si="10"/>
        <v>153</v>
      </c>
      <c r="C160" s="143">
        <v>201988000018</v>
      </c>
      <c r="D160" s="289">
        <v>3019001</v>
      </c>
      <c r="E160" s="263" t="s">
        <v>1261</v>
      </c>
      <c r="F160" s="215">
        <v>7</v>
      </c>
      <c r="G160" s="215">
        <v>7</v>
      </c>
      <c r="H160" s="197">
        <f t="shared" si="8"/>
        <v>0</v>
      </c>
      <c r="J160" s="291"/>
      <c r="K160" s="109"/>
      <c r="L160" s="198">
        <f t="shared" si="9"/>
        <v>0</v>
      </c>
      <c r="M160" s="170">
        <f t="shared" si="11"/>
        <v>0</v>
      </c>
    </row>
    <row r="161" spans="2:13" ht="21" customHeight="1">
      <c r="B161" s="38">
        <f t="shared" si="10"/>
        <v>154</v>
      </c>
      <c r="C161" s="143">
        <v>201988000019</v>
      </c>
      <c r="D161" s="289">
        <v>3019001</v>
      </c>
      <c r="E161" s="196" t="s">
        <v>1262</v>
      </c>
      <c r="F161" s="215">
        <v>12</v>
      </c>
      <c r="G161" s="215">
        <v>12</v>
      </c>
      <c r="H161" s="197">
        <f t="shared" si="8"/>
        <v>0</v>
      </c>
      <c r="J161" s="291"/>
      <c r="K161" s="109"/>
      <c r="L161" s="198">
        <f t="shared" si="9"/>
        <v>0</v>
      </c>
      <c r="M161" s="170">
        <f t="shared" si="11"/>
        <v>0</v>
      </c>
    </row>
    <row r="162" spans="2:13" ht="21" customHeight="1">
      <c r="B162" s="38">
        <f t="shared" si="10"/>
        <v>155</v>
      </c>
      <c r="C162" s="143">
        <v>201988000020</v>
      </c>
      <c r="D162" s="289">
        <v>3019001</v>
      </c>
      <c r="E162" s="196" t="s">
        <v>1263</v>
      </c>
      <c r="F162" s="215">
        <v>6</v>
      </c>
      <c r="G162" s="215">
        <v>6</v>
      </c>
      <c r="H162" s="197">
        <f t="shared" si="8"/>
        <v>0</v>
      </c>
      <c r="J162" s="291"/>
      <c r="K162" s="109"/>
      <c r="L162" s="198">
        <f t="shared" si="9"/>
        <v>0</v>
      </c>
      <c r="M162" s="170">
        <f t="shared" si="11"/>
        <v>0</v>
      </c>
    </row>
    <row r="163" spans="2:13" ht="21" customHeight="1">
      <c r="B163" s="38">
        <f t="shared" si="10"/>
        <v>156</v>
      </c>
      <c r="C163" s="143">
        <v>201988000021</v>
      </c>
      <c r="D163" s="289">
        <v>3019001</v>
      </c>
      <c r="E163" s="263" t="s">
        <v>1264</v>
      </c>
      <c r="F163" s="215">
        <v>29</v>
      </c>
      <c r="G163" s="215">
        <v>29</v>
      </c>
      <c r="H163" s="197">
        <f t="shared" si="8"/>
        <v>0</v>
      </c>
      <c r="J163" s="291"/>
      <c r="K163" s="109"/>
      <c r="L163" s="198">
        <f t="shared" si="9"/>
        <v>0</v>
      </c>
      <c r="M163" s="170">
        <f t="shared" si="11"/>
        <v>0</v>
      </c>
    </row>
    <row r="164" spans="2:13" ht="21" customHeight="1">
      <c r="B164" s="38">
        <f t="shared" si="10"/>
        <v>157</v>
      </c>
      <c r="C164" s="143">
        <v>201988000022</v>
      </c>
      <c r="D164" s="289">
        <v>3019001</v>
      </c>
      <c r="E164" s="263" t="s">
        <v>1265</v>
      </c>
      <c r="F164" s="215">
        <v>16</v>
      </c>
      <c r="G164" s="215">
        <v>15</v>
      </c>
      <c r="H164" s="197">
        <f t="shared" si="8"/>
        <v>-1</v>
      </c>
      <c r="J164" s="291"/>
      <c r="K164" s="109"/>
      <c r="L164" s="198">
        <f t="shared" si="9"/>
        <v>0</v>
      </c>
      <c r="M164" s="170">
        <f t="shared" si="11"/>
        <v>0</v>
      </c>
    </row>
    <row r="165" spans="2:13" ht="21" customHeight="1">
      <c r="B165" s="38">
        <f t="shared" si="10"/>
        <v>158</v>
      </c>
      <c r="C165" s="143">
        <v>201988000023</v>
      </c>
      <c r="D165" s="289">
        <v>3019002</v>
      </c>
      <c r="E165" s="263" t="s">
        <v>1266</v>
      </c>
      <c r="F165" s="215">
        <v>5</v>
      </c>
      <c r="G165" s="215">
        <v>5</v>
      </c>
      <c r="H165" s="197">
        <f t="shared" si="8"/>
        <v>0</v>
      </c>
      <c r="J165" s="291"/>
      <c r="K165" s="109"/>
      <c r="L165" s="198">
        <f t="shared" si="9"/>
        <v>0</v>
      </c>
      <c r="M165" s="170">
        <f t="shared" si="11"/>
        <v>0</v>
      </c>
    </row>
    <row r="166" spans="2:13" ht="21" customHeight="1">
      <c r="B166" s="38">
        <f t="shared" si="10"/>
        <v>159</v>
      </c>
      <c r="C166" s="143">
        <v>201988000024</v>
      </c>
      <c r="D166" s="289">
        <v>3019002</v>
      </c>
      <c r="E166" s="263" t="s">
        <v>1267</v>
      </c>
      <c r="F166" s="215">
        <v>10</v>
      </c>
      <c r="G166" s="215">
        <v>10</v>
      </c>
      <c r="H166" s="197">
        <f t="shared" si="8"/>
        <v>0</v>
      </c>
      <c r="J166" s="291"/>
      <c r="K166" s="109"/>
      <c r="L166" s="198">
        <f t="shared" si="9"/>
        <v>0</v>
      </c>
      <c r="M166" s="170">
        <f t="shared" si="11"/>
        <v>0</v>
      </c>
    </row>
    <row r="167" spans="2:13" ht="21" customHeight="1">
      <c r="B167" s="38">
        <f t="shared" si="10"/>
        <v>160</v>
      </c>
      <c r="C167" s="143">
        <v>201988000025</v>
      </c>
      <c r="D167" s="289">
        <v>3019003</v>
      </c>
      <c r="E167" s="263" t="s">
        <v>1268</v>
      </c>
      <c r="F167" s="215">
        <v>60</v>
      </c>
      <c r="G167" s="215">
        <v>60</v>
      </c>
      <c r="H167" s="197">
        <f t="shared" si="8"/>
        <v>0</v>
      </c>
      <c r="J167" s="291"/>
      <c r="K167" s="109"/>
      <c r="L167" s="198">
        <f t="shared" si="9"/>
        <v>0</v>
      </c>
      <c r="M167" s="170">
        <f t="shared" si="11"/>
        <v>0</v>
      </c>
    </row>
    <row r="168" spans="2:13" ht="21" customHeight="1">
      <c r="B168" s="38">
        <f t="shared" si="10"/>
        <v>161</v>
      </c>
      <c r="C168" s="143">
        <v>201988000026</v>
      </c>
      <c r="D168" s="289">
        <v>3019003</v>
      </c>
      <c r="E168" s="263" t="s">
        <v>1269</v>
      </c>
      <c r="F168" s="215">
        <v>87</v>
      </c>
      <c r="G168" s="215">
        <v>87</v>
      </c>
      <c r="H168" s="197">
        <f t="shared" si="8"/>
        <v>0</v>
      </c>
      <c r="J168" s="291"/>
      <c r="K168" s="109"/>
      <c r="L168" s="198">
        <f t="shared" si="9"/>
        <v>0</v>
      </c>
      <c r="M168" s="170">
        <f t="shared" si="11"/>
        <v>0</v>
      </c>
    </row>
    <row r="169" spans="2:13" ht="21" customHeight="1">
      <c r="B169" s="38">
        <f t="shared" si="10"/>
        <v>162</v>
      </c>
      <c r="C169" s="143">
        <v>201988000027</v>
      </c>
      <c r="D169" s="289">
        <v>3019003</v>
      </c>
      <c r="E169" s="263" t="s">
        <v>1270</v>
      </c>
      <c r="F169" s="215">
        <v>97</v>
      </c>
      <c r="G169" s="215">
        <v>97</v>
      </c>
      <c r="H169" s="197">
        <f t="shared" si="8"/>
        <v>0</v>
      </c>
      <c r="J169" s="291"/>
      <c r="K169" s="109"/>
      <c r="L169" s="198">
        <f t="shared" si="9"/>
        <v>0</v>
      </c>
      <c r="M169" s="170">
        <f t="shared" si="11"/>
        <v>0</v>
      </c>
    </row>
    <row r="170" spans="2:13" ht="21" customHeight="1">
      <c r="B170" s="38">
        <f t="shared" si="10"/>
        <v>163</v>
      </c>
      <c r="C170" s="143">
        <v>201988000028</v>
      </c>
      <c r="D170" s="289">
        <v>3019003</v>
      </c>
      <c r="E170" s="263" t="s">
        <v>833</v>
      </c>
      <c r="F170" s="215">
        <v>106</v>
      </c>
      <c r="G170" s="215">
        <v>107</v>
      </c>
      <c r="H170" s="197">
        <f t="shared" si="8"/>
        <v>1</v>
      </c>
      <c r="J170" s="291"/>
      <c r="K170" s="109"/>
      <c r="L170" s="198">
        <f t="shared" si="9"/>
        <v>0</v>
      </c>
      <c r="M170" s="170">
        <f t="shared" si="11"/>
        <v>0</v>
      </c>
    </row>
    <row r="171" spans="2:13" ht="21" customHeight="1">
      <c r="B171" s="38">
        <f t="shared" si="10"/>
        <v>164</v>
      </c>
      <c r="C171" s="143">
        <v>201988000031</v>
      </c>
      <c r="D171" s="289">
        <v>3019003</v>
      </c>
      <c r="E171" s="263" t="s">
        <v>1271</v>
      </c>
      <c r="F171" s="215">
        <v>106</v>
      </c>
      <c r="G171" s="215">
        <v>106</v>
      </c>
      <c r="H171" s="197">
        <f t="shared" si="8"/>
        <v>0</v>
      </c>
      <c r="J171" s="291"/>
      <c r="K171" s="109"/>
      <c r="L171" s="198">
        <f t="shared" si="9"/>
        <v>0</v>
      </c>
      <c r="M171" s="170">
        <f t="shared" si="11"/>
        <v>0</v>
      </c>
    </row>
    <row r="172" spans="2:13" ht="21" customHeight="1">
      <c r="B172" s="38">
        <f t="shared" si="10"/>
        <v>165</v>
      </c>
      <c r="C172" s="143">
        <v>201988000032</v>
      </c>
      <c r="D172" s="289">
        <v>3019003</v>
      </c>
      <c r="E172" s="263" t="s">
        <v>1272</v>
      </c>
      <c r="F172" s="215">
        <v>89</v>
      </c>
      <c r="G172" s="215">
        <v>89</v>
      </c>
      <c r="H172" s="197">
        <f t="shared" si="8"/>
        <v>0</v>
      </c>
      <c r="J172" s="291"/>
      <c r="K172" s="109"/>
      <c r="L172" s="198">
        <f t="shared" si="9"/>
        <v>0</v>
      </c>
      <c r="M172" s="170">
        <f t="shared" si="11"/>
        <v>0</v>
      </c>
    </row>
    <row r="173" spans="2:13" ht="21" customHeight="1">
      <c r="B173" s="38">
        <f t="shared" si="10"/>
        <v>166</v>
      </c>
      <c r="C173" s="143">
        <v>201988000033</v>
      </c>
      <c r="D173" s="289">
        <v>3019003</v>
      </c>
      <c r="E173" s="263" t="s">
        <v>1273</v>
      </c>
      <c r="F173" s="215">
        <v>108</v>
      </c>
      <c r="G173" s="215">
        <v>108</v>
      </c>
      <c r="H173" s="197">
        <f t="shared" si="8"/>
        <v>0</v>
      </c>
      <c r="J173" s="291"/>
      <c r="K173" s="109"/>
      <c r="L173" s="198">
        <f t="shared" si="9"/>
        <v>0</v>
      </c>
      <c r="M173" s="170">
        <f t="shared" si="11"/>
        <v>0</v>
      </c>
    </row>
    <row r="174" spans="2:13" ht="21" customHeight="1">
      <c r="B174" s="38">
        <f t="shared" si="10"/>
        <v>167</v>
      </c>
      <c r="C174" s="143">
        <v>201988000034</v>
      </c>
      <c r="D174" s="289">
        <v>3019005</v>
      </c>
      <c r="E174" s="263" t="s">
        <v>940</v>
      </c>
      <c r="F174" s="215">
        <v>1595</v>
      </c>
      <c r="G174" s="215">
        <v>1594</v>
      </c>
      <c r="H174" s="197">
        <f t="shared" si="8"/>
        <v>-1</v>
      </c>
      <c r="J174" s="291"/>
      <c r="K174" s="109"/>
      <c r="L174" s="198">
        <f t="shared" si="9"/>
        <v>0</v>
      </c>
      <c r="M174" s="170">
        <f t="shared" si="11"/>
        <v>0</v>
      </c>
    </row>
    <row r="175" spans="2:13" ht="21" customHeight="1">
      <c r="B175" s="38">
        <f t="shared" si="10"/>
        <v>168</v>
      </c>
      <c r="C175" s="143">
        <v>201988000035</v>
      </c>
      <c r="D175" s="289">
        <v>3019004</v>
      </c>
      <c r="E175" s="263" t="s">
        <v>1274</v>
      </c>
      <c r="F175" s="215">
        <v>838</v>
      </c>
      <c r="G175" s="215">
        <v>842</v>
      </c>
      <c r="H175" s="197">
        <f t="shared" si="8"/>
        <v>4</v>
      </c>
      <c r="J175" s="291"/>
      <c r="K175" s="109"/>
      <c r="L175" s="198">
        <f t="shared" si="9"/>
        <v>0</v>
      </c>
      <c r="M175" s="170">
        <f t="shared" si="11"/>
        <v>0</v>
      </c>
    </row>
    <row r="176" spans="2:13" ht="21" customHeight="1">
      <c r="B176" s="38">
        <f t="shared" si="10"/>
        <v>169</v>
      </c>
      <c r="C176" s="143">
        <v>201988000036</v>
      </c>
      <c r="D176" s="289">
        <v>3019006</v>
      </c>
      <c r="E176" s="263" t="s">
        <v>1275</v>
      </c>
      <c r="F176" s="215">
        <v>4262</v>
      </c>
      <c r="G176" s="215">
        <v>4262</v>
      </c>
      <c r="H176" s="197">
        <f t="shared" si="8"/>
        <v>0</v>
      </c>
      <c r="J176" s="291"/>
      <c r="K176" s="109"/>
      <c r="L176" s="198">
        <f t="shared" si="9"/>
        <v>0</v>
      </c>
      <c r="M176" s="170">
        <f t="shared" si="11"/>
        <v>0</v>
      </c>
    </row>
    <row r="177" spans="2:13" ht="21" customHeight="1">
      <c r="B177" s="38">
        <f t="shared" si="10"/>
        <v>170</v>
      </c>
      <c r="C177" s="143">
        <v>201988000037</v>
      </c>
      <c r="D177" s="289">
        <v>3019007</v>
      </c>
      <c r="E177" s="263" t="s">
        <v>1097</v>
      </c>
      <c r="F177" s="215">
        <v>1062</v>
      </c>
      <c r="G177" s="215">
        <v>1062</v>
      </c>
      <c r="H177" s="197">
        <f t="shared" si="8"/>
        <v>0</v>
      </c>
      <c r="J177" s="291"/>
      <c r="K177" s="109"/>
      <c r="L177" s="198">
        <f t="shared" si="9"/>
        <v>0</v>
      </c>
      <c r="M177" s="170">
        <f t="shared" si="11"/>
        <v>0</v>
      </c>
    </row>
    <row r="178" spans="2:13" ht="21" customHeight="1">
      <c r="B178" s="38">
        <f t="shared" si="10"/>
        <v>171</v>
      </c>
      <c r="C178" s="143">
        <v>201988000038</v>
      </c>
      <c r="D178" s="289">
        <v>3019008</v>
      </c>
      <c r="E178" s="263" t="s">
        <v>1276</v>
      </c>
      <c r="F178" s="215">
        <v>3089</v>
      </c>
      <c r="G178" s="215">
        <v>3089</v>
      </c>
      <c r="H178" s="197">
        <f t="shared" si="8"/>
        <v>0</v>
      </c>
      <c r="J178" s="291"/>
      <c r="K178" s="109"/>
      <c r="L178" s="198">
        <f t="shared" si="9"/>
        <v>0</v>
      </c>
      <c r="M178" s="170">
        <f t="shared" si="11"/>
        <v>0</v>
      </c>
    </row>
    <row r="179" spans="2:13" ht="21" customHeight="1">
      <c r="B179" s="38">
        <f t="shared" si="10"/>
        <v>172</v>
      </c>
      <c r="C179" s="143">
        <v>201990000215</v>
      </c>
      <c r="D179" s="289">
        <v>1110524</v>
      </c>
      <c r="E179" s="263" t="s">
        <v>983</v>
      </c>
      <c r="F179" s="215">
        <v>25</v>
      </c>
      <c r="G179" s="215">
        <v>25</v>
      </c>
      <c r="H179" s="197">
        <f t="shared" si="8"/>
        <v>0</v>
      </c>
      <c r="J179" s="291"/>
      <c r="K179" s="109"/>
      <c r="L179" s="198">
        <f t="shared" si="9"/>
        <v>0</v>
      </c>
      <c r="M179" s="170">
        <f t="shared" si="11"/>
        <v>0</v>
      </c>
    </row>
    <row r="180" spans="2:13" ht="21" customHeight="1">
      <c r="B180" s="38">
        <f t="shared" si="10"/>
        <v>173</v>
      </c>
      <c r="C180" s="143">
        <v>201991000002</v>
      </c>
      <c r="D180" s="289" t="s">
        <v>1277</v>
      </c>
      <c r="E180" s="263" t="s">
        <v>910</v>
      </c>
      <c r="F180" s="215">
        <v>358</v>
      </c>
      <c r="G180" s="215">
        <v>358</v>
      </c>
      <c r="H180" s="197">
        <f t="shared" si="8"/>
        <v>0</v>
      </c>
      <c r="J180" s="291"/>
      <c r="K180" s="109"/>
      <c r="L180" s="198">
        <f t="shared" si="9"/>
        <v>0</v>
      </c>
      <c r="M180" s="170">
        <f t="shared" si="11"/>
        <v>0</v>
      </c>
    </row>
    <row r="181" spans="2:13" ht="21" customHeight="1">
      <c r="B181" s="38">
        <f t="shared" si="10"/>
        <v>174</v>
      </c>
      <c r="C181" s="143">
        <v>201991000004</v>
      </c>
      <c r="D181" s="289">
        <v>3329001</v>
      </c>
      <c r="E181" s="263" t="s">
        <v>1278</v>
      </c>
      <c r="F181" s="215">
        <v>9</v>
      </c>
      <c r="G181" s="215">
        <v>9</v>
      </c>
      <c r="H181" s="197">
        <f t="shared" si="8"/>
        <v>0</v>
      </c>
      <c r="J181" s="291"/>
      <c r="K181" s="109"/>
      <c r="L181" s="198">
        <f t="shared" si="9"/>
        <v>0</v>
      </c>
      <c r="M181" s="170">
        <f t="shared" si="11"/>
        <v>0</v>
      </c>
    </row>
    <row r="182" spans="2:13" ht="21" customHeight="1">
      <c r="B182" s="38">
        <f t="shared" si="10"/>
        <v>175</v>
      </c>
      <c r="C182" s="143">
        <v>201991000005</v>
      </c>
      <c r="D182" s="289">
        <v>1274701</v>
      </c>
      <c r="E182" s="263" t="s">
        <v>855</v>
      </c>
      <c r="F182" s="215">
        <v>62</v>
      </c>
      <c r="G182" s="215">
        <v>62</v>
      </c>
      <c r="H182" s="197">
        <f t="shared" si="8"/>
        <v>0</v>
      </c>
      <c r="J182" s="291"/>
      <c r="K182" s="109"/>
      <c r="L182" s="198">
        <f t="shared" si="9"/>
        <v>0</v>
      </c>
      <c r="M182" s="170">
        <f t="shared" si="11"/>
        <v>0</v>
      </c>
    </row>
    <row r="183" spans="2:13" ht="21" customHeight="1">
      <c r="B183" s="38">
        <f t="shared" si="10"/>
        <v>176</v>
      </c>
      <c r="C183" s="143">
        <v>201991000006</v>
      </c>
      <c r="D183" s="289">
        <v>3257704</v>
      </c>
      <c r="E183" s="263" t="s">
        <v>1279</v>
      </c>
      <c r="F183" s="215">
        <v>132</v>
      </c>
      <c r="G183" s="215">
        <v>132</v>
      </c>
      <c r="H183" s="197">
        <f t="shared" si="8"/>
        <v>0</v>
      </c>
      <c r="J183" s="291"/>
      <c r="K183" s="109"/>
      <c r="L183" s="198">
        <f t="shared" si="9"/>
        <v>0</v>
      </c>
      <c r="M183" s="170">
        <f t="shared" si="11"/>
        <v>0</v>
      </c>
    </row>
    <row r="184" spans="2:13" ht="21" customHeight="1">
      <c r="B184" s="38">
        <f t="shared" si="10"/>
        <v>177</v>
      </c>
      <c r="C184" s="143">
        <v>201991000008</v>
      </c>
      <c r="D184" s="289">
        <v>2430003</v>
      </c>
      <c r="E184" s="263" t="s">
        <v>977</v>
      </c>
      <c r="F184" s="215">
        <v>118</v>
      </c>
      <c r="G184" s="215">
        <v>118</v>
      </c>
      <c r="H184" s="197">
        <f t="shared" si="8"/>
        <v>0</v>
      </c>
      <c r="J184" s="291"/>
      <c r="K184" s="109"/>
      <c r="L184" s="198">
        <f t="shared" si="9"/>
        <v>0</v>
      </c>
      <c r="M184" s="170">
        <f t="shared" si="11"/>
        <v>0</v>
      </c>
    </row>
    <row r="185" spans="2:13" ht="21" customHeight="1">
      <c r="B185" s="38">
        <f t="shared" si="10"/>
        <v>178</v>
      </c>
      <c r="C185" s="143">
        <v>201991000012</v>
      </c>
      <c r="D185" s="289">
        <v>3386401</v>
      </c>
      <c r="E185" s="263" t="s">
        <v>1280</v>
      </c>
      <c r="F185" s="215">
        <v>7</v>
      </c>
      <c r="G185" s="215">
        <v>7</v>
      </c>
      <c r="H185" s="197">
        <f t="shared" si="8"/>
        <v>0</v>
      </c>
      <c r="J185" s="291"/>
      <c r="K185" s="109"/>
      <c r="L185" s="198">
        <f t="shared" si="9"/>
        <v>0</v>
      </c>
      <c r="M185" s="170">
        <f t="shared" si="11"/>
        <v>0</v>
      </c>
    </row>
    <row r="186" spans="2:13" ht="21" customHeight="1">
      <c r="B186" s="38">
        <f t="shared" si="10"/>
        <v>179</v>
      </c>
      <c r="C186" s="143">
        <v>201991000015</v>
      </c>
      <c r="D186" s="289">
        <v>1119901</v>
      </c>
      <c r="E186" s="263" t="s">
        <v>1281</v>
      </c>
      <c r="F186" s="215">
        <v>25</v>
      </c>
      <c r="G186" s="215">
        <v>25</v>
      </c>
      <c r="H186" s="197">
        <f t="shared" si="8"/>
        <v>0</v>
      </c>
      <c r="J186" s="291"/>
      <c r="K186" s="109"/>
      <c r="L186" s="198">
        <f t="shared" si="9"/>
        <v>0</v>
      </c>
      <c r="M186" s="170">
        <f t="shared" si="11"/>
        <v>0</v>
      </c>
    </row>
    <row r="187" spans="2:13" ht="21" customHeight="1">
      <c r="B187" s="38">
        <f t="shared" si="10"/>
        <v>180</v>
      </c>
      <c r="C187" s="143">
        <v>201991000019</v>
      </c>
      <c r="D187" s="289">
        <v>1227203</v>
      </c>
      <c r="E187" s="263" t="s">
        <v>1282</v>
      </c>
      <c r="F187" s="215">
        <v>7</v>
      </c>
      <c r="G187" s="215">
        <v>11</v>
      </c>
      <c r="H187" s="197">
        <f t="shared" si="8"/>
        <v>4</v>
      </c>
      <c r="J187" s="291"/>
      <c r="K187" s="109"/>
      <c r="L187" s="198">
        <f t="shared" si="9"/>
        <v>0</v>
      </c>
      <c r="M187" s="170">
        <f t="shared" si="11"/>
        <v>0</v>
      </c>
    </row>
    <row r="188" spans="2:13" ht="21" customHeight="1">
      <c r="B188" s="38">
        <f t="shared" si="10"/>
        <v>181</v>
      </c>
      <c r="C188" s="143">
        <v>201991000021</v>
      </c>
      <c r="D188" s="289">
        <v>3308101</v>
      </c>
      <c r="E188" s="263" t="s">
        <v>1124</v>
      </c>
      <c r="F188" s="215">
        <v>303</v>
      </c>
      <c r="G188" s="215">
        <v>303</v>
      </c>
      <c r="H188" s="197">
        <f t="shared" si="8"/>
        <v>0</v>
      </c>
      <c r="J188" s="291"/>
      <c r="K188" s="109"/>
      <c r="L188" s="198">
        <f t="shared" si="9"/>
        <v>0</v>
      </c>
      <c r="M188" s="170">
        <f t="shared" si="11"/>
        <v>0</v>
      </c>
    </row>
    <row r="189" spans="2:13" ht="21" customHeight="1">
      <c r="B189" s="38">
        <f t="shared" si="10"/>
        <v>182</v>
      </c>
      <c r="C189" s="143">
        <v>201991000036</v>
      </c>
      <c r="D189" s="289">
        <v>1203301</v>
      </c>
      <c r="E189" s="263" t="s">
        <v>1283</v>
      </c>
      <c r="F189" s="215">
        <v>108</v>
      </c>
      <c r="G189" s="215">
        <v>108</v>
      </c>
      <c r="H189" s="197">
        <f t="shared" si="8"/>
        <v>0</v>
      </c>
      <c r="J189" s="291"/>
      <c r="K189" s="109"/>
      <c r="L189" s="198">
        <f t="shared" ref="L189:L267" si="12">(J189+G189)*K189</f>
        <v>0</v>
      </c>
      <c r="M189" s="170">
        <f t="shared" si="11"/>
        <v>0</v>
      </c>
    </row>
    <row r="190" spans="2:13" ht="21" customHeight="1">
      <c r="B190" s="38">
        <f t="shared" si="10"/>
        <v>183</v>
      </c>
      <c r="C190" s="143">
        <v>201991000037</v>
      </c>
      <c r="D190" s="289">
        <v>1203401</v>
      </c>
      <c r="E190" s="263" t="s">
        <v>1099</v>
      </c>
      <c r="F190" s="215">
        <v>1</v>
      </c>
      <c r="G190" s="215">
        <v>1</v>
      </c>
      <c r="H190" s="197">
        <f t="shared" ref="H190:H277" si="13">G190-F190</f>
        <v>0</v>
      </c>
      <c r="J190" s="291"/>
      <c r="K190" s="109"/>
      <c r="L190" s="198">
        <f t="shared" si="12"/>
        <v>0</v>
      </c>
      <c r="M190" s="170">
        <f t="shared" si="11"/>
        <v>0</v>
      </c>
    </row>
    <row r="191" spans="2:13" ht="21" customHeight="1">
      <c r="B191" s="38">
        <f t="shared" si="10"/>
        <v>184</v>
      </c>
      <c r="C191" s="143">
        <v>201991000038</v>
      </c>
      <c r="D191" s="289">
        <v>3246101</v>
      </c>
      <c r="E191" s="263" t="s">
        <v>1284</v>
      </c>
      <c r="F191" s="215">
        <v>27</v>
      </c>
      <c r="G191" s="215">
        <v>27</v>
      </c>
      <c r="H191" s="197">
        <f t="shared" si="13"/>
        <v>0</v>
      </c>
      <c r="J191" s="291"/>
      <c r="K191" s="109"/>
      <c r="L191" s="198">
        <f t="shared" si="12"/>
        <v>0</v>
      </c>
      <c r="M191" s="170">
        <f t="shared" si="11"/>
        <v>0</v>
      </c>
    </row>
    <row r="192" spans="2:13" ht="21" customHeight="1">
      <c r="B192" s="38">
        <f t="shared" si="10"/>
        <v>185</v>
      </c>
      <c r="C192" s="143">
        <v>201991000039</v>
      </c>
      <c r="D192" s="289">
        <v>3386701</v>
      </c>
      <c r="E192" s="263" t="s">
        <v>1285</v>
      </c>
      <c r="F192" s="215">
        <v>4573</v>
      </c>
      <c r="G192" s="215">
        <v>4573</v>
      </c>
      <c r="H192" s="197">
        <f t="shared" si="13"/>
        <v>0</v>
      </c>
      <c r="J192" s="291"/>
      <c r="K192" s="109"/>
      <c r="L192" s="198">
        <f t="shared" si="12"/>
        <v>0</v>
      </c>
      <c r="M192" s="170">
        <f t="shared" si="11"/>
        <v>0</v>
      </c>
    </row>
    <row r="193" spans="2:13" ht="21" customHeight="1">
      <c r="B193" s="38">
        <f t="shared" si="10"/>
        <v>186</v>
      </c>
      <c r="C193" s="143">
        <v>201991000041</v>
      </c>
      <c r="D193" s="289">
        <v>3289802</v>
      </c>
      <c r="E193" s="263" t="s">
        <v>356</v>
      </c>
      <c r="F193" s="215">
        <v>20</v>
      </c>
      <c r="G193" s="215">
        <v>20</v>
      </c>
      <c r="H193" s="197">
        <f t="shared" si="13"/>
        <v>0</v>
      </c>
      <c r="J193" s="291"/>
      <c r="K193" s="109"/>
      <c r="L193" s="198">
        <f t="shared" si="12"/>
        <v>0</v>
      </c>
      <c r="M193" s="170">
        <f t="shared" si="11"/>
        <v>0</v>
      </c>
    </row>
    <row r="194" spans="2:13" ht="21" customHeight="1">
      <c r="B194" s="38">
        <f t="shared" si="10"/>
        <v>187</v>
      </c>
      <c r="C194" s="143">
        <v>201991000044</v>
      </c>
      <c r="D194" s="289">
        <v>3282802</v>
      </c>
      <c r="E194" s="263" t="s">
        <v>1286</v>
      </c>
      <c r="F194" s="215">
        <v>1751</v>
      </c>
      <c r="G194" s="215">
        <v>1751</v>
      </c>
      <c r="H194" s="197">
        <f t="shared" si="13"/>
        <v>0</v>
      </c>
      <c r="J194" s="291"/>
      <c r="K194" s="109"/>
      <c r="L194" s="198">
        <f t="shared" si="12"/>
        <v>0</v>
      </c>
      <c r="M194" s="170">
        <f t="shared" si="11"/>
        <v>0</v>
      </c>
    </row>
    <row r="195" spans="2:13" ht="21" customHeight="1">
      <c r="B195" s="38">
        <f t="shared" si="10"/>
        <v>188</v>
      </c>
      <c r="C195" s="143">
        <v>201991000052</v>
      </c>
      <c r="D195" s="289">
        <v>3246201</v>
      </c>
      <c r="E195" s="263" t="s">
        <v>682</v>
      </c>
      <c r="F195" s="215">
        <v>166</v>
      </c>
      <c r="G195" s="215">
        <v>166</v>
      </c>
      <c r="H195" s="197">
        <f t="shared" si="13"/>
        <v>0</v>
      </c>
      <c r="J195" s="291"/>
      <c r="K195" s="109"/>
      <c r="L195" s="198">
        <f t="shared" si="12"/>
        <v>0</v>
      </c>
      <c r="M195" s="170">
        <f t="shared" si="11"/>
        <v>0</v>
      </c>
    </row>
    <row r="196" spans="2:13" ht="21" customHeight="1">
      <c r="B196" s="38">
        <f t="shared" si="10"/>
        <v>189</v>
      </c>
      <c r="C196" s="143">
        <v>201991000055</v>
      </c>
      <c r="D196" s="289">
        <v>1449801</v>
      </c>
      <c r="E196" s="263" t="s">
        <v>342</v>
      </c>
      <c r="F196" s="215">
        <v>1246</v>
      </c>
      <c r="G196" s="215">
        <v>1246</v>
      </c>
      <c r="H196" s="197">
        <f t="shared" si="13"/>
        <v>0</v>
      </c>
      <c r="J196" s="291"/>
      <c r="K196" s="109"/>
      <c r="L196" s="198">
        <f t="shared" si="12"/>
        <v>0</v>
      </c>
      <c r="M196" s="170">
        <f t="shared" si="11"/>
        <v>0</v>
      </c>
    </row>
    <row r="197" spans="2:13" ht="21" customHeight="1">
      <c r="B197" s="38">
        <f t="shared" si="10"/>
        <v>190</v>
      </c>
      <c r="C197" s="143">
        <v>201991000056</v>
      </c>
      <c r="D197" s="289">
        <v>1449901</v>
      </c>
      <c r="E197" s="263" t="s">
        <v>798</v>
      </c>
      <c r="F197" s="215">
        <v>104</v>
      </c>
      <c r="G197" s="215">
        <v>114</v>
      </c>
      <c r="H197" s="197">
        <f t="shared" si="13"/>
        <v>10</v>
      </c>
      <c r="J197" s="291"/>
      <c r="K197" s="109"/>
      <c r="L197" s="198">
        <f t="shared" si="12"/>
        <v>0</v>
      </c>
      <c r="M197" s="170">
        <f t="shared" si="11"/>
        <v>0</v>
      </c>
    </row>
    <row r="198" spans="2:13" ht="21" customHeight="1">
      <c r="B198" s="38">
        <f t="shared" si="10"/>
        <v>191</v>
      </c>
      <c r="C198" s="143">
        <v>201991000073</v>
      </c>
      <c r="D198" s="289">
        <v>4007002</v>
      </c>
      <c r="E198" s="263" t="s">
        <v>1287</v>
      </c>
      <c r="F198" s="215">
        <v>103</v>
      </c>
      <c r="G198" s="215">
        <v>103</v>
      </c>
      <c r="H198" s="197">
        <f t="shared" si="13"/>
        <v>0</v>
      </c>
      <c r="J198" s="291"/>
      <c r="K198" s="109"/>
      <c r="L198" s="198">
        <f t="shared" si="12"/>
        <v>0</v>
      </c>
      <c r="M198" s="170">
        <f t="shared" si="11"/>
        <v>0</v>
      </c>
    </row>
    <row r="199" spans="2:13" ht="21" customHeight="1">
      <c r="B199" s="38">
        <f t="shared" si="10"/>
        <v>192</v>
      </c>
      <c r="C199" s="143">
        <v>201991000074</v>
      </c>
      <c r="D199" s="289">
        <v>3214101</v>
      </c>
      <c r="E199" s="263" t="s">
        <v>1047</v>
      </c>
      <c r="F199" s="215">
        <v>24</v>
      </c>
      <c r="G199" s="215">
        <v>24</v>
      </c>
      <c r="H199" s="197">
        <f t="shared" si="13"/>
        <v>0</v>
      </c>
      <c r="J199" s="291"/>
      <c r="K199" s="109"/>
      <c r="L199" s="198">
        <f t="shared" si="12"/>
        <v>0</v>
      </c>
      <c r="M199" s="170">
        <f t="shared" si="11"/>
        <v>0</v>
      </c>
    </row>
    <row r="200" spans="2:13" ht="21" customHeight="1">
      <c r="B200" s="38">
        <f t="shared" si="10"/>
        <v>193</v>
      </c>
      <c r="C200" s="143">
        <v>201991000077</v>
      </c>
      <c r="D200" s="289">
        <v>1261801</v>
      </c>
      <c r="E200" s="263" t="s">
        <v>1100</v>
      </c>
      <c r="F200" s="215">
        <v>61</v>
      </c>
      <c r="G200" s="215">
        <v>61</v>
      </c>
      <c r="H200" s="197">
        <f t="shared" si="13"/>
        <v>0</v>
      </c>
      <c r="J200" s="291"/>
      <c r="K200" s="109"/>
      <c r="L200" s="198">
        <f t="shared" si="12"/>
        <v>0</v>
      </c>
      <c r="M200" s="170">
        <f t="shared" si="11"/>
        <v>0</v>
      </c>
    </row>
    <row r="201" spans="2:13" ht="21" customHeight="1">
      <c r="B201" s="38">
        <f t="shared" si="10"/>
        <v>194</v>
      </c>
      <c r="C201" s="143">
        <v>201991000079</v>
      </c>
      <c r="D201" s="289">
        <v>3309201</v>
      </c>
      <c r="E201" s="263" t="s">
        <v>903</v>
      </c>
      <c r="F201" s="215">
        <v>34</v>
      </c>
      <c r="G201" s="215">
        <v>34</v>
      </c>
      <c r="H201" s="197">
        <f t="shared" si="13"/>
        <v>0</v>
      </c>
      <c r="J201" s="291"/>
      <c r="K201" s="109"/>
      <c r="L201" s="198">
        <f t="shared" si="12"/>
        <v>0</v>
      </c>
      <c r="M201" s="170">
        <f t="shared" si="11"/>
        <v>0</v>
      </c>
    </row>
    <row r="202" spans="2:13" ht="21" customHeight="1">
      <c r="B202" s="38">
        <f t="shared" ref="B202:B266" si="14">B201+1</f>
        <v>195</v>
      </c>
      <c r="C202" s="143">
        <v>201991000080</v>
      </c>
      <c r="D202" s="289">
        <v>3330501</v>
      </c>
      <c r="E202" s="263" t="s">
        <v>1288</v>
      </c>
      <c r="F202" s="215">
        <v>47</v>
      </c>
      <c r="G202" s="215">
        <v>47</v>
      </c>
      <c r="H202" s="197">
        <f t="shared" si="13"/>
        <v>0</v>
      </c>
      <c r="J202" s="291"/>
      <c r="K202" s="109"/>
      <c r="L202" s="198">
        <f t="shared" si="12"/>
        <v>0</v>
      </c>
      <c r="M202" s="170">
        <f t="shared" si="11"/>
        <v>0</v>
      </c>
    </row>
    <row r="203" spans="2:13" ht="21" customHeight="1">
      <c r="B203" s="38">
        <f t="shared" si="14"/>
        <v>196</v>
      </c>
      <c r="C203" s="143">
        <v>201991000083</v>
      </c>
      <c r="D203" s="289">
        <v>3330601</v>
      </c>
      <c r="E203" s="263" t="s">
        <v>738</v>
      </c>
      <c r="F203" s="215">
        <v>1463</v>
      </c>
      <c r="G203" s="215">
        <v>1455</v>
      </c>
      <c r="H203" s="197">
        <f t="shared" si="13"/>
        <v>-8</v>
      </c>
      <c r="J203" s="291"/>
      <c r="K203" s="109"/>
      <c r="L203" s="198">
        <f t="shared" si="12"/>
        <v>0</v>
      </c>
      <c r="M203" s="170">
        <f t="shared" si="11"/>
        <v>0</v>
      </c>
    </row>
    <row r="204" spans="2:13" ht="21" customHeight="1">
      <c r="B204" s="38">
        <f t="shared" si="14"/>
        <v>197</v>
      </c>
      <c r="C204" s="143">
        <v>201991000084</v>
      </c>
      <c r="D204" s="289">
        <v>1216701</v>
      </c>
      <c r="E204" s="263" t="s">
        <v>1289</v>
      </c>
      <c r="F204" s="215">
        <v>6</v>
      </c>
      <c r="G204" s="215">
        <v>6</v>
      </c>
      <c r="H204" s="197">
        <f t="shared" si="13"/>
        <v>0</v>
      </c>
      <c r="J204" s="291"/>
      <c r="K204" s="109"/>
      <c r="L204" s="198">
        <f t="shared" si="12"/>
        <v>0</v>
      </c>
      <c r="M204" s="170">
        <f t="shared" si="11"/>
        <v>0</v>
      </c>
    </row>
    <row r="205" spans="2:13" ht="21" customHeight="1">
      <c r="B205" s="38">
        <f t="shared" si="14"/>
        <v>198</v>
      </c>
      <c r="C205" s="143">
        <v>201991000085</v>
      </c>
      <c r="D205" s="289">
        <v>3219101</v>
      </c>
      <c r="E205" s="263" t="s">
        <v>1290</v>
      </c>
      <c r="F205" s="215">
        <v>8</v>
      </c>
      <c r="G205" s="215">
        <v>8</v>
      </c>
      <c r="H205" s="197">
        <f t="shared" si="13"/>
        <v>0</v>
      </c>
      <c r="J205" s="291"/>
      <c r="K205" s="109"/>
      <c r="L205" s="198">
        <f t="shared" si="12"/>
        <v>0</v>
      </c>
      <c r="M205" s="170">
        <f t="shared" si="11"/>
        <v>0</v>
      </c>
    </row>
    <row r="206" spans="2:13" ht="21" customHeight="1">
      <c r="B206" s="38">
        <f t="shared" si="14"/>
        <v>199</v>
      </c>
      <c r="C206" s="143">
        <v>201991000090</v>
      </c>
      <c r="D206" s="289">
        <v>3325301</v>
      </c>
      <c r="E206" s="263" t="s">
        <v>351</v>
      </c>
      <c r="F206" s="215">
        <v>1761</v>
      </c>
      <c r="G206" s="215">
        <v>1761</v>
      </c>
      <c r="H206" s="197">
        <f t="shared" si="13"/>
        <v>0</v>
      </c>
      <c r="J206" s="291"/>
      <c r="K206" s="109"/>
      <c r="L206" s="198">
        <f t="shared" si="12"/>
        <v>0</v>
      </c>
      <c r="M206" s="170">
        <f t="shared" si="11"/>
        <v>0</v>
      </c>
    </row>
    <row r="207" spans="2:13" ht="21" customHeight="1">
      <c r="B207" s="38">
        <f t="shared" si="14"/>
        <v>200</v>
      </c>
      <c r="C207" s="143">
        <v>201991000093</v>
      </c>
      <c r="D207" s="289">
        <v>3309401</v>
      </c>
      <c r="E207" s="263" t="s">
        <v>567</v>
      </c>
      <c r="F207" s="215">
        <v>31</v>
      </c>
      <c r="G207" s="215">
        <v>31</v>
      </c>
      <c r="H207" s="197">
        <f t="shared" si="13"/>
        <v>0</v>
      </c>
      <c r="J207" s="291"/>
      <c r="K207" s="109"/>
      <c r="L207" s="198">
        <f t="shared" si="12"/>
        <v>0</v>
      </c>
      <c r="M207" s="170">
        <f t="shared" si="11"/>
        <v>0</v>
      </c>
    </row>
    <row r="208" spans="2:13" ht="21" customHeight="1">
      <c r="B208" s="38">
        <f t="shared" si="14"/>
        <v>201</v>
      </c>
      <c r="C208" s="143">
        <v>201991000095</v>
      </c>
      <c r="D208" s="289">
        <v>1218901</v>
      </c>
      <c r="E208" s="263" t="s">
        <v>387</v>
      </c>
      <c r="F208" s="215">
        <v>28</v>
      </c>
      <c r="G208" s="215">
        <v>28</v>
      </c>
      <c r="H208" s="197">
        <f t="shared" si="13"/>
        <v>0</v>
      </c>
      <c r="J208" s="291"/>
      <c r="K208" s="109"/>
      <c r="L208" s="198">
        <f t="shared" si="12"/>
        <v>0</v>
      </c>
      <c r="M208" s="170">
        <f t="shared" si="11"/>
        <v>0</v>
      </c>
    </row>
    <row r="209" spans="2:13" ht="21" customHeight="1">
      <c r="B209" s="38">
        <f t="shared" si="14"/>
        <v>202</v>
      </c>
      <c r="C209" s="143">
        <v>201991000096</v>
      </c>
      <c r="D209" s="289" t="s">
        <v>1153</v>
      </c>
      <c r="E209" s="263" t="s">
        <v>1291</v>
      </c>
      <c r="F209" s="215">
        <v>1635</v>
      </c>
      <c r="G209" s="215">
        <v>1635</v>
      </c>
      <c r="H209" s="197">
        <f t="shared" si="13"/>
        <v>0</v>
      </c>
      <c r="J209" s="291"/>
      <c r="K209" s="109"/>
      <c r="L209" s="198">
        <f t="shared" si="12"/>
        <v>0</v>
      </c>
      <c r="M209" s="170">
        <f t="shared" si="11"/>
        <v>0</v>
      </c>
    </row>
    <row r="210" spans="2:13" ht="21" customHeight="1">
      <c r="B210" s="38">
        <f t="shared" si="14"/>
        <v>203</v>
      </c>
      <c r="C210" s="143">
        <v>201991000097</v>
      </c>
      <c r="D210" s="289">
        <v>1073301</v>
      </c>
      <c r="E210" s="263" t="s">
        <v>330</v>
      </c>
      <c r="F210" s="215">
        <v>271</v>
      </c>
      <c r="G210" s="215">
        <v>269</v>
      </c>
      <c r="H210" s="197">
        <f t="shared" si="13"/>
        <v>-2</v>
      </c>
      <c r="J210" s="291"/>
      <c r="K210" s="109"/>
      <c r="L210" s="198">
        <f t="shared" si="12"/>
        <v>0</v>
      </c>
      <c r="M210" s="170">
        <f t="shared" si="11"/>
        <v>0</v>
      </c>
    </row>
    <row r="211" spans="2:13" ht="21" customHeight="1">
      <c r="B211" s="38">
        <f t="shared" si="14"/>
        <v>204</v>
      </c>
      <c r="C211" s="143">
        <v>201991000101</v>
      </c>
      <c r="D211" s="289">
        <v>4007044</v>
      </c>
      <c r="E211" s="263" t="s">
        <v>1292</v>
      </c>
      <c r="F211" s="215">
        <v>48</v>
      </c>
      <c r="G211" s="215">
        <v>48</v>
      </c>
      <c r="H211" s="197">
        <f t="shared" si="13"/>
        <v>0</v>
      </c>
      <c r="J211" s="291"/>
      <c r="K211" s="109"/>
      <c r="L211" s="198">
        <f t="shared" si="12"/>
        <v>0</v>
      </c>
      <c r="M211" s="170">
        <f t="shared" ref="M211:M277" si="15">H211*K211</f>
        <v>0</v>
      </c>
    </row>
    <row r="212" spans="2:13" ht="21" customHeight="1">
      <c r="B212" s="38">
        <f t="shared" si="14"/>
        <v>205</v>
      </c>
      <c r="C212" s="143">
        <v>201991000104</v>
      </c>
      <c r="D212" s="289">
        <v>3389201</v>
      </c>
      <c r="E212" s="263" t="s">
        <v>386</v>
      </c>
      <c r="F212" s="215">
        <v>3314</v>
      </c>
      <c r="G212" s="215">
        <v>3312</v>
      </c>
      <c r="H212" s="197">
        <f t="shared" si="13"/>
        <v>-2</v>
      </c>
      <c r="J212" s="291"/>
      <c r="K212" s="109"/>
      <c r="L212" s="198">
        <f t="shared" si="12"/>
        <v>0</v>
      </c>
      <c r="M212" s="170">
        <f t="shared" si="15"/>
        <v>0</v>
      </c>
    </row>
    <row r="213" spans="2:13" ht="21" customHeight="1">
      <c r="B213" s="38">
        <f t="shared" si="14"/>
        <v>206</v>
      </c>
      <c r="C213" s="143">
        <v>201991000105</v>
      </c>
      <c r="D213" s="289">
        <v>3389301</v>
      </c>
      <c r="E213" s="263" t="s">
        <v>932</v>
      </c>
      <c r="F213" s="215">
        <v>3555</v>
      </c>
      <c r="G213" s="215">
        <v>3553</v>
      </c>
      <c r="H213" s="197">
        <f t="shared" si="13"/>
        <v>-2</v>
      </c>
      <c r="J213" s="291"/>
      <c r="K213" s="109"/>
      <c r="L213" s="198">
        <f t="shared" si="12"/>
        <v>0</v>
      </c>
      <c r="M213" s="170">
        <f t="shared" si="15"/>
        <v>0</v>
      </c>
    </row>
    <row r="214" spans="2:13" ht="21" customHeight="1">
      <c r="B214" s="38">
        <f t="shared" si="14"/>
        <v>207</v>
      </c>
      <c r="C214" s="143">
        <v>201991000106</v>
      </c>
      <c r="D214" s="289">
        <v>3389401</v>
      </c>
      <c r="E214" s="263" t="s">
        <v>791</v>
      </c>
      <c r="F214" s="215">
        <v>3710</v>
      </c>
      <c r="G214" s="215">
        <v>3715</v>
      </c>
      <c r="H214" s="197">
        <f t="shared" si="13"/>
        <v>5</v>
      </c>
      <c r="J214" s="291"/>
      <c r="K214" s="109"/>
      <c r="L214" s="198">
        <f t="shared" si="12"/>
        <v>0</v>
      </c>
      <c r="M214" s="170">
        <f t="shared" si="15"/>
        <v>0</v>
      </c>
    </row>
    <row r="215" spans="2:13" ht="21" customHeight="1">
      <c r="B215" s="38">
        <f t="shared" si="14"/>
        <v>208</v>
      </c>
      <c r="C215" s="143">
        <v>201991000107</v>
      </c>
      <c r="D215" s="289">
        <v>3389501</v>
      </c>
      <c r="E215" s="263" t="s">
        <v>559</v>
      </c>
      <c r="F215" s="215">
        <v>8837</v>
      </c>
      <c r="G215" s="215">
        <v>8837</v>
      </c>
      <c r="H215" s="197">
        <f t="shared" si="13"/>
        <v>0</v>
      </c>
      <c r="J215" s="291"/>
      <c r="K215" s="109"/>
      <c r="L215" s="198">
        <f t="shared" si="12"/>
        <v>0</v>
      </c>
      <c r="M215" s="170">
        <f t="shared" si="15"/>
        <v>0</v>
      </c>
    </row>
    <row r="216" spans="2:13" ht="21" customHeight="1">
      <c r="B216" s="38">
        <f t="shared" si="14"/>
        <v>209</v>
      </c>
      <c r="C216" s="143">
        <v>201991000108</v>
      </c>
      <c r="D216" s="289">
        <v>3389601</v>
      </c>
      <c r="E216" s="263" t="s">
        <v>837</v>
      </c>
      <c r="F216" s="215">
        <v>9255</v>
      </c>
      <c r="G216" s="215">
        <v>9260</v>
      </c>
      <c r="H216" s="197">
        <f t="shared" si="13"/>
        <v>5</v>
      </c>
      <c r="J216" s="291"/>
      <c r="K216" s="109"/>
      <c r="L216" s="198">
        <f t="shared" si="12"/>
        <v>0</v>
      </c>
      <c r="M216" s="170">
        <f t="shared" si="15"/>
        <v>0</v>
      </c>
    </row>
    <row r="217" spans="2:13" ht="21" customHeight="1">
      <c r="B217" s="38">
        <f t="shared" si="14"/>
        <v>210</v>
      </c>
      <c r="C217" s="143">
        <v>201991000109</v>
      </c>
      <c r="D217" s="289">
        <v>3389701</v>
      </c>
      <c r="E217" s="263" t="s">
        <v>829</v>
      </c>
      <c r="F217" s="215">
        <v>8708</v>
      </c>
      <c r="G217" s="215">
        <v>8708</v>
      </c>
      <c r="H217" s="197">
        <f t="shared" si="13"/>
        <v>0</v>
      </c>
      <c r="J217" s="291"/>
      <c r="K217" s="109"/>
      <c r="L217" s="198">
        <f t="shared" si="12"/>
        <v>0</v>
      </c>
      <c r="M217" s="170">
        <f t="shared" si="15"/>
        <v>0</v>
      </c>
    </row>
    <row r="218" spans="2:13" ht="21" customHeight="1">
      <c r="B218" s="38">
        <f t="shared" si="14"/>
        <v>211</v>
      </c>
      <c r="C218" s="143">
        <v>201991000110</v>
      </c>
      <c r="D218" s="289">
        <v>1801128</v>
      </c>
      <c r="E218" s="196" t="s">
        <v>1293</v>
      </c>
      <c r="F218" s="215">
        <v>9</v>
      </c>
      <c r="G218" s="215">
        <v>9</v>
      </c>
      <c r="H218" s="197">
        <f t="shared" si="13"/>
        <v>0</v>
      </c>
      <c r="J218" s="291"/>
      <c r="K218" s="109"/>
      <c r="L218" s="198">
        <f t="shared" si="12"/>
        <v>0</v>
      </c>
      <c r="M218" s="170">
        <f t="shared" si="15"/>
        <v>0</v>
      </c>
    </row>
    <row r="219" spans="2:13" ht="21" customHeight="1">
      <c r="B219" s="38">
        <f t="shared" si="14"/>
        <v>212</v>
      </c>
      <c r="C219" s="143">
        <v>201991000111</v>
      </c>
      <c r="D219" s="289">
        <v>1801141</v>
      </c>
      <c r="E219" s="263" t="s">
        <v>1294</v>
      </c>
      <c r="F219" s="215">
        <v>2</v>
      </c>
      <c r="G219" s="215">
        <v>2</v>
      </c>
      <c r="H219" s="197">
        <f t="shared" si="13"/>
        <v>0</v>
      </c>
      <c r="J219" s="291"/>
      <c r="K219" s="109"/>
      <c r="L219" s="198">
        <f t="shared" si="12"/>
        <v>0</v>
      </c>
      <c r="M219" s="170">
        <f t="shared" si="15"/>
        <v>0</v>
      </c>
    </row>
    <row r="220" spans="2:13" ht="21" customHeight="1">
      <c r="B220" s="38">
        <f t="shared" si="14"/>
        <v>213</v>
      </c>
      <c r="C220" s="143">
        <v>201991000120</v>
      </c>
      <c r="D220" s="289">
        <v>1237401</v>
      </c>
      <c r="E220" s="263" t="s">
        <v>1295</v>
      </c>
      <c r="F220" s="215">
        <v>20</v>
      </c>
      <c r="G220" s="215">
        <v>20</v>
      </c>
      <c r="H220" s="197">
        <f t="shared" si="13"/>
        <v>0</v>
      </c>
      <c r="J220" s="291"/>
      <c r="K220" s="109"/>
      <c r="L220" s="198">
        <f t="shared" si="12"/>
        <v>0</v>
      </c>
      <c r="M220" s="170">
        <f t="shared" si="15"/>
        <v>0</v>
      </c>
    </row>
    <row r="221" spans="2:13" ht="21" customHeight="1">
      <c r="B221" s="38">
        <f t="shared" si="14"/>
        <v>214</v>
      </c>
      <c r="C221" s="143">
        <v>201991000125</v>
      </c>
      <c r="D221" s="289">
        <v>1235421</v>
      </c>
      <c r="E221" s="263" t="s">
        <v>1296</v>
      </c>
      <c r="F221" s="215">
        <v>34</v>
      </c>
      <c r="G221" s="215">
        <v>34</v>
      </c>
      <c r="H221" s="197">
        <f t="shared" si="13"/>
        <v>0</v>
      </c>
      <c r="J221" s="291"/>
      <c r="K221" s="109"/>
      <c r="L221" s="198">
        <f t="shared" si="12"/>
        <v>0</v>
      </c>
      <c r="M221" s="170">
        <f t="shared" si="15"/>
        <v>0</v>
      </c>
    </row>
    <row r="222" spans="2:13" ht="21" customHeight="1">
      <c r="B222" s="38">
        <f t="shared" si="14"/>
        <v>215</v>
      </c>
      <c r="C222" s="143">
        <v>201991000131</v>
      </c>
      <c r="D222" s="289">
        <v>3387401</v>
      </c>
      <c r="E222" s="263" t="s">
        <v>914</v>
      </c>
      <c r="F222" s="215">
        <v>102</v>
      </c>
      <c r="G222" s="215">
        <v>102</v>
      </c>
      <c r="H222" s="197">
        <f t="shared" si="13"/>
        <v>0</v>
      </c>
      <c r="J222" s="291"/>
      <c r="K222" s="109"/>
      <c r="L222" s="198">
        <f t="shared" si="12"/>
        <v>0</v>
      </c>
      <c r="M222" s="170">
        <f t="shared" si="15"/>
        <v>0</v>
      </c>
    </row>
    <row r="223" spans="2:13" ht="21" customHeight="1">
      <c r="B223" s="38">
        <f t="shared" si="14"/>
        <v>216</v>
      </c>
      <c r="C223" s="143">
        <v>201991000132</v>
      </c>
      <c r="D223" s="289">
        <v>3387501</v>
      </c>
      <c r="E223" s="263" t="s">
        <v>1297</v>
      </c>
      <c r="F223" s="215">
        <v>125</v>
      </c>
      <c r="G223" s="215">
        <v>125</v>
      </c>
      <c r="H223" s="197">
        <f t="shared" si="13"/>
        <v>0</v>
      </c>
      <c r="J223" s="291"/>
      <c r="K223" s="109"/>
      <c r="L223" s="198">
        <f t="shared" si="12"/>
        <v>0</v>
      </c>
      <c r="M223" s="170">
        <f t="shared" si="15"/>
        <v>0</v>
      </c>
    </row>
    <row r="224" spans="2:13" ht="21" customHeight="1">
      <c r="B224" s="38">
        <f t="shared" si="14"/>
        <v>217</v>
      </c>
      <c r="C224" s="143">
        <v>201991000133</v>
      </c>
      <c r="D224" s="289">
        <v>3327401</v>
      </c>
      <c r="E224" s="263" t="s">
        <v>1096</v>
      </c>
      <c r="F224" s="215">
        <v>3330</v>
      </c>
      <c r="G224" s="215">
        <v>3340</v>
      </c>
      <c r="H224" s="197">
        <f t="shared" si="13"/>
        <v>10</v>
      </c>
      <c r="J224" s="291"/>
      <c r="K224" s="109"/>
      <c r="L224" s="198">
        <f t="shared" si="12"/>
        <v>0</v>
      </c>
      <c r="M224" s="170">
        <f t="shared" si="15"/>
        <v>0</v>
      </c>
    </row>
    <row r="225" spans="2:13" ht="21" customHeight="1">
      <c r="B225" s="38">
        <f t="shared" si="14"/>
        <v>218</v>
      </c>
      <c r="C225" s="143">
        <v>201991000134</v>
      </c>
      <c r="D225" s="289">
        <v>3327301</v>
      </c>
      <c r="E225" s="263" t="s">
        <v>1095</v>
      </c>
      <c r="F225" s="215">
        <v>2835</v>
      </c>
      <c r="G225" s="215">
        <v>2835</v>
      </c>
      <c r="H225" s="197">
        <f t="shared" si="13"/>
        <v>0</v>
      </c>
      <c r="J225" s="291"/>
      <c r="K225" s="109"/>
      <c r="L225" s="198">
        <f t="shared" si="12"/>
        <v>0</v>
      </c>
      <c r="M225" s="170">
        <f t="shared" si="15"/>
        <v>0</v>
      </c>
    </row>
    <row r="226" spans="2:13" ht="21" customHeight="1">
      <c r="B226" s="38">
        <f t="shared" si="14"/>
        <v>219</v>
      </c>
      <c r="C226" s="143">
        <v>201991000135</v>
      </c>
      <c r="D226" s="289">
        <v>1450901</v>
      </c>
      <c r="E226" s="263" t="s">
        <v>1298</v>
      </c>
      <c r="F226" s="215">
        <v>1023</v>
      </c>
      <c r="G226" s="215">
        <v>1023</v>
      </c>
      <c r="H226" s="197">
        <f t="shared" si="13"/>
        <v>0</v>
      </c>
      <c r="J226" s="291"/>
      <c r="K226" s="109"/>
      <c r="L226" s="198">
        <f t="shared" si="12"/>
        <v>0</v>
      </c>
      <c r="M226" s="170">
        <f t="shared" si="15"/>
        <v>0</v>
      </c>
    </row>
    <row r="227" spans="2:13" ht="21" customHeight="1">
      <c r="B227" s="38">
        <f t="shared" si="14"/>
        <v>220</v>
      </c>
      <c r="C227" s="143">
        <v>201991000136</v>
      </c>
      <c r="D227" s="289">
        <v>1450601</v>
      </c>
      <c r="E227" s="263" t="s">
        <v>1299</v>
      </c>
      <c r="F227" s="215">
        <v>407</v>
      </c>
      <c r="G227" s="215">
        <v>407</v>
      </c>
      <c r="H227" s="197">
        <f t="shared" si="13"/>
        <v>0</v>
      </c>
      <c r="J227" s="291"/>
      <c r="K227" s="109"/>
      <c r="L227" s="198">
        <f t="shared" si="12"/>
        <v>0</v>
      </c>
      <c r="M227" s="170">
        <f t="shared" si="15"/>
        <v>0</v>
      </c>
    </row>
    <row r="228" spans="2:13" ht="21" customHeight="1">
      <c r="B228" s="38">
        <f t="shared" si="14"/>
        <v>221</v>
      </c>
      <c r="C228" s="143">
        <v>201991000137</v>
      </c>
      <c r="D228" s="289">
        <v>3410901</v>
      </c>
      <c r="E228" s="332" t="s">
        <v>309</v>
      </c>
      <c r="F228" s="215">
        <v>25</v>
      </c>
      <c r="G228" s="215">
        <v>25</v>
      </c>
      <c r="H228" s="197">
        <f t="shared" si="13"/>
        <v>0</v>
      </c>
      <c r="I228" s="217"/>
      <c r="J228" s="291"/>
      <c r="K228" s="109"/>
      <c r="L228" s="198">
        <f t="shared" si="12"/>
        <v>0</v>
      </c>
      <c r="M228" s="170">
        <f t="shared" si="15"/>
        <v>0</v>
      </c>
    </row>
    <row r="229" spans="2:13" ht="21" customHeight="1">
      <c r="B229" s="38">
        <f t="shared" si="14"/>
        <v>222</v>
      </c>
      <c r="C229" s="143">
        <v>201991000138</v>
      </c>
      <c r="D229" s="289">
        <v>1270102</v>
      </c>
      <c r="E229" s="263" t="s">
        <v>306</v>
      </c>
      <c r="F229" s="215">
        <v>1009</v>
      </c>
      <c r="G229" s="215">
        <v>1009</v>
      </c>
      <c r="H229" s="197">
        <f t="shared" si="13"/>
        <v>0</v>
      </c>
      <c r="J229" s="291"/>
      <c r="K229" s="109"/>
      <c r="L229" s="198">
        <f t="shared" si="12"/>
        <v>0</v>
      </c>
      <c r="M229" s="170">
        <f t="shared" si="15"/>
        <v>0</v>
      </c>
    </row>
    <row r="230" spans="2:13" ht="21" customHeight="1">
      <c r="B230" s="38">
        <f t="shared" si="14"/>
        <v>223</v>
      </c>
      <c r="C230" s="143">
        <v>201991000146</v>
      </c>
      <c r="D230" s="289">
        <v>1801012</v>
      </c>
      <c r="E230" s="263" t="s">
        <v>756</v>
      </c>
      <c r="F230" s="215">
        <v>2</v>
      </c>
      <c r="G230" s="215">
        <v>1</v>
      </c>
      <c r="H230" s="197">
        <f t="shared" si="13"/>
        <v>-1</v>
      </c>
      <c r="J230" s="291"/>
      <c r="K230" s="109"/>
      <c r="L230" s="198">
        <f t="shared" si="12"/>
        <v>0</v>
      </c>
      <c r="M230" s="170">
        <f t="shared" si="15"/>
        <v>0</v>
      </c>
    </row>
    <row r="231" spans="2:13" ht="21" customHeight="1">
      <c r="B231" s="38">
        <f t="shared" si="14"/>
        <v>224</v>
      </c>
      <c r="C231" s="143">
        <v>201991000147</v>
      </c>
      <c r="D231" s="289">
        <v>1801013</v>
      </c>
      <c r="E231" s="332" t="s">
        <v>1300</v>
      </c>
      <c r="F231" s="215">
        <v>85</v>
      </c>
      <c r="G231" s="215">
        <v>85</v>
      </c>
      <c r="H231" s="197">
        <f t="shared" si="13"/>
        <v>0</v>
      </c>
      <c r="I231" s="217"/>
      <c r="J231" s="291"/>
      <c r="K231" s="109"/>
      <c r="L231" s="198">
        <f t="shared" si="12"/>
        <v>0</v>
      </c>
      <c r="M231" s="170">
        <f t="shared" si="15"/>
        <v>0</v>
      </c>
    </row>
    <row r="232" spans="2:13" ht="21" customHeight="1">
      <c r="B232" s="38">
        <f t="shared" si="14"/>
        <v>225</v>
      </c>
      <c r="C232" s="143">
        <v>201991000151</v>
      </c>
      <c r="D232" s="289">
        <v>1219501</v>
      </c>
      <c r="E232" s="263" t="s">
        <v>848</v>
      </c>
      <c r="F232" s="215">
        <v>91</v>
      </c>
      <c r="G232" s="215">
        <v>91</v>
      </c>
      <c r="H232" s="197">
        <f t="shared" si="13"/>
        <v>0</v>
      </c>
      <c r="J232" s="291"/>
      <c r="K232" s="109"/>
      <c r="L232" s="198">
        <f t="shared" si="12"/>
        <v>0</v>
      </c>
      <c r="M232" s="170">
        <f t="shared" si="15"/>
        <v>0</v>
      </c>
    </row>
    <row r="233" spans="2:13" ht="21" customHeight="1">
      <c r="B233" s="38">
        <f t="shared" si="14"/>
        <v>226</v>
      </c>
      <c r="C233" s="143">
        <v>201991000152</v>
      </c>
      <c r="D233" s="289">
        <v>1465302</v>
      </c>
      <c r="E233" s="263" t="s">
        <v>967</v>
      </c>
      <c r="F233" s="215">
        <v>1422</v>
      </c>
      <c r="G233" s="215">
        <v>1407</v>
      </c>
      <c r="H233" s="197">
        <f t="shared" si="13"/>
        <v>-15</v>
      </c>
      <c r="J233" s="291"/>
      <c r="K233" s="109"/>
      <c r="L233" s="198">
        <f t="shared" si="12"/>
        <v>0</v>
      </c>
      <c r="M233" s="170">
        <f t="shared" si="15"/>
        <v>0</v>
      </c>
    </row>
    <row r="234" spans="2:13" ht="21" customHeight="1">
      <c r="B234" s="38">
        <f t="shared" si="14"/>
        <v>227</v>
      </c>
      <c r="C234" s="143">
        <v>201991000157</v>
      </c>
      <c r="D234" s="289">
        <v>1410401</v>
      </c>
      <c r="E234" s="263" t="s">
        <v>598</v>
      </c>
      <c r="F234" s="215">
        <v>13</v>
      </c>
      <c r="G234" s="215">
        <v>13</v>
      </c>
      <c r="H234" s="197">
        <f t="shared" si="13"/>
        <v>0</v>
      </c>
      <c r="J234" s="291"/>
      <c r="K234" s="109"/>
      <c r="L234" s="198">
        <f t="shared" si="12"/>
        <v>0</v>
      </c>
      <c r="M234" s="170">
        <f t="shared" si="15"/>
        <v>0</v>
      </c>
    </row>
    <row r="235" spans="2:13" ht="21" customHeight="1">
      <c r="B235" s="38">
        <f t="shared" si="14"/>
        <v>228</v>
      </c>
      <c r="C235" s="143">
        <v>201991000158</v>
      </c>
      <c r="D235" s="289">
        <v>1410201</v>
      </c>
      <c r="E235" s="263" t="s">
        <v>804</v>
      </c>
      <c r="F235" s="215">
        <v>25</v>
      </c>
      <c r="G235" s="215">
        <v>26</v>
      </c>
      <c r="H235" s="197">
        <f t="shared" si="13"/>
        <v>1</v>
      </c>
      <c r="J235" s="291"/>
      <c r="K235" s="109"/>
      <c r="L235" s="198">
        <f t="shared" si="12"/>
        <v>0</v>
      </c>
      <c r="M235" s="170">
        <f t="shared" si="15"/>
        <v>0</v>
      </c>
    </row>
    <row r="236" spans="2:13" ht="21" customHeight="1">
      <c r="B236" s="38">
        <f t="shared" si="14"/>
        <v>229</v>
      </c>
      <c r="C236" s="143">
        <v>201991000162</v>
      </c>
      <c r="D236" s="289">
        <v>3386101</v>
      </c>
      <c r="E236" s="263" t="s">
        <v>1301</v>
      </c>
      <c r="F236" s="215">
        <v>10</v>
      </c>
      <c r="G236" s="215">
        <v>10</v>
      </c>
      <c r="H236" s="197">
        <f t="shared" si="13"/>
        <v>0</v>
      </c>
      <c r="J236" s="291"/>
      <c r="K236" s="109"/>
      <c r="L236" s="198">
        <f t="shared" si="12"/>
        <v>0</v>
      </c>
      <c r="M236" s="170">
        <f t="shared" si="15"/>
        <v>0</v>
      </c>
    </row>
    <row r="237" spans="2:13" ht="21" customHeight="1">
      <c r="B237" s="38">
        <f t="shared" si="14"/>
        <v>230</v>
      </c>
      <c r="C237" s="143">
        <v>201991000166</v>
      </c>
      <c r="D237" s="289">
        <v>3389901</v>
      </c>
      <c r="E237" s="263" t="s">
        <v>357</v>
      </c>
      <c r="F237" s="215">
        <v>234</v>
      </c>
      <c r="G237" s="215">
        <v>234</v>
      </c>
      <c r="H237" s="197">
        <f t="shared" si="13"/>
        <v>0</v>
      </c>
      <c r="J237" s="291"/>
      <c r="K237" s="109"/>
      <c r="L237" s="198">
        <f t="shared" si="12"/>
        <v>0</v>
      </c>
      <c r="M237" s="170">
        <f t="shared" si="15"/>
        <v>0</v>
      </c>
    </row>
    <row r="238" spans="2:13" ht="21" customHeight="1">
      <c r="B238" s="38">
        <f t="shared" si="14"/>
        <v>231</v>
      </c>
      <c r="C238" s="143">
        <v>201991000167</v>
      </c>
      <c r="D238" s="289">
        <v>3389801</v>
      </c>
      <c r="E238" s="263" t="s">
        <v>339</v>
      </c>
      <c r="F238" s="215">
        <v>369</v>
      </c>
      <c r="G238" s="215">
        <v>369</v>
      </c>
      <c r="H238" s="197">
        <f t="shared" si="13"/>
        <v>0</v>
      </c>
      <c r="J238" s="291"/>
      <c r="K238" s="109"/>
      <c r="L238" s="198">
        <f t="shared" si="12"/>
        <v>0</v>
      </c>
      <c r="M238" s="170">
        <f t="shared" si="15"/>
        <v>0</v>
      </c>
    </row>
    <row r="239" spans="2:13" ht="21" customHeight="1">
      <c r="B239" s="38">
        <f t="shared" si="14"/>
        <v>232</v>
      </c>
      <c r="C239" s="143">
        <v>201991000168</v>
      </c>
      <c r="D239" s="289">
        <v>1460001</v>
      </c>
      <c r="E239" s="263" t="s">
        <v>1302</v>
      </c>
      <c r="F239" s="215">
        <v>519</v>
      </c>
      <c r="G239" s="215">
        <v>519</v>
      </c>
      <c r="H239" s="197">
        <f t="shared" si="13"/>
        <v>0</v>
      </c>
      <c r="J239" s="291"/>
      <c r="K239" s="109"/>
      <c r="L239" s="198">
        <f t="shared" ref="L239:L253" si="16">(J239+G239)*K239</f>
        <v>0</v>
      </c>
      <c r="M239" s="170">
        <f t="shared" ref="M239:M253" si="17">H239*K239</f>
        <v>0</v>
      </c>
    </row>
    <row r="240" spans="2:13" ht="21" customHeight="1">
      <c r="B240" s="38">
        <f t="shared" si="14"/>
        <v>233</v>
      </c>
      <c r="C240" s="143">
        <v>201991000169</v>
      </c>
      <c r="D240" s="289">
        <v>3330701</v>
      </c>
      <c r="E240" s="263" t="s">
        <v>1303</v>
      </c>
      <c r="F240" s="215">
        <v>293</v>
      </c>
      <c r="G240" s="215">
        <v>292</v>
      </c>
      <c r="H240" s="197">
        <f t="shared" si="13"/>
        <v>-1</v>
      </c>
      <c r="J240" s="291"/>
      <c r="K240" s="109"/>
      <c r="L240" s="198">
        <f t="shared" si="16"/>
        <v>0</v>
      </c>
      <c r="M240" s="170">
        <f t="shared" si="17"/>
        <v>0</v>
      </c>
    </row>
    <row r="241" spans="2:13" ht="21" customHeight="1">
      <c r="B241" s="38">
        <f t="shared" si="14"/>
        <v>234</v>
      </c>
      <c r="C241" s="143">
        <v>201991000171</v>
      </c>
      <c r="D241" s="289">
        <v>3330801</v>
      </c>
      <c r="E241" s="263" t="s">
        <v>1304</v>
      </c>
      <c r="F241" s="215">
        <v>23</v>
      </c>
      <c r="G241" s="215">
        <v>23</v>
      </c>
      <c r="H241" s="197">
        <f t="shared" si="13"/>
        <v>0</v>
      </c>
      <c r="J241" s="291"/>
      <c r="K241" s="109"/>
      <c r="L241" s="198">
        <f t="shared" si="16"/>
        <v>0</v>
      </c>
      <c r="M241" s="170">
        <f t="shared" si="17"/>
        <v>0</v>
      </c>
    </row>
    <row r="242" spans="2:13" ht="21" customHeight="1">
      <c r="B242" s="38">
        <f t="shared" si="14"/>
        <v>235</v>
      </c>
      <c r="C242" s="143">
        <v>201991000172</v>
      </c>
      <c r="D242" s="289">
        <v>3940101</v>
      </c>
      <c r="E242" s="263" t="s">
        <v>1305</v>
      </c>
      <c r="F242" s="215">
        <v>40</v>
      </c>
      <c r="G242" s="215">
        <v>40</v>
      </c>
      <c r="H242" s="197">
        <f t="shared" si="13"/>
        <v>0</v>
      </c>
      <c r="J242" s="291"/>
      <c r="K242" s="109"/>
      <c r="L242" s="198">
        <f t="shared" si="16"/>
        <v>0</v>
      </c>
      <c r="M242" s="170">
        <f t="shared" si="17"/>
        <v>0</v>
      </c>
    </row>
    <row r="243" spans="2:13" ht="21" customHeight="1">
      <c r="B243" s="38">
        <f t="shared" si="14"/>
        <v>236</v>
      </c>
      <c r="C243" s="143">
        <v>201991000173</v>
      </c>
      <c r="D243" s="289">
        <v>3318501</v>
      </c>
      <c r="E243" s="263" t="s">
        <v>1306</v>
      </c>
      <c r="F243" s="215">
        <v>436</v>
      </c>
      <c r="G243" s="215">
        <v>436</v>
      </c>
      <c r="H243" s="197">
        <f t="shared" si="13"/>
        <v>0</v>
      </c>
      <c r="J243" s="291"/>
      <c r="K243" s="109"/>
      <c r="L243" s="198">
        <f t="shared" si="16"/>
        <v>0</v>
      </c>
      <c r="M243" s="170">
        <f t="shared" si="17"/>
        <v>0</v>
      </c>
    </row>
    <row r="244" spans="2:13" ht="21" customHeight="1">
      <c r="B244" s="38">
        <f t="shared" si="14"/>
        <v>237</v>
      </c>
      <c r="C244" s="143">
        <v>201991000174</v>
      </c>
      <c r="D244" s="289">
        <v>3318601</v>
      </c>
      <c r="E244" s="263" t="s">
        <v>1307</v>
      </c>
      <c r="F244" s="215">
        <v>340</v>
      </c>
      <c r="G244" s="215">
        <v>389</v>
      </c>
      <c r="H244" s="197">
        <f t="shared" si="13"/>
        <v>49</v>
      </c>
      <c r="J244" s="291"/>
      <c r="K244" s="109"/>
      <c r="L244" s="198">
        <f t="shared" si="16"/>
        <v>0</v>
      </c>
      <c r="M244" s="170">
        <f t="shared" si="17"/>
        <v>0</v>
      </c>
    </row>
    <row r="245" spans="2:13" ht="21" customHeight="1">
      <c r="B245" s="38">
        <f t="shared" si="14"/>
        <v>238</v>
      </c>
      <c r="C245" s="143">
        <v>201991000175</v>
      </c>
      <c r="D245" s="289">
        <v>3327701</v>
      </c>
      <c r="E245" s="263" t="s">
        <v>1308</v>
      </c>
      <c r="F245" s="215">
        <v>393</v>
      </c>
      <c r="G245" s="215">
        <v>393</v>
      </c>
      <c r="H245" s="197">
        <f t="shared" si="13"/>
        <v>0</v>
      </c>
      <c r="J245" s="291"/>
      <c r="K245" s="109"/>
      <c r="L245" s="198">
        <f t="shared" si="16"/>
        <v>0</v>
      </c>
      <c r="M245" s="170">
        <f t="shared" si="17"/>
        <v>0</v>
      </c>
    </row>
    <row r="246" spans="2:13" ht="21" customHeight="1">
      <c r="B246" s="38">
        <f t="shared" si="14"/>
        <v>239</v>
      </c>
      <c r="C246" s="143">
        <v>201991000176</v>
      </c>
      <c r="D246" s="289">
        <v>3385701</v>
      </c>
      <c r="E246" s="263" t="s">
        <v>1309</v>
      </c>
      <c r="F246" s="215">
        <v>388</v>
      </c>
      <c r="G246" s="215">
        <v>387</v>
      </c>
      <c r="H246" s="197">
        <f t="shared" si="13"/>
        <v>-1</v>
      </c>
      <c r="J246" s="291"/>
      <c r="K246" s="109"/>
      <c r="L246" s="272">
        <f>(J246+G246)*K246</f>
        <v>0</v>
      </c>
      <c r="M246" s="170">
        <f t="shared" si="17"/>
        <v>0</v>
      </c>
    </row>
    <row r="247" spans="2:13" ht="21" customHeight="1">
      <c r="B247" s="38">
        <f t="shared" si="14"/>
        <v>240</v>
      </c>
      <c r="C247" s="143">
        <v>201991000177</v>
      </c>
      <c r="D247" s="289">
        <v>3340101</v>
      </c>
      <c r="E247" s="263" t="s">
        <v>1310</v>
      </c>
      <c r="F247" s="215">
        <v>118</v>
      </c>
      <c r="G247" s="215">
        <v>118</v>
      </c>
      <c r="H247" s="197">
        <f t="shared" si="13"/>
        <v>0</v>
      </c>
      <c r="J247" s="291"/>
      <c r="K247" s="109"/>
      <c r="L247" s="198">
        <f t="shared" si="16"/>
        <v>0</v>
      </c>
      <c r="M247" s="170">
        <f t="shared" si="17"/>
        <v>0</v>
      </c>
    </row>
    <row r="248" spans="2:13" ht="21" customHeight="1">
      <c r="B248" s="38">
        <f t="shared" si="14"/>
        <v>241</v>
      </c>
      <c r="C248" s="143">
        <v>201991000178</v>
      </c>
      <c r="D248" s="289">
        <v>3246601</v>
      </c>
      <c r="E248" s="263" t="s">
        <v>426</v>
      </c>
      <c r="F248" s="215">
        <v>73</v>
      </c>
      <c r="G248" s="215">
        <v>73</v>
      </c>
      <c r="H248" s="197">
        <f t="shared" si="13"/>
        <v>0</v>
      </c>
      <c r="J248" s="291"/>
      <c r="K248" s="109"/>
      <c r="L248" s="198">
        <f t="shared" si="16"/>
        <v>0</v>
      </c>
      <c r="M248" s="170">
        <f t="shared" si="17"/>
        <v>0</v>
      </c>
    </row>
    <row r="249" spans="2:13" ht="21" customHeight="1">
      <c r="B249" s="38">
        <f t="shared" si="14"/>
        <v>242</v>
      </c>
      <c r="C249" s="143">
        <v>201991000179</v>
      </c>
      <c r="D249" s="289">
        <v>3246501</v>
      </c>
      <c r="E249" s="263" t="s">
        <v>1021</v>
      </c>
      <c r="F249" s="215">
        <v>69</v>
      </c>
      <c r="G249" s="215">
        <v>69</v>
      </c>
      <c r="H249" s="197">
        <f t="shared" si="13"/>
        <v>0</v>
      </c>
      <c r="J249" s="291"/>
      <c r="K249" s="109"/>
      <c r="L249" s="198">
        <f t="shared" si="16"/>
        <v>0</v>
      </c>
      <c r="M249" s="170">
        <f t="shared" si="17"/>
        <v>0</v>
      </c>
    </row>
    <row r="250" spans="2:13" ht="21" customHeight="1">
      <c r="B250" s="38">
        <f t="shared" si="14"/>
        <v>243</v>
      </c>
      <c r="C250" s="143">
        <v>201991000183</v>
      </c>
      <c r="D250" s="289">
        <v>1926101</v>
      </c>
      <c r="E250" s="263" t="s">
        <v>1311</v>
      </c>
      <c r="F250" s="215">
        <v>24</v>
      </c>
      <c r="G250" s="215">
        <v>24</v>
      </c>
      <c r="H250" s="197">
        <f t="shared" si="13"/>
        <v>0</v>
      </c>
      <c r="J250" s="291"/>
      <c r="K250" s="109"/>
      <c r="L250" s="198">
        <f t="shared" si="16"/>
        <v>0</v>
      </c>
      <c r="M250" s="170">
        <f t="shared" si="17"/>
        <v>0</v>
      </c>
    </row>
    <row r="251" spans="2:13" ht="21" customHeight="1">
      <c r="B251" s="38">
        <f t="shared" si="14"/>
        <v>244</v>
      </c>
      <c r="C251" s="143">
        <v>201991000188</v>
      </c>
      <c r="D251" s="289">
        <v>1410101</v>
      </c>
      <c r="E251" s="263" t="s">
        <v>1312</v>
      </c>
      <c r="F251" s="215">
        <v>16</v>
      </c>
      <c r="G251" s="215">
        <v>16</v>
      </c>
      <c r="H251" s="197">
        <f t="shared" si="13"/>
        <v>0</v>
      </c>
      <c r="J251" s="291"/>
      <c r="K251" s="109"/>
      <c r="L251" s="198">
        <f t="shared" si="16"/>
        <v>0</v>
      </c>
      <c r="M251" s="170">
        <f t="shared" si="17"/>
        <v>0</v>
      </c>
    </row>
    <row r="252" spans="2:13" ht="21" customHeight="1">
      <c r="B252" s="38">
        <f t="shared" si="14"/>
        <v>245</v>
      </c>
      <c r="C252" s="143">
        <v>201993000001</v>
      </c>
      <c r="D252" s="289">
        <v>1918601</v>
      </c>
      <c r="E252" s="263" t="s">
        <v>1313</v>
      </c>
      <c r="F252" s="215">
        <v>10</v>
      </c>
      <c r="G252" s="215">
        <v>10</v>
      </c>
      <c r="H252" s="197">
        <f t="shared" si="13"/>
        <v>0</v>
      </c>
      <c r="J252" s="291"/>
      <c r="K252" s="109"/>
      <c r="L252" s="198">
        <f t="shared" si="16"/>
        <v>0</v>
      </c>
      <c r="M252" s="170">
        <f t="shared" si="17"/>
        <v>0</v>
      </c>
    </row>
    <row r="253" spans="2:13" ht="21" customHeight="1">
      <c r="B253" s="38">
        <f t="shared" si="14"/>
        <v>246</v>
      </c>
      <c r="C253" s="143">
        <v>201993000002</v>
      </c>
      <c r="D253" s="289">
        <v>1918701</v>
      </c>
      <c r="E253" s="263" t="s">
        <v>1314</v>
      </c>
      <c r="F253" s="215">
        <v>58</v>
      </c>
      <c r="G253" s="215">
        <v>58</v>
      </c>
      <c r="H253" s="197">
        <f t="shared" si="13"/>
        <v>0</v>
      </c>
      <c r="J253" s="291"/>
      <c r="K253" s="109"/>
      <c r="L253" s="198">
        <f t="shared" si="16"/>
        <v>0</v>
      </c>
      <c r="M253" s="170">
        <f t="shared" si="17"/>
        <v>0</v>
      </c>
    </row>
    <row r="254" spans="2:13" ht="21" customHeight="1">
      <c r="B254" s="38">
        <f t="shared" si="14"/>
        <v>247</v>
      </c>
      <c r="C254" s="143">
        <v>201993000003</v>
      </c>
      <c r="D254" s="289">
        <v>1918801</v>
      </c>
      <c r="E254" s="263" t="s">
        <v>1315</v>
      </c>
      <c r="F254" s="215">
        <v>375</v>
      </c>
      <c r="G254" s="215">
        <v>375</v>
      </c>
      <c r="H254" s="197">
        <f t="shared" si="13"/>
        <v>0</v>
      </c>
      <c r="J254" s="291"/>
      <c r="K254" s="109"/>
      <c r="L254" s="198"/>
      <c r="M254" s="170"/>
    </row>
    <row r="255" spans="2:13" ht="21" customHeight="1">
      <c r="B255" s="38">
        <f t="shared" si="14"/>
        <v>248</v>
      </c>
      <c r="C255" s="143">
        <v>201993000004</v>
      </c>
      <c r="D255" s="289">
        <v>1918901</v>
      </c>
      <c r="E255" s="263" t="s">
        <v>1316</v>
      </c>
      <c r="F255" s="215">
        <v>28</v>
      </c>
      <c r="G255" s="215">
        <v>28</v>
      </c>
      <c r="H255" s="197">
        <f t="shared" si="13"/>
        <v>0</v>
      </c>
      <c r="J255" s="291"/>
      <c r="K255" s="109"/>
      <c r="L255" s="198">
        <f t="shared" si="12"/>
        <v>0</v>
      </c>
      <c r="M255" s="170">
        <f t="shared" si="15"/>
        <v>0</v>
      </c>
    </row>
    <row r="256" spans="2:13" ht="21" customHeight="1">
      <c r="B256" s="38">
        <f t="shared" si="14"/>
        <v>249</v>
      </c>
      <c r="C256" s="143">
        <v>201993000005</v>
      </c>
      <c r="D256" s="289">
        <v>1919001</v>
      </c>
      <c r="E256" s="263" t="s">
        <v>1317</v>
      </c>
      <c r="F256" s="215">
        <v>39</v>
      </c>
      <c r="G256" s="215">
        <v>39</v>
      </c>
      <c r="H256" s="197">
        <f t="shared" si="13"/>
        <v>0</v>
      </c>
      <c r="J256" s="291"/>
      <c r="K256" s="109"/>
      <c r="L256" s="198">
        <f t="shared" si="12"/>
        <v>0</v>
      </c>
      <c r="M256" s="170">
        <f t="shared" si="15"/>
        <v>0</v>
      </c>
    </row>
    <row r="257" spans="2:13" ht="21" customHeight="1">
      <c r="B257" s="38">
        <f t="shared" si="14"/>
        <v>250</v>
      </c>
      <c r="C257" s="143">
        <v>201993000006</v>
      </c>
      <c r="D257" s="289">
        <v>1919101</v>
      </c>
      <c r="E257" s="263" t="s">
        <v>1318</v>
      </c>
      <c r="F257" s="215">
        <v>96</v>
      </c>
      <c r="G257" s="215">
        <v>96</v>
      </c>
      <c r="H257" s="197">
        <f t="shared" si="13"/>
        <v>0</v>
      </c>
      <c r="J257" s="291"/>
      <c r="K257" s="109"/>
      <c r="L257" s="198">
        <f t="shared" si="12"/>
        <v>0</v>
      </c>
      <c r="M257" s="170">
        <f t="shared" si="15"/>
        <v>0</v>
      </c>
    </row>
    <row r="258" spans="2:13" ht="21" customHeight="1">
      <c r="B258" s="38">
        <f t="shared" si="14"/>
        <v>251</v>
      </c>
      <c r="C258" s="143">
        <v>201993000007</v>
      </c>
      <c r="D258" s="289">
        <v>1919201</v>
      </c>
      <c r="E258" s="263" t="s">
        <v>1319</v>
      </c>
      <c r="F258" s="215">
        <v>12</v>
      </c>
      <c r="G258" s="215">
        <v>12</v>
      </c>
      <c r="H258" s="197">
        <f t="shared" si="13"/>
        <v>0</v>
      </c>
      <c r="J258" s="291"/>
      <c r="K258" s="109"/>
      <c r="L258" s="198">
        <f t="shared" si="12"/>
        <v>0</v>
      </c>
      <c r="M258" s="170">
        <f t="shared" si="15"/>
        <v>0</v>
      </c>
    </row>
    <row r="259" spans="2:13" ht="21" customHeight="1">
      <c r="B259" s="38">
        <f t="shared" si="14"/>
        <v>252</v>
      </c>
      <c r="C259" s="143">
        <v>201993000008</v>
      </c>
      <c r="D259" s="289">
        <v>1919301</v>
      </c>
      <c r="E259" s="263" t="s">
        <v>1320</v>
      </c>
      <c r="F259" s="215">
        <v>44</v>
      </c>
      <c r="G259" s="215">
        <v>44</v>
      </c>
      <c r="H259" s="197">
        <f t="shared" si="13"/>
        <v>0</v>
      </c>
      <c r="J259" s="291"/>
      <c r="K259" s="109"/>
      <c r="L259" s="198">
        <f t="shared" si="12"/>
        <v>0</v>
      </c>
      <c r="M259" s="170">
        <f t="shared" si="15"/>
        <v>0</v>
      </c>
    </row>
    <row r="260" spans="2:13" ht="21" customHeight="1">
      <c r="B260" s="38">
        <f t="shared" si="14"/>
        <v>253</v>
      </c>
      <c r="C260" s="143">
        <v>201993000009</v>
      </c>
      <c r="D260" s="289">
        <v>1919401</v>
      </c>
      <c r="E260" s="263" t="s">
        <v>1321</v>
      </c>
      <c r="F260" s="215">
        <v>36</v>
      </c>
      <c r="G260" s="215">
        <v>36</v>
      </c>
      <c r="H260" s="197">
        <f t="shared" si="13"/>
        <v>0</v>
      </c>
      <c r="J260" s="291"/>
      <c r="K260" s="109"/>
      <c r="L260" s="198">
        <f t="shared" si="12"/>
        <v>0</v>
      </c>
      <c r="M260" s="170">
        <f t="shared" si="15"/>
        <v>0</v>
      </c>
    </row>
    <row r="261" spans="2:13" ht="21" customHeight="1">
      <c r="B261" s="38">
        <f t="shared" si="14"/>
        <v>254</v>
      </c>
      <c r="C261" s="143">
        <v>201993000010</v>
      </c>
      <c r="D261" s="289">
        <v>1919501</v>
      </c>
      <c r="E261" s="263" t="s">
        <v>1322</v>
      </c>
      <c r="F261" s="215">
        <v>2</v>
      </c>
      <c r="G261" s="215">
        <v>2</v>
      </c>
      <c r="H261" s="197">
        <f t="shared" si="13"/>
        <v>0</v>
      </c>
      <c r="J261" s="291"/>
      <c r="K261" s="109"/>
      <c r="L261" s="198">
        <f t="shared" si="12"/>
        <v>0</v>
      </c>
      <c r="M261" s="170">
        <f t="shared" si="15"/>
        <v>0</v>
      </c>
    </row>
    <row r="262" spans="2:13" ht="21" customHeight="1">
      <c r="B262" s="38">
        <f t="shared" si="14"/>
        <v>255</v>
      </c>
      <c r="C262" s="143">
        <v>201993000011</v>
      </c>
      <c r="D262" s="289">
        <v>1919601</v>
      </c>
      <c r="E262" s="263" t="s">
        <v>1323</v>
      </c>
      <c r="F262" s="215">
        <v>97</v>
      </c>
      <c r="G262" s="215">
        <v>97</v>
      </c>
      <c r="H262" s="197">
        <f t="shared" si="13"/>
        <v>0</v>
      </c>
      <c r="J262" s="291"/>
      <c r="K262" s="109"/>
      <c r="L262" s="198">
        <f t="shared" si="12"/>
        <v>0</v>
      </c>
      <c r="M262" s="170">
        <f t="shared" si="15"/>
        <v>0</v>
      </c>
    </row>
    <row r="263" spans="2:13" ht="21" customHeight="1">
      <c r="B263" s="38">
        <f t="shared" si="14"/>
        <v>256</v>
      </c>
      <c r="C263" s="143">
        <v>201993000012</v>
      </c>
      <c r="D263" s="289">
        <v>1919701</v>
      </c>
      <c r="E263" s="196" t="s">
        <v>1324</v>
      </c>
      <c r="F263" s="215">
        <v>2</v>
      </c>
      <c r="G263" s="215">
        <v>2</v>
      </c>
      <c r="H263" s="197">
        <f t="shared" si="13"/>
        <v>0</v>
      </c>
      <c r="J263" s="291"/>
      <c r="K263" s="109"/>
      <c r="L263" s="198">
        <f t="shared" si="12"/>
        <v>0</v>
      </c>
      <c r="M263" s="170">
        <f t="shared" si="15"/>
        <v>0</v>
      </c>
    </row>
    <row r="264" spans="2:13" ht="21" customHeight="1">
      <c r="B264" s="38">
        <f t="shared" si="14"/>
        <v>257</v>
      </c>
      <c r="C264" s="143">
        <v>201993000013</v>
      </c>
      <c r="D264" s="289">
        <v>1919801</v>
      </c>
      <c r="E264" s="263" t="s">
        <v>1325</v>
      </c>
      <c r="F264" s="215">
        <v>12</v>
      </c>
      <c r="G264" s="215">
        <v>12</v>
      </c>
      <c r="H264" s="197">
        <f t="shared" si="13"/>
        <v>0</v>
      </c>
      <c r="J264" s="291"/>
      <c r="K264" s="109"/>
      <c r="L264" s="198">
        <f t="shared" si="12"/>
        <v>0</v>
      </c>
      <c r="M264" s="170">
        <f t="shared" si="15"/>
        <v>0</v>
      </c>
    </row>
    <row r="265" spans="2:13" ht="21" customHeight="1">
      <c r="B265" s="38">
        <f t="shared" si="14"/>
        <v>258</v>
      </c>
      <c r="C265" s="143">
        <v>201993000014</v>
      </c>
      <c r="D265" s="289">
        <v>1919901</v>
      </c>
      <c r="E265" s="263" t="s">
        <v>1326</v>
      </c>
      <c r="F265" s="215">
        <v>137</v>
      </c>
      <c r="G265" s="215">
        <v>137</v>
      </c>
      <c r="H265" s="197">
        <f t="shared" si="13"/>
        <v>0</v>
      </c>
      <c r="J265" s="291"/>
      <c r="K265" s="109"/>
      <c r="L265" s="198">
        <f t="shared" si="12"/>
        <v>0</v>
      </c>
      <c r="M265" s="170">
        <f t="shared" si="15"/>
        <v>0</v>
      </c>
    </row>
    <row r="266" spans="2:13" ht="21" customHeight="1">
      <c r="B266" s="38">
        <f t="shared" si="14"/>
        <v>259</v>
      </c>
      <c r="C266" s="143">
        <v>201993000015</v>
      </c>
      <c r="D266" s="289">
        <v>1920001</v>
      </c>
      <c r="E266" s="263" t="s">
        <v>1327</v>
      </c>
      <c r="F266" s="215">
        <v>201</v>
      </c>
      <c r="G266" s="215">
        <v>201</v>
      </c>
      <c r="H266" s="197">
        <f t="shared" si="13"/>
        <v>0</v>
      </c>
      <c r="J266" s="291"/>
      <c r="K266" s="109"/>
      <c r="L266" s="198">
        <f t="shared" si="12"/>
        <v>0</v>
      </c>
      <c r="M266" s="170">
        <f t="shared" si="15"/>
        <v>0</v>
      </c>
    </row>
    <row r="267" spans="2:13" ht="21" customHeight="1">
      <c r="B267" s="38">
        <f t="shared" ref="B267:B306" si="18">B266+1</f>
        <v>260</v>
      </c>
      <c r="C267" s="143">
        <v>201993000019</v>
      </c>
      <c r="D267" s="289">
        <v>1917901</v>
      </c>
      <c r="E267" s="263" t="s">
        <v>1328</v>
      </c>
      <c r="F267" s="215">
        <v>835</v>
      </c>
      <c r="G267" s="215">
        <v>835</v>
      </c>
      <c r="H267" s="197">
        <f t="shared" si="13"/>
        <v>0</v>
      </c>
      <c r="J267" s="291"/>
      <c r="K267" s="109"/>
      <c r="L267" s="198">
        <f t="shared" si="12"/>
        <v>0</v>
      </c>
      <c r="M267" s="170">
        <f t="shared" si="15"/>
        <v>0</v>
      </c>
    </row>
    <row r="268" spans="2:13" ht="21" customHeight="1">
      <c r="B268" s="38">
        <f t="shared" si="18"/>
        <v>261</v>
      </c>
      <c r="C268" s="143">
        <v>201993000020</v>
      </c>
      <c r="D268" s="289">
        <v>1918001</v>
      </c>
      <c r="E268" s="263" t="s">
        <v>1329</v>
      </c>
      <c r="F268" s="215">
        <v>1520</v>
      </c>
      <c r="G268" s="215">
        <v>1520</v>
      </c>
      <c r="H268" s="197">
        <f t="shared" si="13"/>
        <v>0</v>
      </c>
      <c r="J268" s="291"/>
      <c r="K268" s="109"/>
      <c r="L268" s="198">
        <f t="shared" ref="L268:L277" si="19">(J268+G268)*K268</f>
        <v>0</v>
      </c>
      <c r="M268" s="170">
        <f t="shared" si="15"/>
        <v>0</v>
      </c>
    </row>
    <row r="269" spans="2:13" ht="21" customHeight="1">
      <c r="B269" s="38">
        <f t="shared" si="18"/>
        <v>262</v>
      </c>
      <c r="C269" s="143">
        <v>202008000040</v>
      </c>
      <c r="D269" s="289" t="s">
        <v>1153</v>
      </c>
      <c r="E269" s="263" t="s">
        <v>1330</v>
      </c>
      <c r="F269" s="215">
        <v>48</v>
      </c>
      <c r="G269" s="215">
        <v>48</v>
      </c>
      <c r="H269" s="197">
        <f t="shared" si="13"/>
        <v>0</v>
      </c>
      <c r="J269" s="291"/>
      <c r="K269" s="109"/>
      <c r="L269" s="198">
        <f t="shared" si="19"/>
        <v>0</v>
      </c>
      <c r="M269" s="170">
        <f t="shared" si="15"/>
        <v>0</v>
      </c>
    </row>
    <row r="270" spans="2:13" ht="21" customHeight="1">
      <c r="B270" s="38">
        <f t="shared" si="18"/>
        <v>263</v>
      </c>
      <c r="C270" s="143">
        <v>202008000041</v>
      </c>
      <c r="D270" s="289" t="s">
        <v>1153</v>
      </c>
      <c r="E270" s="263" t="s">
        <v>1331</v>
      </c>
      <c r="F270" s="215">
        <v>47</v>
      </c>
      <c r="G270" s="215">
        <v>47</v>
      </c>
      <c r="H270" s="197">
        <f t="shared" si="13"/>
        <v>0</v>
      </c>
      <c r="J270" s="291"/>
      <c r="K270" s="109"/>
      <c r="L270" s="198">
        <f t="shared" si="19"/>
        <v>0</v>
      </c>
      <c r="M270" s="170">
        <f t="shared" si="15"/>
        <v>0</v>
      </c>
    </row>
    <row r="271" spans="2:13" ht="21" customHeight="1">
      <c r="B271" s="38">
        <f t="shared" si="18"/>
        <v>264</v>
      </c>
      <c r="C271" s="143">
        <v>202008000057</v>
      </c>
      <c r="D271" s="289" t="s">
        <v>1332</v>
      </c>
      <c r="E271" s="263" t="s">
        <v>1333</v>
      </c>
      <c r="F271" s="215">
        <v>66</v>
      </c>
      <c r="G271" s="215">
        <v>67</v>
      </c>
      <c r="H271" s="197">
        <f t="shared" si="13"/>
        <v>1</v>
      </c>
      <c r="J271" s="291"/>
      <c r="K271" s="109"/>
      <c r="L271" s="198">
        <f t="shared" si="19"/>
        <v>0</v>
      </c>
      <c r="M271" s="170">
        <f t="shared" si="15"/>
        <v>0</v>
      </c>
    </row>
    <row r="272" spans="2:13" ht="21" customHeight="1">
      <c r="B272" s="38">
        <f t="shared" si="18"/>
        <v>265</v>
      </c>
      <c r="C272" s="143">
        <v>202008000058</v>
      </c>
      <c r="D272" s="289">
        <v>3409301</v>
      </c>
      <c r="E272" s="263" t="s">
        <v>315</v>
      </c>
      <c r="F272" s="215">
        <v>21731</v>
      </c>
      <c r="G272" s="215">
        <v>21691</v>
      </c>
      <c r="H272" s="197">
        <f t="shared" si="13"/>
        <v>-40</v>
      </c>
      <c r="J272" s="291"/>
      <c r="K272" s="109"/>
      <c r="L272" s="198">
        <f t="shared" si="19"/>
        <v>0</v>
      </c>
      <c r="M272" s="170">
        <f t="shared" si="15"/>
        <v>0</v>
      </c>
    </row>
    <row r="273" spans="2:13" ht="21" customHeight="1">
      <c r="B273" s="38">
        <f t="shared" si="18"/>
        <v>266</v>
      </c>
      <c r="C273" s="143">
        <v>202008000064</v>
      </c>
      <c r="D273" s="289">
        <v>3393101</v>
      </c>
      <c r="E273" s="263" t="s">
        <v>1334</v>
      </c>
      <c r="F273" s="215">
        <v>163</v>
      </c>
      <c r="G273" s="215">
        <v>163</v>
      </c>
      <c r="H273" s="197">
        <f t="shared" si="13"/>
        <v>0</v>
      </c>
      <c r="J273" s="291"/>
      <c r="K273" s="109"/>
      <c r="L273" s="198">
        <f t="shared" si="19"/>
        <v>0</v>
      </c>
      <c r="M273" s="170">
        <f t="shared" si="15"/>
        <v>0</v>
      </c>
    </row>
    <row r="274" spans="2:13" ht="21" customHeight="1">
      <c r="B274" s="38">
        <f t="shared" si="18"/>
        <v>267</v>
      </c>
      <c r="C274" s="143"/>
      <c r="D274" s="289"/>
      <c r="E274" s="263"/>
      <c r="F274" s="215"/>
      <c r="G274" s="215"/>
      <c r="H274" s="197">
        <f t="shared" si="13"/>
        <v>0</v>
      </c>
      <c r="J274" s="291"/>
      <c r="K274" s="109"/>
      <c r="L274" s="198">
        <f t="shared" si="19"/>
        <v>0</v>
      </c>
      <c r="M274" s="170">
        <f t="shared" si="15"/>
        <v>0</v>
      </c>
    </row>
    <row r="275" spans="2:13" ht="21" customHeight="1">
      <c r="B275" s="38">
        <f t="shared" si="18"/>
        <v>268</v>
      </c>
      <c r="C275" s="143"/>
      <c r="D275" s="289"/>
      <c r="E275" s="263"/>
      <c r="F275" s="215"/>
      <c r="G275" s="215"/>
      <c r="H275" s="197">
        <f t="shared" si="13"/>
        <v>0</v>
      </c>
      <c r="J275" s="291"/>
      <c r="K275" s="109"/>
      <c r="L275" s="198">
        <f t="shared" si="19"/>
        <v>0</v>
      </c>
      <c r="M275" s="170">
        <f t="shared" si="15"/>
        <v>0</v>
      </c>
    </row>
    <row r="276" spans="2:13" ht="21" customHeight="1">
      <c r="B276" s="38">
        <f t="shared" si="18"/>
        <v>269</v>
      </c>
      <c r="C276" s="143"/>
      <c r="D276" s="289"/>
      <c r="E276" s="263"/>
      <c r="F276" s="215"/>
      <c r="G276" s="215"/>
      <c r="H276" s="197">
        <f t="shared" si="13"/>
        <v>0</v>
      </c>
      <c r="J276" s="291"/>
      <c r="K276" s="109"/>
      <c r="L276" s="198">
        <f t="shared" si="19"/>
        <v>0</v>
      </c>
      <c r="M276" s="170">
        <f t="shared" si="15"/>
        <v>0</v>
      </c>
    </row>
    <row r="277" spans="2:13" ht="21" customHeight="1">
      <c r="B277" s="38">
        <f t="shared" si="18"/>
        <v>270</v>
      </c>
      <c r="C277" s="143"/>
      <c r="D277" s="289"/>
      <c r="E277" s="263"/>
      <c r="F277" s="215"/>
      <c r="G277" s="215"/>
      <c r="H277" s="197">
        <f t="shared" si="13"/>
        <v>0</v>
      </c>
      <c r="J277" s="291"/>
      <c r="K277" s="109"/>
      <c r="L277" s="198">
        <f t="shared" si="19"/>
        <v>0</v>
      </c>
      <c r="M277" s="170">
        <f t="shared" si="15"/>
        <v>0</v>
      </c>
    </row>
    <row r="278" spans="2:13" ht="21" customHeight="1">
      <c r="B278" s="38">
        <f t="shared" si="18"/>
        <v>271</v>
      </c>
      <c r="C278" s="143"/>
      <c r="D278" s="289"/>
      <c r="E278" s="263"/>
      <c r="F278" s="215"/>
      <c r="G278" s="215"/>
      <c r="H278" s="197">
        <f t="shared" ref="H278:H306" si="20">G278-F278</f>
        <v>0</v>
      </c>
      <c r="J278" s="291"/>
      <c r="K278" s="109"/>
      <c r="L278" s="198"/>
      <c r="M278" s="170"/>
    </row>
    <row r="279" spans="2:13" ht="21" customHeight="1">
      <c r="B279" s="38">
        <f t="shared" si="18"/>
        <v>272</v>
      </c>
      <c r="C279" s="143"/>
      <c r="D279" s="289"/>
      <c r="E279" s="263"/>
      <c r="F279" s="215"/>
      <c r="G279" s="215"/>
      <c r="H279" s="197">
        <f t="shared" si="20"/>
        <v>0</v>
      </c>
      <c r="J279" s="291"/>
      <c r="K279" s="109"/>
      <c r="L279" s="198"/>
      <c r="M279" s="170"/>
    </row>
    <row r="280" spans="2:13" ht="21" customHeight="1">
      <c r="B280" s="38">
        <f t="shared" si="18"/>
        <v>273</v>
      </c>
      <c r="C280" s="143"/>
      <c r="D280" s="289"/>
      <c r="E280" s="263"/>
      <c r="F280" s="215"/>
      <c r="G280" s="215"/>
      <c r="H280" s="197">
        <f t="shared" si="20"/>
        <v>0</v>
      </c>
      <c r="J280" s="291"/>
      <c r="K280" s="109"/>
      <c r="L280" s="198"/>
      <c r="M280" s="170"/>
    </row>
    <row r="281" spans="2:13" ht="21" customHeight="1">
      <c r="B281" s="38">
        <f t="shared" si="18"/>
        <v>274</v>
      </c>
      <c r="C281" s="143"/>
      <c r="D281" s="289"/>
      <c r="E281" s="263"/>
      <c r="F281" s="215"/>
      <c r="G281" s="215"/>
      <c r="H281" s="197">
        <f t="shared" si="20"/>
        <v>0</v>
      </c>
      <c r="J281" s="291"/>
      <c r="K281" s="109"/>
      <c r="L281" s="198"/>
      <c r="M281" s="170"/>
    </row>
    <row r="282" spans="2:13" ht="21" customHeight="1">
      <c r="B282" s="38">
        <f t="shared" si="18"/>
        <v>275</v>
      </c>
      <c r="C282" s="143"/>
      <c r="D282" s="289"/>
      <c r="E282" s="263"/>
      <c r="F282" s="215"/>
      <c r="G282" s="215"/>
      <c r="H282" s="197"/>
      <c r="J282" s="291"/>
      <c r="K282" s="109"/>
      <c r="L282" s="198"/>
      <c r="M282" s="170"/>
    </row>
    <row r="283" spans="2:13" ht="21" customHeight="1">
      <c r="B283" s="38">
        <f t="shared" si="18"/>
        <v>276</v>
      </c>
      <c r="C283" s="143"/>
      <c r="D283" s="289"/>
      <c r="E283" s="263"/>
      <c r="F283" s="215"/>
      <c r="G283" s="215"/>
      <c r="H283" s="197"/>
      <c r="J283" s="291"/>
      <c r="K283" s="109"/>
      <c r="L283" s="198"/>
      <c r="M283" s="170"/>
    </row>
    <row r="284" spans="2:13" ht="21" customHeight="1">
      <c r="B284" s="38">
        <f t="shared" si="18"/>
        <v>277</v>
      </c>
      <c r="C284" s="143"/>
      <c r="D284" s="289"/>
      <c r="E284" s="263"/>
      <c r="F284" s="215"/>
      <c r="G284" s="215"/>
      <c r="H284" s="197"/>
      <c r="J284" s="291"/>
      <c r="K284" s="109"/>
      <c r="L284" s="198"/>
      <c r="M284" s="170"/>
    </row>
    <row r="285" spans="2:13" ht="21" customHeight="1">
      <c r="B285" s="38">
        <f t="shared" si="18"/>
        <v>278</v>
      </c>
      <c r="C285" s="143"/>
      <c r="D285" s="289"/>
      <c r="E285" s="263"/>
      <c r="F285" s="215"/>
      <c r="G285" s="215"/>
      <c r="H285" s="197"/>
      <c r="J285" s="291"/>
      <c r="K285" s="109"/>
      <c r="L285" s="198"/>
      <c r="M285" s="170"/>
    </row>
    <row r="286" spans="2:13" ht="21" customHeight="1">
      <c r="B286" s="38">
        <f t="shared" si="18"/>
        <v>279</v>
      </c>
      <c r="C286" s="143"/>
      <c r="D286" s="289"/>
      <c r="E286" s="263"/>
      <c r="F286" s="215"/>
      <c r="G286" s="215"/>
      <c r="H286" s="197"/>
      <c r="J286" s="291"/>
      <c r="K286" s="109"/>
      <c r="L286" s="198"/>
      <c r="M286" s="170"/>
    </row>
    <row r="287" spans="2:13" ht="21" customHeight="1">
      <c r="B287" s="38">
        <f t="shared" si="18"/>
        <v>280</v>
      </c>
      <c r="C287" s="143"/>
      <c r="D287" s="289"/>
      <c r="E287" s="263"/>
      <c r="F287" s="215"/>
      <c r="G287" s="215"/>
      <c r="H287" s="197"/>
      <c r="J287" s="291"/>
      <c r="K287" s="109"/>
      <c r="L287" s="198"/>
      <c r="M287" s="170"/>
    </row>
    <row r="288" spans="2:13" ht="21" customHeight="1">
      <c r="B288" s="38">
        <f t="shared" si="18"/>
        <v>281</v>
      </c>
      <c r="C288" s="143"/>
      <c r="D288" s="289"/>
      <c r="E288" s="263"/>
      <c r="F288" s="215"/>
      <c r="G288" s="215"/>
      <c r="H288" s="197"/>
      <c r="J288" s="291"/>
      <c r="K288" s="109"/>
      <c r="L288" s="198"/>
      <c r="M288" s="170"/>
    </row>
    <row r="289" spans="2:13" ht="21" customHeight="1">
      <c r="B289" s="38">
        <f t="shared" si="18"/>
        <v>282</v>
      </c>
      <c r="C289" s="143"/>
      <c r="D289" s="289"/>
      <c r="E289" s="263"/>
      <c r="F289" s="215"/>
      <c r="G289" s="215"/>
      <c r="H289" s="197"/>
      <c r="J289" s="291"/>
      <c r="K289" s="109"/>
      <c r="L289" s="198"/>
      <c r="M289" s="170"/>
    </row>
    <row r="290" spans="2:13" ht="21" customHeight="1">
      <c r="B290" s="38">
        <f t="shared" si="18"/>
        <v>283</v>
      </c>
      <c r="C290" s="143"/>
      <c r="D290" s="289"/>
      <c r="E290" s="263"/>
      <c r="F290" s="215"/>
      <c r="G290" s="215"/>
      <c r="H290" s="197"/>
      <c r="J290" s="291"/>
      <c r="K290" s="109"/>
      <c r="L290" s="198"/>
      <c r="M290" s="170"/>
    </row>
    <row r="291" spans="2:13" ht="21" customHeight="1">
      <c r="B291" s="38">
        <f t="shared" si="18"/>
        <v>284</v>
      </c>
      <c r="C291" s="143"/>
      <c r="D291" s="289"/>
      <c r="E291" s="263"/>
      <c r="F291" s="215"/>
      <c r="G291" s="215"/>
      <c r="H291" s="197"/>
      <c r="J291" s="291"/>
      <c r="K291" s="109"/>
      <c r="L291" s="198"/>
      <c r="M291" s="170"/>
    </row>
    <row r="292" spans="2:13" ht="21" customHeight="1">
      <c r="B292" s="38">
        <f t="shared" si="18"/>
        <v>285</v>
      </c>
      <c r="C292" s="143"/>
      <c r="D292" s="289"/>
      <c r="E292" s="263"/>
      <c r="F292" s="215"/>
      <c r="G292" s="215"/>
      <c r="H292" s="197"/>
      <c r="J292" s="291"/>
      <c r="K292" s="109"/>
      <c r="L292" s="198"/>
      <c r="M292" s="170"/>
    </row>
    <row r="293" spans="2:13" ht="21" customHeight="1">
      <c r="B293" s="38">
        <f t="shared" si="18"/>
        <v>286</v>
      </c>
      <c r="C293" s="143"/>
      <c r="D293" s="289"/>
      <c r="E293" s="263"/>
      <c r="F293" s="215"/>
      <c r="G293" s="215"/>
      <c r="H293" s="197"/>
      <c r="J293" s="291"/>
      <c r="K293" s="109"/>
      <c r="L293" s="198"/>
      <c r="M293" s="170"/>
    </row>
    <row r="294" spans="2:13" ht="21" customHeight="1">
      <c r="B294" s="38">
        <f t="shared" si="18"/>
        <v>287</v>
      </c>
      <c r="C294" s="143"/>
      <c r="D294" s="289"/>
      <c r="E294" s="263"/>
      <c r="F294" s="215"/>
      <c r="G294" s="215"/>
      <c r="H294" s="197"/>
      <c r="J294" s="291"/>
      <c r="K294" s="109"/>
      <c r="L294" s="198"/>
      <c r="M294" s="170"/>
    </row>
    <row r="295" spans="2:13" ht="21" customHeight="1">
      <c r="B295" s="38">
        <f t="shared" si="18"/>
        <v>288</v>
      </c>
      <c r="C295" s="143"/>
      <c r="D295" s="289"/>
      <c r="E295" s="263"/>
      <c r="F295" s="215"/>
      <c r="G295" s="215"/>
      <c r="H295" s="197"/>
      <c r="J295" s="291"/>
      <c r="K295" s="109"/>
      <c r="L295" s="198"/>
      <c r="M295" s="170"/>
    </row>
    <row r="296" spans="2:13" ht="21" customHeight="1">
      <c r="B296" s="38">
        <f t="shared" si="18"/>
        <v>289</v>
      </c>
      <c r="C296" s="143"/>
      <c r="D296" s="289"/>
      <c r="E296" s="263"/>
      <c r="F296" s="215"/>
      <c r="G296" s="215"/>
      <c r="H296" s="197"/>
      <c r="J296" s="291"/>
      <c r="K296" s="109"/>
      <c r="L296" s="198"/>
      <c r="M296" s="170"/>
    </row>
    <row r="297" spans="2:13" ht="21" customHeight="1">
      <c r="B297" s="38">
        <f t="shared" si="18"/>
        <v>290</v>
      </c>
      <c r="C297" s="143"/>
      <c r="D297" s="289"/>
      <c r="E297" s="263"/>
      <c r="F297" s="215"/>
      <c r="G297" s="215"/>
      <c r="H297" s="197"/>
      <c r="J297" s="291"/>
      <c r="K297" s="109"/>
      <c r="L297" s="198"/>
      <c r="M297" s="170"/>
    </row>
    <row r="298" spans="2:13" ht="21" customHeight="1">
      <c r="B298" s="38">
        <f t="shared" si="18"/>
        <v>291</v>
      </c>
      <c r="C298" s="143"/>
      <c r="D298" s="289"/>
      <c r="E298" s="263"/>
      <c r="F298" s="215"/>
      <c r="G298" s="215"/>
      <c r="H298" s="197">
        <f t="shared" si="20"/>
        <v>0</v>
      </c>
      <c r="J298" s="291"/>
      <c r="K298" s="109"/>
      <c r="L298" s="198"/>
      <c r="M298" s="170"/>
    </row>
    <row r="299" spans="2:13" ht="21" customHeight="1">
      <c r="B299" s="38">
        <f t="shared" si="18"/>
        <v>292</v>
      </c>
      <c r="C299" s="143"/>
      <c r="D299" s="289"/>
      <c r="E299" s="263"/>
      <c r="F299" s="215"/>
      <c r="G299" s="215"/>
      <c r="H299" s="197">
        <f t="shared" si="20"/>
        <v>0</v>
      </c>
      <c r="J299" s="291"/>
      <c r="K299" s="109"/>
      <c r="L299" s="198"/>
      <c r="M299" s="170"/>
    </row>
    <row r="300" spans="2:13" ht="21" customHeight="1">
      <c r="B300" s="38">
        <f t="shared" si="18"/>
        <v>293</v>
      </c>
      <c r="C300" s="143"/>
      <c r="D300" s="289"/>
      <c r="E300" s="263"/>
      <c r="F300" s="215"/>
      <c r="G300" s="215"/>
      <c r="H300" s="197">
        <f t="shared" si="20"/>
        <v>0</v>
      </c>
      <c r="J300" s="291"/>
      <c r="K300" s="109"/>
      <c r="L300" s="198"/>
      <c r="M300" s="170"/>
    </row>
    <row r="301" spans="2:13" ht="21" customHeight="1">
      <c r="B301" s="38">
        <f t="shared" si="18"/>
        <v>294</v>
      </c>
      <c r="C301" s="143"/>
      <c r="D301" s="289"/>
      <c r="E301" s="263"/>
      <c r="F301" s="215"/>
      <c r="G301" s="215"/>
      <c r="H301" s="197">
        <f t="shared" si="20"/>
        <v>0</v>
      </c>
      <c r="J301" s="291"/>
      <c r="K301" s="109"/>
      <c r="L301" s="198"/>
      <c r="M301" s="170"/>
    </row>
    <row r="302" spans="2:13" ht="21" customHeight="1">
      <c r="B302" s="38">
        <f t="shared" si="18"/>
        <v>295</v>
      </c>
      <c r="C302" s="143"/>
      <c r="D302" s="289"/>
      <c r="E302" s="263"/>
      <c r="F302" s="215"/>
      <c r="G302" s="215"/>
      <c r="H302" s="197">
        <f t="shared" si="20"/>
        <v>0</v>
      </c>
      <c r="J302" s="291"/>
      <c r="K302" s="109"/>
      <c r="L302" s="198"/>
      <c r="M302" s="170"/>
    </row>
    <row r="303" spans="2:13" ht="21" customHeight="1">
      <c r="B303" s="38">
        <f t="shared" si="18"/>
        <v>296</v>
      </c>
      <c r="C303" s="143"/>
      <c r="D303" s="143"/>
      <c r="E303" s="196"/>
      <c r="F303" s="215"/>
      <c r="G303" s="215"/>
      <c r="H303" s="197">
        <f t="shared" si="20"/>
        <v>0</v>
      </c>
      <c r="J303" s="269"/>
      <c r="K303" s="109"/>
      <c r="L303" s="198"/>
      <c r="M303" s="170"/>
    </row>
    <row r="304" spans="2:13" ht="21" customHeight="1">
      <c r="B304" s="38">
        <f t="shared" si="18"/>
        <v>297</v>
      </c>
      <c r="C304" s="143"/>
      <c r="D304" s="143"/>
      <c r="E304" s="196"/>
      <c r="F304" s="215"/>
      <c r="G304" s="215"/>
      <c r="H304" s="197">
        <f t="shared" si="20"/>
        <v>0</v>
      </c>
      <c r="J304" s="269"/>
      <c r="K304" s="109"/>
      <c r="L304" s="198"/>
      <c r="M304" s="170"/>
    </row>
    <row r="305" spans="2:13" ht="21" customHeight="1">
      <c r="B305" s="38">
        <f t="shared" si="18"/>
        <v>298</v>
      </c>
      <c r="C305" s="143"/>
      <c r="D305" s="143"/>
      <c r="E305" s="196"/>
      <c r="F305" s="215"/>
      <c r="G305" s="215"/>
      <c r="H305" s="197">
        <f t="shared" si="20"/>
        <v>0</v>
      </c>
      <c r="J305" s="269"/>
      <c r="K305" s="109"/>
      <c r="L305" s="198"/>
      <c r="M305" s="170"/>
    </row>
    <row r="306" spans="2:13" ht="21" customHeight="1">
      <c r="B306" s="38">
        <f t="shared" si="18"/>
        <v>299</v>
      </c>
      <c r="C306" s="143"/>
      <c r="D306" s="143"/>
      <c r="E306" s="196"/>
      <c r="F306" s="215"/>
      <c r="G306" s="215"/>
      <c r="H306" s="197">
        <f t="shared" si="20"/>
        <v>0</v>
      </c>
      <c r="J306" s="269"/>
      <c r="K306" s="109"/>
      <c r="L306" s="198">
        <f t="shared" ref="L306" si="21">(J306+G306)*K306</f>
        <v>0</v>
      </c>
      <c r="M306" s="170">
        <f t="shared" ref="M306" si="22">H306*K306</f>
        <v>0</v>
      </c>
    </row>
    <row r="307" spans="2:13" ht="21" customHeight="1">
      <c r="B307" s="479" t="s">
        <v>285</v>
      </c>
      <c r="C307" s="480"/>
      <c r="D307" s="480"/>
      <c r="E307" s="481"/>
      <c r="F307" s="216">
        <f>SUM(G307-H307)</f>
        <v>231441</v>
      </c>
      <c r="G307" s="216">
        <f>SUM(G8:G306)</f>
        <v>231384</v>
      </c>
      <c r="H307" s="216">
        <f>SUM(H8:H306)</f>
        <v>-57</v>
      </c>
      <c r="J307" s="216">
        <f>SUM(J8:J306)</f>
        <v>0</v>
      </c>
      <c r="K307" s="199">
        <f>SUM(K8:K306)</f>
        <v>0</v>
      </c>
      <c r="L307" s="199">
        <f>SUM(L8:L306)</f>
        <v>0</v>
      </c>
      <c r="M307" s="199">
        <f>SUM(M8:M306)</f>
        <v>0</v>
      </c>
    </row>
    <row r="308" spans="2:13" ht="21" customHeight="1">
      <c r="B308" s="471" t="s">
        <v>1335</v>
      </c>
      <c r="C308" s="471"/>
      <c r="D308" s="471"/>
      <c r="E308" s="471"/>
      <c r="F308" s="471"/>
      <c r="G308" s="471"/>
      <c r="H308" s="471"/>
      <c r="J308" s="270"/>
      <c r="K308" s="200"/>
      <c r="L308" s="199">
        <f>ROUNDDOWN(L307*0.001,0)</f>
        <v>0</v>
      </c>
      <c r="M308" s="200"/>
    </row>
    <row r="309" spans="2:13" ht="21" customHeight="1">
      <c r="B309" s="471" t="s">
        <v>1336</v>
      </c>
      <c r="C309" s="471"/>
      <c r="D309" s="471"/>
      <c r="E309" s="471"/>
      <c r="F309" s="471"/>
      <c r="G309" s="471"/>
      <c r="H309" s="471"/>
      <c r="J309" s="271"/>
      <c r="K309" s="201"/>
      <c r="L309" s="202">
        <f>IF(L308+M307&gt;0,0,L308+M307)</f>
        <v>0</v>
      </c>
      <c r="M309" s="201"/>
    </row>
    <row r="310" spans="2:13" ht="21" customHeight="1"/>
    <row r="311" spans="2:13" ht="21" customHeight="1"/>
    <row r="312" spans="2:13" ht="21" customHeight="1"/>
    <row r="313" spans="2:13" ht="21" customHeight="1"/>
    <row r="314" spans="2:13" ht="21" customHeight="1"/>
    <row r="315" spans="2:13" ht="21" customHeight="1"/>
    <row r="316" spans="2:13" ht="21" customHeight="1"/>
    <row r="317" spans="2:13" ht="21" customHeight="1"/>
    <row r="318" spans="2:13" ht="21" customHeight="1"/>
    <row r="319" spans="2:13" ht="21" customHeight="1"/>
    <row r="320" spans="2:13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.75" customHeight="1"/>
    <row r="331" ht="21.75" customHeight="1"/>
    <row r="332" ht="21" customHeight="1"/>
  </sheetData>
  <mergeCells count="16">
    <mergeCell ref="B309:H309"/>
    <mergeCell ref="B1:M1"/>
    <mergeCell ref="B3:C3"/>
    <mergeCell ref="J3:K3"/>
    <mergeCell ref="L3:M3"/>
    <mergeCell ref="B4:C4"/>
    <mergeCell ref="J4:K4"/>
    <mergeCell ref="L4:M4"/>
    <mergeCell ref="B5:C5"/>
    <mergeCell ref="J5:K5"/>
    <mergeCell ref="L5:M5"/>
    <mergeCell ref="B307:E307"/>
    <mergeCell ref="B308:H308"/>
    <mergeCell ref="D3:E3"/>
    <mergeCell ref="D4:E4"/>
    <mergeCell ref="D5:E5"/>
  </mergeCells>
  <phoneticPr fontId="2" type="noConversion"/>
  <pageMargins left="0.7" right="0.7" top="0.75" bottom="0.75" header="0.3" footer="0.3"/>
  <pageSetup paperSize="9" scale="22" fitToHeight="0" orientation="portrait" verticalDpi="20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">
    <tabColor theme="2"/>
    <pageSetUpPr fitToPage="1"/>
  </sheetPr>
  <dimension ref="B1:CJ72"/>
  <sheetViews>
    <sheetView showGridLines="0" showRowColHeaders="0" topLeftCell="A23" zoomScale="115" zoomScaleNormal="115" workbookViewId="0">
      <selection activeCell="A32" sqref="A32"/>
    </sheetView>
  </sheetViews>
  <sheetFormatPr defaultColWidth="9" defaultRowHeight="16.5" customHeight="1"/>
  <cols>
    <col min="1" max="1" width="1.75" style="2" customWidth="1"/>
    <col min="2" max="2" width="15" style="3" customWidth="1"/>
    <col min="3" max="4" width="29.25" style="2" bestFit="1" customWidth="1"/>
    <col min="5" max="6" width="25.5" style="2" customWidth="1"/>
    <col min="7" max="16384" width="9" style="2"/>
  </cols>
  <sheetData>
    <row r="1" spans="2:16" ht="10.5" customHeight="1">
      <c r="B1" s="367"/>
    </row>
    <row r="2" spans="2:16" s="3" customFormat="1" ht="24.95" customHeight="1">
      <c r="B2" s="11" t="s">
        <v>1337</v>
      </c>
      <c r="C2" s="11" t="s">
        <v>1338</v>
      </c>
      <c r="D2" s="11" t="s">
        <v>1339</v>
      </c>
      <c r="E2" s="366"/>
      <c r="F2" s="366"/>
      <c r="G2" s="367"/>
      <c r="H2" s="367"/>
      <c r="I2" s="367"/>
      <c r="J2" s="367"/>
      <c r="K2" s="367"/>
      <c r="L2" s="367"/>
      <c r="M2" s="367"/>
      <c r="N2" s="367"/>
      <c r="O2" s="367"/>
      <c r="P2" s="367"/>
    </row>
    <row r="3" spans="2:16" s="3" customFormat="1" ht="24.95" customHeight="1">
      <c r="B3" s="12" t="s">
        <v>1340</v>
      </c>
      <c r="C3" s="75" t="s">
        <v>1341</v>
      </c>
      <c r="D3" s="13"/>
      <c r="E3" s="367"/>
      <c r="F3" s="367"/>
      <c r="G3" s="367"/>
      <c r="H3" s="367"/>
      <c r="I3" s="367"/>
      <c r="J3" s="367"/>
      <c r="K3" s="367"/>
      <c r="L3" s="367"/>
      <c r="M3" s="367"/>
      <c r="N3" s="367"/>
      <c r="O3" s="367"/>
      <c r="P3" s="367"/>
    </row>
    <row r="4" spans="2:16" s="3" customFormat="1" ht="24.95" customHeight="1">
      <c r="B4" s="12" t="s">
        <v>1342</v>
      </c>
      <c r="C4" s="76" t="s">
        <v>1343</v>
      </c>
      <c r="D4" s="13"/>
      <c r="E4" s="367"/>
      <c r="F4" s="367"/>
      <c r="G4" s="367"/>
      <c r="H4" s="2"/>
      <c r="I4" s="2"/>
      <c r="J4" s="2"/>
      <c r="K4" s="2"/>
      <c r="L4" s="2"/>
      <c r="M4" s="2"/>
      <c r="N4" s="2"/>
      <c r="O4" s="2"/>
      <c r="P4" s="2"/>
    </row>
    <row r="5" spans="2:16" ht="7.5" customHeight="1">
      <c r="B5" s="367"/>
    </row>
    <row r="6" spans="2:16" ht="16.5" customHeight="1">
      <c r="B6"/>
      <c r="C6"/>
      <c r="F6" s="14"/>
    </row>
    <row r="9" spans="2:16" ht="16.5" customHeight="1">
      <c r="B9" s="367"/>
      <c r="F9"/>
    </row>
    <row r="20" spans="7:7" ht="16.5" customHeight="1">
      <c r="G20"/>
    </row>
    <row r="49" spans="3:3" ht="16.5" customHeight="1">
      <c r="C49"/>
    </row>
    <row r="66" spans="31:88" ht="16.5" customHeight="1">
      <c r="AE66"/>
    </row>
    <row r="72" spans="31:88" ht="16.5" customHeight="1">
      <c r="CJ72"/>
    </row>
  </sheetData>
  <phoneticPr fontId="2" type="noConversion"/>
  <pageMargins left="0.7" right="0.7" top="0.75" bottom="0.75" header="0.3" footer="0.3"/>
  <pageSetup paperSize="256" scale="25" fitToHeight="0" orientation="portrait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2019-06-06T01:28:13Z</dcterms:created>
  <dcterms:modified xsi:type="dcterms:W3CDTF">2026-09-22T11:48:49Z</dcterms:modified>
  <cp:category/>
  <cp:contentStatus/>
</cp:coreProperties>
</file>