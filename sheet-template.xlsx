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b01\Downloads\"/>
    </mc:Choice>
  </mc:AlternateContent>
  <xr:revisionPtr revIDLastSave="0" documentId="13_ncr:1_{166CBC4B-85BA-49DD-B6F5-149223EFDAFC}" xr6:coauthVersionLast="47" xr6:coauthVersionMax="47" xr10:uidLastSave="{00000000-0000-0000-0000-000000000000}"/>
  <bookViews>
    <workbookView xWindow="-120" yWindow="-120" windowWidth="29040" windowHeight="15720" xr2:uid="{E4FF15FD-E18C-4557-95B7-1F4CBB7EB9A8}"/>
  </bookViews>
  <sheets>
    <sheet name="목우촌 차량출고" sheetId="1" r:id="rId1"/>
  </sheets>
  <definedNames>
    <definedName name="_xlnm.Print_Area" localSheetId="0">'목우촌 차량출고'!$A$1:$L$104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9" i="1" l="1"/>
  <c r="D134" i="1"/>
  <c r="D132" i="1"/>
  <c r="H128" i="1"/>
  <c r="G128" i="1"/>
  <c r="E128" i="1"/>
  <c r="D128" i="1"/>
  <c r="C128" i="1"/>
  <c r="H127" i="1"/>
  <c r="G127" i="1"/>
  <c r="E127" i="1"/>
  <c r="D127" i="1"/>
  <c r="C127" i="1"/>
  <c r="H126" i="1"/>
  <c r="G126" i="1"/>
  <c r="E126" i="1"/>
  <c r="D126" i="1"/>
  <c r="C126" i="1"/>
  <c r="H125" i="1"/>
  <c r="G125" i="1"/>
  <c r="E125" i="1"/>
  <c r="D125" i="1"/>
  <c r="C125" i="1"/>
  <c r="H124" i="1"/>
  <c r="G124" i="1"/>
  <c r="E124" i="1"/>
  <c r="D124" i="1"/>
  <c r="C124" i="1"/>
  <c r="H123" i="1"/>
  <c r="G123" i="1"/>
  <c r="E123" i="1"/>
  <c r="D123" i="1"/>
  <c r="C123" i="1"/>
  <c r="H122" i="1"/>
  <c r="G122" i="1"/>
  <c r="E122" i="1"/>
  <c r="D122" i="1"/>
  <c r="C122" i="1"/>
  <c r="H121" i="1"/>
  <c r="G121" i="1"/>
  <c r="E121" i="1"/>
  <c r="D121" i="1"/>
  <c r="C121" i="1"/>
  <c r="H120" i="1"/>
  <c r="G120" i="1"/>
  <c r="E120" i="1"/>
  <c r="D120" i="1"/>
  <c r="C120" i="1"/>
  <c r="H119" i="1"/>
  <c r="G119" i="1"/>
  <c r="G129" i="1" s="1"/>
  <c r="E119" i="1"/>
  <c r="D119" i="1"/>
  <c r="C119" i="1"/>
  <c r="H118" i="1"/>
  <c r="G118" i="1"/>
  <c r="E118" i="1"/>
  <c r="D118" i="1"/>
  <c r="C118" i="1"/>
  <c r="H117" i="1"/>
  <c r="G117" i="1"/>
  <c r="E117" i="1"/>
  <c r="D117" i="1"/>
  <c r="C117" i="1"/>
  <c r="H116" i="1"/>
  <c r="G116" i="1"/>
  <c r="E116" i="1"/>
  <c r="D116" i="1"/>
  <c r="C116" i="1"/>
  <c r="H115" i="1"/>
  <c r="G115" i="1"/>
  <c r="E115" i="1"/>
  <c r="D115" i="1"/>
  <c r="C115" i="1"/>
  <c r="H111" i="1"/>
  <c r="C111" i="1"/>
  <c r="H110" i="1"/>
  <c r="H109" i="1"/>
  <c r="C109" i="1"/>
  <c r="H108" i="1"/>
  <c r="B95" i="1"/>
  <c r="B144" i="1" s="1"/>
  <c r="D90" i="1"/>
  <c r="D88" i="1"/>
  <c r="D85" i="1"/>
  <c r="D137" i="1" s="1"/>
  <c r="D83" i="1"/>
  <c r="F80" i="1"/>
  <c r="E80" i="1"/>
  <c r="G64" i="1"/>
  <c r="G63" i="1"/>
  <c r="G80" i="1" s="1"/>
  <c r="F63" i="1"/>
  <c r="E63" i="1"/>
  <c r="C63" i="1"/>
  <c r="C59" i="1"/>
  <c r="H58" i="1"/>
  <c r="H57" i="1"/>
  <c r="C57" i="1"/>
  <c r="H56" i="1"/>
  <c r="G28" i="1"/>
  <c r="F28" i="1"/>
  <c r="E129" i="1" l="1"/>
</calcChain>
</file>

<file path=xl/sharedStrings.xml><?xml version="1.0" encoding="utf-8"?>
<sst xmlns="http://schemas.openxmlformats.org/spreadsheetml/2006/main" count="103" uniqueCount="47">
  <si>
    <t>납 품 거 래 명 세 서
(공 급 자 보 관 용)</t>
    <phoneticPr fontId="3" type="noConversion"/>
  </si>
  <si>
    <t>화주사(매입처)</t>
    <phoneticPr fontId="3" type="noConversion"/>
  </si>
  <si>
    <t>일자</t>
    <phoneticPr fontId="3" type="noConversion"/>
  </si>
  <si>
    <t>제조처</t>
    <phoneticPr fontId="3" type="noConversion"/>
  </si>
  <si>
    <t>목우촌</t>
    <phoneticPr fontId="3" type="noConversion"/>
  </si>
  <si>
    <t>담당자</t>
    <phoneticPr fontId="3" type="noConversion"/>
  </si>
  <si>
    <t>Pallet</t>
    <phoneticPr fontId="3" type="noConversion"/>
  </si>
  <si>
    <t>연락처</t>
  </si>
  <si>
    <t>no</t>
  </si>
  <si>
    <t>품 명</t>
    <phoneticPr fontId="3" type="noConversion"/>
  </si>
  <si>
    <t>입수량</t>
    <phoneticPr fontId="3" type="noConversion"/>
  </si>
  <si>
    <t>BOX</t>
    <phoneticPr fontId="3" type="noConversion"/>
  </si>
  <si>
    <t>낱개</t>
    <phoneticPr fontId="3" type="noConversion"/>
  </si>
  <si>
    <t>EA</t>
    <phoneticPr fontId="3" type="noConversion"/>
  </si>
  <si>
    <t>유통기한</t>
    <phoneticPr fontId="3" type="noConversion"/>
  </si>
  <si>
    <t>비 고</t>
  </si>
  <si>
    <t>계</t>
  </si>
  <si>
    <t>출발지</t>
  </si>
  <si>
    <t>주소</t>
  </si>
  <si>
    <t>경기도 오산시 오산동 736 켄달스퀘어 7층 B블럭 B-7</t>
    <phoneticPr fontId="3" type="noConversion"/>
  </si>
  <si>
    <t>담당자 / 
연락처</t>
  </si>
  <si>
    <t>박영규</t>
    <phoneticPr fontId="3" type="noConversion"/>
  </si>
  <si>
    <t>도착지</t>
  </si>
  <si>
    <t>기타 사항</t>
    <phoneticPr fontId="19" type="noConversion"/>
  </si>
  <si>
    <t xml:space="preserve"> 파렛트 정보 
(실제 출고 파렛트 기재) </t>
    <phoneticPr fontId="3" type="noConversion"/>
  </si>
  <si>
    <t>파렛트명</t>
    <phoneticPr fontId="19" type="noConversion"/>
  </si>
  <si>
    <t>수량(장)</t>
    <phoneticPr fontId="19" type="noConversion"/>
  </si>
  <si>
    <t>품 명</t>
    <phoneticPr fontId="19" type="noConversion"/>
  </si>
  <si>
    <t>수량</t>
    <phoneticPr fontId="19" type="noConversion"/>
  </si>
  <si>
    <t xml:space="preserve"> AJ</t>
  </si>
  <si>
    <t>수량 기재</t>
    <phoneticPr fontId="3" type="noConversion"/>
  </si>
  <si>
    <t>아이스박스</t>
    <phoneticPr fontId="3" type="noConversion"/>
  </si>
  <si>
    <t>호수 기재</t>
    <phoneticPr fontId="3" type="noConversion"/>
  </si>
  <si>
    <t>KPP</t>
    <phoneticPr fontId="19" type="noConversion"/>
  </si>
  <si>
    <t>아이스팩 中</t>
    <phoneticPr fontId="19" type="noConversion"/>
  </si>
  <si>
    <t>수량 기재</t>
  </si>
  <si>
    <t>기타 파렛트</t>
    <phoneticPr fontId="19" type="noConversion"/>
  </si>
  <si>
    <t>아이스팩 大</t>
    <phoneticPr fontId="19" type="noConversion"/>
  </si>
  <si>
    <t>드라이 아이스</t>
    <phoneticPr fontId="19" type="noConversion"/>
  </si>
  <si>
    <t>출고처</t>
    <phoneticPr fontId="3" type="noConversion"/>
  </si>
  <si>
    <t xml:space="preserve">(인) </t>
  </si>
  <si>
    <t>운송사</t>
    <phoneticPr fontId="3" type="noConversion"/>
  </si>
  <si>
    <t xml:space="preserve">(인) </t>
    <phoneticPr fontId="3" type="noConversion"/>
  </si>
  <si>
    <t>납 품 거 래 명 세 서
(공 급 받 는 자)</t>
    <phoneticPr fontId="3" type="noConversion"/>
  </si>
  <si>
    <t xml:space="preserve"> 기타 사항</t>
    <phoneticPr fontId="3" type="noConversion"/>
  </si>
  <si>
    <t>입고처</t>
    <phoneticPr fontId="3" type="noConversion"/>
  </si>
  <si>
    <t>납 품 거 래 명 세 서
(납 품 확 인 서)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</si>
</sst>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26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26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8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theme="0" tint="-0.34998626667073579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sz val="12"/>
      <color theme="0" tint="-0.34998626667073579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1" fillId="0" borderId="0"/>
  </cellStyleXfs>
  <cellXfs count="177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/>
    <xf numFmtId="0" fontId="6" fillId="0" borderId="0" xfId="0" applyFont="1"/>
    <xf numFmtId="0" fontId="2" fillId="0" borderId="4" xfId="0" applyFont="1" applyBorder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1" fillId="0" borderId="0" xfId="0" applyFont="1"/>
    <xf numFmtId="0" fontId="7" fillId="0" borderId="6" xfId="0" applyFont="1" applyBorder="1" applyAlignment="1">
      <alignment horizontal="center" vertical="center"/>
    </xf>
    <xf numFmtId="0" fontId="2" fillId="0" borderId="5" xfId="0" applyFont="1" applyBorder="1"/>
    <xf numFmtId="14" fontId="6" fillId="0" borderId="0" xfId="0" applyNumberFormat="1" applyFont="1"/>
    <xf numFmtId="0" fontId="12" fillId="0" borderId="6" xfId="0" applyFont="1" applyBorder="1" applyAlignment="1">
      <alignment horizontal="center" vertical="center"/>
    </xf>
    <xf numFmtId="0" fontId="2" fillId="0" borderId="0" xfId="0" applyFont="1"/>
    <xf numFmtId="0" fontId="7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176" fontId="2" fillId="0" borderId="6" xfId="0" applyNumberFormat="1" applyFont="1" applyBorder="1" applyAlignment="1">
      <alignment horizontal="center" vertical="center"/>
    </xf>
    <xf numFmtId="41" fontId="2" fillId="0" borderId="6" xfId="1" applyFont="1" applyFill="1" applyBorder="1" applyAlignment="1">
      <alignment horizontal="center" vertical="center"/>
    </xf>
    <xf numFmtId="41" fontId="8" fillId="0" borderId="8" xfId="1" applyFont="1" applyFill="1" applyBorder="1" applyAlignment="1">
      <alignment horizontal="center" vertical="center"/>
    </xf>
    <xf numFmtId="14" fontId="2" fillId="0" borderId="6" xfId="2" applyNumberFormat="1" applyFont="1" applyBorder="1" applyAlignment="1">
      <alignment horizontal="center" vertical="center"/>
    </xf>
    <xf numFmtId="0" fontId="2" fillId="0" borderId="26" xfId="2" applyFont="1" applyBorder="1" applyAlignment="1">
      <alignment horizontal="center" vertical="center"/>
    </xf>
    <xf numFmtId="0" fontId="2" fillId="0" borderId="27" xfId="2" applyFont="1" applyBorder="1" applyAlignment="1">
      <alignment horizontal="center" vertical="center"/>
    </xf>
    <xf numFmtId="0" fontId="2" fillId="0" borderId="26" xfId="2" quotePrefix="1" applyFont="1" applyBorder="1" applyAlignment="1">
      <alignment horizontal="center" vertical="center"/>
    </xf>
    <xf numFmtId="0" fontId="2" fillId="0" borderId="28" xfId="2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2" fillId="0" borderId="28" xfId="2" applyFont="1" applyBorder="1" applyAlignment="1">
      <alignment vertical="center"/>
    </xf>
    <xf numFmtId="0" fontId="2" fillId="0" borderId="26" xfId="2" applyFont="1" applyBorder="1" applyAlignment="1">
      <alignment vertical="center"/>
    </xf>
    <xf numFmtId="0" fontId="2" fillId="0" borderId="27" xfId="2" applyFont="1" applyBorder="1" applyAlignment="1">
      <alignment vertical="center"/>
    </xf>
    <xf numFmtId="0" fontId="13" fillId="0" borderId="17" xfId="0" applyFont="1" applyBorder="1" applyAlignment="1">
      <alignment horizontal="center" vertical="center"/>
    </xf>
    <xf numFmtId="176" fontId="14" fillId="0" borderId="6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32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1" fontId="15" fillId="0" borderId="0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8" fillId="0" borderId="5" xfId="0" applyFont="1" applyBorder="1"/>
    <xf numFmtId="0" fontId="21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" fillId="0" borderId="25" xfId="0" applyFont="1" applyBorder="1"/>
    <xf numFmtId="0" fontId="2" fillId="0" borderId="35" xfId="0" applyFont="1" applyBorder="1"/>
    <xf numFmtId="0" fontId="2" fillId="0" borderId="36" xfId="0" applyFont="1" applyBorder="1"/>
    <xf numFmtId="0" fontId="7" fillId="0" borderId="3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41" fontId="2" fillId="0" borderId="6" xfId="1" applyFont="1" applyFill="1" applyBorder="1" applyAlignment="1">
      <alignment horizontal="center" vertical="center" wrapText="1"/>
    </xf>
    <xf numFmtId="14" fontId="2" fillId="0" borderId="6" xfId="2" applyNumberFormat="1" applyFont="1" applyBorder="1" applyAlignment="1">
      <alignment horizontal="center" vertical="center" wrapText="1"/>
    </xf>
    <xf numFmtId="176" fontId="2" fillId="0" borderId="6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76" fontId="2" fillId="0" borderId="37" xfId="0" applyNumberFormat="1" applyFont="1" applyBorder="1" applyAlignment="1">
      <alignment horizontal="center" vertical="center"/>
    </xf>
    <xf numFmtId="41" fontId="8" fillId="0" borderId="13" xfId="1" applyFont="1" applyBorder="1" applyAlignment="1">
      <alignment horizontal="right" vertical="center" wrapText="1"/>
    </xf>
    <xf numFmtId="0" fontId="14" fillId="0" borderId="17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25" fillId="0" borderId="13" xfId="0" applyFont="1" applyBorder="1" applyAlignment="1">
      <alignment horizontal="left" vertical="center"/>
    </xf>
    <xf numFmtId="41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8" fillId="0" borderId="7" xfId="1" applyFont="1" applyFill="1" applyBorder="1" applyAlignment="1">
      <alignment horizontal="center" vertical="center"/>
    </xf>
    <xf numFmtId="0" fontId="7" fillId="0" borderId="30" xfId="0" applyFont="1" applyBorder="1" applyAlignment="1">
      <alignment horizontal="left" vertical="center"/>
    </xf>
    <xf numFmtId="0" fontId="17" fillId="0" borderId="17" xfId="0" applyFont="1" applyBorder="1"/>
    <xf numFmtId="0" fontId="17" fillId="0" borderId="18" xfId="0" applyFont="1" applyBorder="1"/>
    <xf numFmtId="0" fontId="17" fillId="0" borderId="33" xfId="0" applyFont="1" applyBorder="1"/>
    <xf numFmtId="0" fontId="17" fillId="0" borderId="22" xfId="0" applyFont="1" applyBorder="1"/>
    <xf numFmtId="0" fontId="17" fillId="0" borderId="23" xfId="0" applyFont="1" applyBorder="1"/>
    <xf numFmtId="0" fontId="2" fillId="0" borderId="30" xfId="0" applyFont="1" applyBorder="1" applyAlignment="1">
      <alignment vertical="center" wrapText="1"/>
    </xf>
    <xf numFmtId="0" fontId="14" fillId="0" borderId="17" xfId="0" applyFont="1" applyBorder="1"/>
    <xf numFmtId="0" fontId="14" fillId="0" borderId="18" xfId="0" applyFont="1" applyBorder="1"/>
    <xf numFmtId="0" fontId="14" fillId="0" borderId="31" xfId="0" applyFont="1" applyBorder="1"/>
    <xf numFmtId="0" fontId="13" fillId="0" borderId="0" xfId="0" applyFont="1"/>
    <xf numFmtId="0" fontId="14" fillId="0" borderId="32" xfId="0" applyFont="1" applyBorder="1"/>
    <xf numFmtId="0" fontId="14" fillId="0" borderId="33" xfId="0" applyFont="1" applyBorder="1"/>
    <xf numFmtId="0" fontId="14" fillId="0" borderId="22" xfId="0" applyFont="1" applyBorder="1"/>
    <xf numFmtId="0" fontId="14" fillId="0" borderId="23" xfId="0" applyFont="1" applyBorder="1"/>
    <xf numFmtId="0" fontId="16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right" vertical="center"/>
    </xf>
    <xf numFmtId="0" fontId="16" fillId="0" borderId="10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6" fillId="0" borderId="30" xfId="0" applyFont="1" applyBorder="1" applyAlignment="1">
      <alignment horizontal="center" vertical="center"/>
    </xf>
    <xf numFmtId="0" fontId="17" fillId="0" borderId="31" xfId="0" applyFont="1" applyBorder="1"/>
    <xf numFmtId="0" fontId="2" fillId="0" borderId="28" xfId="2" applyFont="1" applyBorder="1" applyAlignment="1">
      <alignment horizontal="center" vertical="center"/>
    </xf>
    <xf numFmtId="0" fontId="2" fillId="0" borderId="26" xfId="2" applyFont="1" applyBorder="1" applyAlignment="1">
      <alignment horizontal="center" vertical="center"/>
    </xf>
    <xf numFmtId="0" fontId="2" fillId="0" borderId="27" xfId="2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4" fillId="0" borderId="33" xfId="0" applyFont="1" applyBorder="1" applyAlignment="1">
      <alignment vertical="center"/>
    </xf>
    <xf numFmtId="41" fontId="7" fillId="0" borderId="38" xfId="1" applyFont="1" applyFill="1" applyBorder="1" applyAlignment="1">
      <alignment horizontal="center" vertical="center"/>
    </xf>
    <xf numFmtId="41" fontId="7" fillId="0" borderId="33" xfId="1" applyFont="1" applyFill="1" applyBorder="1" applyAlignment="1">
      <alignment horizontal="center" vertical="center"/>
    </xf>
    <xf numFmtId="41" fontId="7" fillId="0" borderId="6" xfId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0" xfId="0" applyFont="1"/>
    <xf numFmtId="0" fontId="7" fillId="0" borderId="14" xfId="0" applyFont="1" applyBorder="1" applyAlignment="1">
      <alignment horizontal="center" vertical="center"/>
    </xf>
    <xf numFmtId="0" fontId="14" fillId="0" borderId="19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/>
    </xf>
    <xf numFmtId="0" fontId="8" fillId="0" borderId="6" xfId="2" applyFont="1" applyBorder="1" applyAlignment="1">
      <alignment horizontal="left" vertical="center"/>
    </xf>
    <xf numFmtId="176" fontId="7" fillId="0" borderId="30" xfId="0" applyNumberFormat="1" applyFont="1" applyBorder="1" applyAlignment="1">
      <alignment horizontal="center" vertical="center"/>
    </xf>
    <xf numFmtId="41" fontId="7" fillId="0" borderId="30" xfId="1" applyFont="1" applyFill="1" applyBorder="1" applyAlignment="1">
      <alignment horizontal="center" vertical="center"/>
    </xf>
    <xf numFmtId="41" fontId="14" fillId="0" borderId="33" xfId="1" applyFont="1" applyFill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31" xfId="0" applyFont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41" fontId="14" fillId="0" borderId="6" xfId="1" applyFont="1" applyFill="1" applyBorder="1" applyAlignment="1">
      <alignment vertical="center"/>
    </xf>
    <xf numFmtId="41" fontId="7" fillId="0" borderId="13" xfId="1" applyFont="1" applyFill="1" applyBorder="1" applyAlignment="1">
      <alignment horizontal="center" vertical="center"/>
    </xf>
    <xf numFmtId="0" fontId="6" fillId="0" borderId="2" xfId="0" applyFont="1" applyBorder="1"/>
    <xf numFmtId="0" fontId="7" fillId="0" borderId="1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4CC09C82-B474-405C-BC6E-6A584BC5A6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44824</xdr:colOff>
      <xdr:row>0</xdr:row>
      <xdr:rowOff>302558</xdr:rowOff>
    </xdr:from>
    <xdr:to>
      <xdr:col>2</xdr:col>
      <xdr:colOff>2474534</xdr:colOff>
      <xdr:row>2</xdr:row>
      <xdr:rowOff>414617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C6C588-AFAF-4921-BCFE-8C4026B1E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199" y="302558"/>
          <a:ext cx="3172660" cy="1102659"/>
        </a:xfrm>
        <a:prstGeom prst="rect">
          <a:avLst/>
        </a:prstGeom>
      </xdr:spPr>
    </xdr:pic>
    <xdr:clientData/>
  </xdr:twoCellAnchor>
  <xdr:twoCellAnchor editAs="oneCell">
    <xdr:from>
      <xdr:col>1</xdr:col>
      <xdr:colOff>105896</xdr:colOff>
      <xdr:row>52</xdr:row>
      <xdr:rowOff>326652</xdr:rowOff>
    </xdr:from>
    <xdr:to>
      <xdr:col>2</xdr:col>
      <xdr:colOff>2535606</xdr:colOff>
      <xdr:row>54</xdr:row>
      <xdr:rowOff>438710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FE75ACD-4589-477D-802F-1693C9F71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271" y="16109577"/>
          <a:ext cx="3172660" cy="1102658"/>
        </a:xfrm>
        <a:prstGeom prst="rect">
          <a:avLst/>
        </a:prstGeom>
      </xdr:spPr>
    </xdr:pic>
    <xdr:clientData/>
  </xdr:twoCellAnchor>
  <xdr:twoCellAnchor editAs="oneCell">
    <xdr:from>
      <xdr:col>1</xdr:col>
      <xdr:colOff>67235</xdr:colOff>
      <xdr:row>104</xdr:row>
      <xdr:rowOff>280147</xdr:rowOff>
    </xdr:from>
    <xdr:to>
      <xdr:col>2</xdr:col>
      <xdr:colOff>2496945</xdr:colOff>
      <xdr:row>106</xdr:row>
      <xdr:rowOff>392206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8810657-B6C8-488D-8870-2CD8DC040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610" y="31684072"/>
          <a:ext cx="3172660" cy="1102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4F54-A4AD-40DD-ADB0-8776D2E04CCA}">
  <sheetPr>
    <outlinePr summaryBelow="0" summaryRight="0"/>
    <pageSetUpPr fitToPage="1"/>
  </sheetPr>
  <dimension ref="A1:Q881"/>
  <sheetViews>
    <sheetView showGridLines="0" tabSelected="1" view="pageBreakPreview" zoomScale="70" zoomScaleNormal="85" zoomScaleSheetLayoutView="70" zoomScalePageLayoutView="85" workbookViewId="0">
      <selection activeCell="P12" sqref="P12"/>
    </sheetView>
  </sheetViews>
  <sheetFormatPr defaultColWidth="14.42578125" defaultRowHeight="15.75" customHeight="1" x14ac:dyDescent="0.25"/>
  <cols>
    <col min="1" max="1" width="5" style="4" customWidth="1"/>
    <col min="2" max="2" width="11.140625" style="4" customWidth="1"/>
    <col min="3" max="3" width="57.7109375" style="4" customWidth="1"/>
    <col min="4" max="6" width="10.42578125" style="4" customWidth="1"/>
    <col min="7" max="7" width="19.140625" style="4" customWidth="1"/>
    <col min="8" max="8" width="22.7109375" style="4" customWidth="1"/>
    <col min="9" max="10" width="8.42578125" style="4" customWidth="1"/>
    <col min="11" max="11" width="12.140625" style="4" customWidth="1"/>
    <col min="12" max="12" width="5.140625" style="4" customWidth="1"/>
    <col min="13" max="16384" width="14.42578125" style="4"/>
  </cols>
  <sheetData>
    <row r="1" spans="1:17" ht="39" customHeight="1" x14ac:dyDescent="0.65">
      <c r="A1" s="1"/>
      <c r="B1" s="2"/>
      <c r="C1" s="3"/>
      <c r="D1" s="125" t="s">
        <v>0</v>
      </c>
      <c r="E1" s="125"/>
      <c r="F1" s="125"/>
      <c r="G1" s="125"/>
      <c r="H1" s="125"/>
      <c r="I1" s="125"/>
      <c r="J1" s="125"/>
      <c r="K1" s="125"/>
      <c r="L1" s="170"/>
    </row>
    <row r="2" spans="1:17" ht="39" customHeight="1" x14ac:dyDescent="0.65">
      <c r="A2" s="5"/>
      <c r="B2" s="6"/>
      <c r="C2" s="6"/>
      <c r="D2" s="171"/>
      <c r="E2" s="171"/>
      <c r="F2" s="171"/>
      <c r="G2" s="171"/>
      <c r="H2" s="171"/>
      <c r="I2" s="171"/>
      <c r="J2" s="171"/>
      <c r="K2" s="171"/>
      <c r="L2" s="172"/>
    </row>
    <row r="3" spans="1:17" ht="47.45" customHeight="1" x14ac:dyDescent="0.65">
      <c r="A3" s="5"/>
      <c r="B3" s="6"/>
      <c r="C3" s="6"/>
      <c r="D3" s="171"/>
      <c r="E3" s="171"/>
      <c r="F3" s="171"/>
      <c r="G3" s="171"/>
      <c r="H3" s="171"/>
      <c r="I3" s="171"/>
      <c r="J3" s="171"/>
      <c r="K3" s="171"/>
      <c r="L3" s="172"/>
    </row>
    <row r="4" spans="1:17" ht="26.25" customHeight="1" x14ac:dyDescent="0.65">
      <c r="A4" s="5"/>
      <c r="B4" s="6"/>
      <c r="C4" s="6"/>
      <c r="D4" s="7"/>
      <c r="E4" s="7"/>
      <c r="F4" s="7"/>
      <c r="G4" s="8" t="s">
        <v>1</v>
      </c>
      <c r="H4" s="114"/>
      <c r="I4" s="115"/>
      <c r="J4" s="115"/>
      <c r="K4" s="116"/>
      <c r="L4" s="9"/>
    </row>
    <row r="5" spans="1:17" ht="26.25" customHeight="1" x14ac:dyDescent="0.3">
      <c r="A5" s="5"/>
      <c r="B5" s="173" t="s">
        <v>2</v>
      </c>
      <c r="C5" s="175"/>
      <c r="D5" s="10"/>
      <c r="E5" s="10"/>
      <c r="F5" s="10"/>
      <c r="G5" s="11" t="s">
        <v>3</v>
      </c>
      <c r="H5" s="114" t="s">
        <v>4</v>
      </c>
      <c r="I5" s="115"/>
      <c r="J5" s="115"/>
      <c r="K5" s="116"/>
      <c r="L5" s="12"/>
    </row>
    <row r="6" spans="1:17" ht="26.25" customHeight="1" x14ac:dyDescent="0.3">
      <c r="A6" s="5"/>
      <c r="B6" s="174"/>
      <c r="C6" s="176"/>
      <c r="D6" s="10"/>
      <c r="E6" s="10"/>
      <c r="F6" s="10"/>
      <c r="G6" s="11" t="s">
        <v>5</v>
      </c>
      <c r="H6" s="114"/>
      <c r="I6" s="115"/>
      <c r="J6" s="115"/>
      <c r="K6" s="116"/>
      <c r="L6" s="12"/>
      <c r="Q6" s="13"/>
    </row>
    <row r="7" spans="1:17" ht="26.25" customHeight="1" x14ac:dyDescent="0.3">
      <c r="A7" s="5"/>
      <c r="B7" s="14" t="s">
        <v>6</v>
      </c>
      <c r="C7" s="14"/>
      <c r="D7" s="10"/>
      <c r="E7" s="10"/>
      <c r="F7" s="10"/>
      <c r="G7" s="11" t="s">
        <v>7</v>
      </c>
      <c r="H7" s="114"/>
      <c r="I7" s="115"/>
      <c r="J7" s="115"/>
      <c r="K7" s="116"/>
      <c r="L7" s="12"/>
      <c r="Q7" s="13"/>
    </row>
    <row r="8" spans="1:17" ht="17.25" x14ac:dyDescent="0.3">
      <c r="A8" s="5"/>
      <c r="B8" s="10"/>
      <c r="C8" s="10"/>
      <c r="D8" s="15"/>
      <c r="E8" s="15"/>
      <c r="F8" s="15"/>
      <c r="G8" s="164"/>
      <c r="H8" s="164"/>
      <c r="I8" s="164"/>
      <c r="J8" s="164"/>
      <c r="K8" s="164"/>
      <c r="L8" s="12"/>
      <c r="Q8" s="13"/>
    </row>
    <row r="9" spans="1:17" ht="15" customHeight="1" x14ac:dyDescent="0.3">
      <c r="A9" s="5"/>
      <c r="B9" s="118" t="s">
        <v>8</v>
      </c>
      <c r="C9" s="166" t="s">
        <v>9</v>
      </c>
      <c r="D9" s="136" t="s">
        <v>10</v>
      </c>
      <c r="E9" s="136" t="s">
        <v>11</v>
      </c>
      <c r="F9" s="136" t="s">
        <v>12</v>
      </c>
      <c r="G9" s="169" t="s">
        <v>13</v>
      </c>
      <c r="H9" s="136" t="s">
        <v>14</v>
      </c>
      <c r="I9" s="122" t="s">
        <v>15</v>
      </c>
      <c r="J9" s="120"/>
      <c r="K9" s="123"/>
      <c r="L9" s="12"/>
      <c r="Q9" s="13"/>
    </row>
    <row r="10" spans="1:17" ht="17.25" x14ac:dyDescent="0.3">
      <c r="A10" s="5"/>
      <c r="B10" s="165"/>
      <c r="C10" s="167"/>
      <c r="D10" s="168"/>
      <c r="E10" s="168"/>
      <c r="F10" s="168"/>
      <c r="G10" s="168"/>
      <c r="H10" s="168"/>
      <c r="I10" s="124"/>
      <c r="J10" s="107"/>
      <c r="K10" s="108"/>
      <c r="L10" s="12"/>
      <c r="Q10" s="13"/>
    </row>
    <row r="11" spans="1:17" ht="33" customHeight="1" x14ac:dyDescent="0.3">
      <c r="A11" s="5"/>
      <c r="B11" s="16">
        <v>1</v>
      </c>
      <c r="C11" s="17"/>
      <c r="D11" s="18"/>
      <c r="E11" s="18"/>
      <c r="F11" s="19"/>
      <c r="G11" s="20"/>
      <c r="H11" s="21"/>
      <c r="I11" s="22"/>
      <c r="J11" s="22"/>
      <c r="K11" s="23"/>
      <c r="L11" s="12"/>
      <c r="Q11" s="13"/>
    </row>
    <row r="12" spans="1:17" ht="30.75" customHeight="1" x14ac:dyDescent="0.3">
      <c r="A12" s="5"/>
      <c r="B12" s="16">
        <v>2</v>
      </c>
      <c r="C12" s="17"/>
      <c r="D12" s="18"/>
      <c r="E12" s="18"/>
      <c r="F12" s="18"/>
      <c r="G12" s="20"/>
      <c r="H12" s="21"/>
      <c r="I12" s="22"/>
      <c r="J12" s="24"/>
      <c r="K12" s="23"/>
      <c r="L12" s="12"/>
      <c r="Q12" s="13"/>
    </row>
    <row r="13" spans="1:17" ht="30.75" customHeight="1" x14ac:dyDescent="0.3">
      <c r="A13" s="5"/>
      <c r="B13" s="16">
        <v>3</v>
      </c>
      <c r="C13" s="17"/>
      <c r="D13" s="18"/>
      <c r="E13" s="18"/>
      <c r="F13" s="18"/>
      <c r="G13" s="20"/>
      <c r="H13" s="21"/>
      <c r="I13" s="25"/>
      <c r="J13" s="22"/>
      <c r="K13" s="23"/>
      <c r="L13" s="12"/>
      <c r="Q13" s="13"/>
    </row>
    <row r="14" spans="1:17" ht="30.75" customHeight="1" x14ac:dyDescent="0.3">
      <c r="A14" s="5"/>
      <c r="B14" s="16">
        <v>4</v>
      </c>
      <c r="C14" s="26"/>
      <c r="D14" s="18"/>
      <c r="E14" s="18"/>
      <c r="F14" s="18"/>
      <c r="G14" s="20"/>
      <c r="H14" s="21"/>
      <c r="I14" s="25"/>
      <c r="J14" s="22"/>
      <c r="K14" s="23"/>
      <c r="L14" s="12"/>
      <c r="Q14" s="13"/>
    </row>
    <row r="15" spans="1:17" ht="30.75" customHeight="1" x14ac:dyDescent="0.3">
      <c r="A15" s="5"/>
      <c r="B15" s="16">
        <v>5</v>
      </c>
      <c r="C15" s="26"/>
      <c r="D15" s="18"/>
      <c r="E15" s="18"/>
      <c r="F15" s="18"/>
      <c r="G15" s="20"/>
      <c r="H15" s="21"/>
      <c r="I15" s="27"/>
      <c r="J15" s="28"/>
      <c r="K15" s="29"/>
      <c r="L15" s="12"/>
      <c r="Q15" s="13"/>
    </row>
    <row r="16" spans="1:17" ht="30.75" customHeight="1" x14ac:dyDescent="0.3">
      <c r="A16" s="5"/>
      <c r="B16" s="16">
        <v>6</v>
      </c>
      <c r="C16" s="17"/>
      <c r="D16" s="18"/>
      <c r="E16" s="18"/>
      <c r="F16" s="18"/>
      <c r="G16" s="20"/>
      <c r="H16" s="21"/>
      <c r="I16" s="27"/>
      <c r="J16" s="28"/>
      <c r="K16" s="29"/>
      <c r="L16" s="12"/>
      <c r="Q16" s="13"/>
    </row>
    <row r="17" spans="1:17" ht="30.75" customHeight="1" x14ac:dyDescent="0.3">
      <c r="A17" s="5"/>
      <c r="B17" s="16">
        <v>7</v>
      </c>
      <c r="C17" s="17"/>
      <c r="D17" s="18"/>
      <c r="E17" s="18"/>
      <c r="F17" s="18"/>
      <c r="G17" s="20"/>
      <c r="H17" s="21"/>
      <c r="I17" s="27"/>
      <c r="J17" s="28"/>
      <c r="K17" s="29"/>
      <c r="L17" s="12"/>
      <c r="Q17" s="13"/>
    </row>
    <row r="18" spans="1:17" ht="30.75" customHeight="1" x14ac:dyDescent="0.3">
      <c r="A18" s="5"/>
      <c r="B18" s="16">
        <v>8</v>
      </c>
      <c r="C18" s="30"/>
      <c r="D18" s="18"/>
      <c r="E18" s="31"/>
      <c r="F18" s="31"/>
      <c r="G18" s="20"/>
      <c r="H18" s="21"/>
      <c r="I18" s="27"/>
      <c r="J18" s="28"/>
      <c r="K18" s="29"/>
      <c r="L18" s="12"/>
      <c r="Q18" s="13"/>
    </row>
    <row r="19" spans="1:17" ht="30.75" customHeight="1" x14ac:dyDescent="0.3">
      <c r="A19" s="5"/>
      <c r="B19" s="16">
        <v>9</v>
      </c>
      <c r="C19" s="30"/>
      <c r="D19" s="18"/>
      <c r="E19" s="18"/>
      <c r="F19" s="18"/>
      <c r="G19" s="20"/>
      <c r="H19" s="21"/>
      <c r="I19" s="27"/>
      <c r="J19" s="28"/>
      <c r="K19" s="29"/>
      <c r="L19" s="12"/>
      <c r="Q19" s="13"/>
    </row>
    <row r="20" spans="1:17" ht="30.75" customHeight="1" x14ac:dyDescent="0.3">
      <c r="A20" s="5"/>
      <c r="B20" s="16">
        <v>10</v>
      </c>
      <c r="C20" s="30"/>
      <c r="D20" s="18"/>
      <c r="E20" s="18"/>
      <c r="F20" s="18"/>
      <c r="G20" s="20"/>
      <c r="H20" s="21"/>
      <c r="I20" s="27"/>
      <c r="J20" s="28"/>
      <c r="K20" s="29"/>
      <c r="L20" s="12"/>
      <c r="Q20" s="13"/>
    </row>
    <row r="21" spans="1:17" ht="30.75" customHeight="1" x14ac:dyDescent="0.3">
      <c r="A21" s="5"/>
      <c r="B21" s="16">
        <v>11</v>
      </c>
      <c r="C21" s="30"/>
      <c r="D21" s="18"/>
      <c r="E21" s="18"/>
      <c r="F21" s="18"/>
      <c r="G21" s="20"/>
      <c r="H21" s="21"/>
      <c r="I21" s="27"/>
      <c r="J21" s="28"/>
      <c r="K21" s="29"/>
      <c r="L21" s="12"/>
    </row>
    <row r="22" spans="1:17" ht="30.75" customHeight="1" x14ac:dyDescent="0.3">
      <c r="A22" s="5"/>
      <c r="B22" s="16">
        <v>12</v>
      </c>
      <c r="C22" s="30"/>
      <c r="D22" s="18"/>
      <c r="E22" s="18"/>
      <c r="F22" s="18"/>
      <c r="G22" s="20"/>
      <c r="H22" s="21"/>
      <c r="I22" s="27"/>
      <c r="J22" s="28"/>
      <c r="K22" s="29"/>
      <c r="L22" s="12"/>
    </row>
    <row r="23" spans="1:17" ht="30.75" customHeight="1" x14ac:dyDescent="0.3">
      <c r="A23" s="5"/>
      <c r="B23" s="16">
        <v>13</v>
      </c>
      <c r="C23" s="30"/>
      <c r="D23" s="18"/>
      <c r="E23" s="18"/>
      <c r="F23" s="18"/>
      <c r="G23" s="20"/>
      <c r="H23" s="21"/>
      <c r="I23" s="100"/>
      <c r="J23" s="101"/>
      <c r="K23" s="102"/>
      <c r="L23" s="12"/>
    </row>
    <row r="24" spans="1:17" ht="30.75" customHeight="1" x14ac:dyDescent="0.3">
      <c r="A24" s="5"/>
      <c r="B24" s="32">
        <v>14</v>
      </c>
      <c r="C24" s="33"/>
      <c r="D24" s="18"/>
      <c r="E24" s="18"/>
      <c r="F24" s="18"/>
      <c r="G24" s="20"/>
      <c r="H24" s="21"/>
      <c r="I24" s="100"/>
      <c r="J24" s="101"/>
      <c r="K24" s="102"/>
      <c r="L24" s="12"/>
    </row>
    <row r="25" spans="1:17" ht="30.75" customHeight="1" x14ac:dyDescent="0.3">
      <c r="A25" s="5"/>
      <c r="B25" s="11">
        <v>15</v>
      </c>
      <c r="C25" s="34"/>
      <c r="D25" s="18"/>
      <c r="E25" s="18"/>
      <c r="F25" s="18"/>
      <c r="G25" s="20"/>
      <c r="H25" s="21"/>
      <c r="I25" s="100"/>
      <c r="J25" s="101"/>
      <c r="K25" s="102"/>
      <c r="L25" s="12"/>
    </row>
    <row r="26" spans="1:17" ht="30.75" customHeight="1" x14ac:dyDescent="0.3">
      <c r="A26" s="5"/>
      <c r="B26" s="11">
        <v>16</v>
      </c>
      <c r="C26" s="34"/>
      <c r="D26" s="18"/>
      <c r="E26" s="18"/>
      <c r="F26" s="18"/>
      <c r="G26" s="20"/>
      <c r="H26" s="21"/>
      <c r="I26" s="100"/>
      <c r="J26" s="101"/>
      <c r="K26" s="102"/>
      <c r="L26" s="12"/>
    </row>
    <row r="27" spans="1:17" ht="30.75" customHeight="1" x14ac:dyDescent="0.3">
      <c r="A27" s="5"/>
      <c r="B27" s="11">
        <v>17</v>
      </c>
      <c r="C27" s="34"/>
      <c r="D27" s="18"/>
      <c r="E27" s="18"/>
      <c r="F27" s="18"/>
      <c r="G27" s="20"/>
      <c r="H27" s="21"/>
      <c r="I27" s="160"/>
      <c r="J27" s="160"/>
      <c r="K27" s="160"/>
      <c r="L27" s="12"/>
    </row>
    <row r="28" spans="1:17" ht="17.25" x14ac:dyDescent="0.3">
      <c r="A28" s="5"/>
      <c r="B28" s="103" t="s">
        <v>16</v>
      </c>
      <c r="C28" s="104"/>
      <c r="D28" s="104"/>
      <c r="E28" s="121">
        <v>23</v>
      </c>
      <c r="F28" s="113">
        <f>SUM(F11:F27)</f>
        <v>0</v>
      </c>
      <c r="G28" s="113">
        <f>SUM(G11:G27)</f>
        <v>0</v>
      </c>
      <c r="H28" s="163"/>
      <c r="I28" s="37"/>
      <c r="J28" s="37"/>
      <c r="K28" s="38"/>
      <c r="L28" s="12"/>
    </row>
    <row r="29" spans="1:17" ht="17.25" x14ac:dyDescent="0.3">
      <c r="A29" s="5"/>
      <c r="B29" s="106"/>
      <c r="C29" s="107"/>
      <c r="D29" s="107"/>
      <c r="E29" s="161"/>
      <c r="F29" s="162"/>
      <c r="G29" s="113"/>
      <c r="H29" s="113"/>
      <c r="I29" s="39"/>
      <c r="J29" s="39"/>
      <c r="K29" s="40"/>
      <c r="L29" s="12"/>
    </row>
    <row r="30" spans="1:17" ht="17.25" x14ac:dyDescent="0.3">
      <c r="A30" s="5"/>
      <c r="B30" s="41"/>
      <c r="C30" s="41"/>
      <c r="D30" s="42"/>
      <c r="E30" s="42"/>
      <c r="F30" s="42"/>
      <c r="G30" s="43"/>
      <c r="H30" s="44"/>
      <c r="I30" s="44"/>
      <c r="J30" s="44"/>
      <c r="K30" s="44"/>
      <c r="L30" s="12"/>
    </row>
    <row r="31" spans="1:17" ht="17.25" customHeight="1" x14ac:dyDescent="0.3">
      <c r="A31" s="5"/>
      <c r="B31" s="93" t="s">
        <v>17</v>
      </c>
      <c r="C31" s="96" t="s">
        <v>18</v>
      </c>
      <c r="D31" s="132" t="s">
        <v>19</v>
      </c>
      <c r="E31" s="132"/>
      <c r="F31" s="132"/>
      <c r="G31" s="132"/>
      <c r="H31" s="132"/>
      <c r="I31" s="132"/>
      <c r="J31" s="132"/>
      <c r="K31" s="132"/>
      <c r="L31" s="12"/>
    </row>
    <row r="32" spans="1:17" ht="17.25" customHeight="1" x14ac:dyDescent="0.3">
      <c r="A32" s="5"/>
      <c r="B32" s="94"/>
      <c r="C32" s="96"/>
      <c r="D32" s="132"/>
      <c r="E32" s="132"/>
      <c r="F32" s="132"/>
      <c r="G32" s="132"/>
      <c r="H32" s="132"/>
      <c r="I32" s="132"/>
      <c r="J32" s="132"/>
      <c r="K32" s="132"/>
      <c r="L32" s="12"/>
    </row>
    <row r="33" spans="1:12" ht="17.25" customHeight="1" x14ac:dyDescent="0.3">
      <c r="A33" s="5"/>
      <c r="B33" s="94"/>
      <c r="C33" s="96" t="s">
        <v>20</v>
      </c>
      <c r="D33" s="132" t="s">
        <v>21</v>
      </c>
      <c r="E33" s="132"/>
      <c r="F33" s="132"/>
      <c r="G33" s="132"/>
      <c r="H33" s="132"/>
      <c r="I33" s="132"/>
      <c r="J33" s="132"/>
      <c r="K33" s="132"/>
      <c r="L33" s="12"/>
    </row>
    <row r="34" spans="1:12" ht="17.25" customHeight="1" x14ac:dyDescent="0.3">
      <c r="A34" s="5"/>
      <c r="B34" s="95"/>
      <c r="C34" s="96"/>
      <c r="D34" s="132"/>
      <c r="E34" s="132"/>
      <c r="F34" s="132"/>
      <c r="G34" s="132"/>
      <c r="H34" s="132"/>
      <c r="I34" s="132"/>
      <c r="J34" s="132"/>
      <c r="K34" s="132"/>
      <c r="L34" s="12"/>
    </row>
    <row r="35" spans="1:12" ht="17.25" x14ac:dyDescent="0.3">
      <c r="A35" s="5"/>
      <c r="B35" s="36"/>
      <c r="C35" s="36"/>
      <c r="D35" s="45"/>
      <c r="E35" s="45"/>
      <c r="F35" s="45"/>
      <c r="G35" s="45"/>
      <c r="H35" s="46"/>
      <c r="I35" s="46"/>
      <c r="J35" s="46"/>
      <c r="K35" s="46"/>
      <c r="L35" s="12"/>
    </row>
    <row r="36" spans="1:12" ht="15" customHeight="1" x14ac:dyDescent="0.3">
      <c r="A36" s="5"/>
      <c r="B36" s="98" t="s">
        <v>22</v>
      </c>
      <c r="C36" s="96" t="s">
        <v>18</v>
      </c>
      <c r="D36" s="97"/>
      <c r="E36" s="97"/>
      <c r="F36" s="97"/>
      <c r="G36" s="97"/>
      <c r="H36" s="97"/>
      <c r="I36" s="97"/>
      <c r="J36" s="97"/>
      <c r="K36" s="97"/>
      <c r="L36" s="12"/>
    </row>
    <row r="37" spans="1:12" ht="15" customHeight="1" x14ac:dyDescent="0.3">
      <c r="A37" s="5"/>
      <c r="B37" s="99"/>
      <c r="C37" s="96"/>
      <c r="D37" s="97"/>
      <c r="E37" s="97"/>
      <c r="F37" s="97"/>
      <c r="G37" s="97"/>
      <c r="H37" s="97"/>
      <c r="I37" s="97"/>
      <c r="J37" s="97"/>
      <c r="K37" s="97"/>
      <c r="L37" s="12"/>
    </row>
    <row r="38" spans="1:12" ht="15" customHeight="1" x14ac:dyDescent="0.3">
      <c r="A38" s="5"/>
      <c r="B38" s="99"/>
      <c r="C38" s="96" t="s">
        <v>20</v>
      </c>
      <c r="D38" s="97"/>
      <c r="E38" s="97"/>
      <c r="F38" s="97"/>
      <c r="G38" s="97"/>
      <c r="H38" s="97"/>
      <c r="I38" s="97"/>
      <c r="J38" s="97"/>
      <c r="K38" s="97"/>
      <c r="L38" s="12"/>
    </row>
    <row r="39" spans="1:12" ht="15" customHeight="1" x14ac:dyDescent="0.3">
      <c r="A39" s="5"/>
      <c r="B39" s="79"/>
      <c r="C39" s="96"/>
      <c r="D39" s="97"/>
      <c r="E39" s="97"/>
      <c r="F39" s="97"/>
      <c r="G39" s="97"/>
      <c r="H39" s="97"/>
      <c r="I39" s="97"/>
      <c r="J39" s="97"/>
      <c r="K39" s="97"/>
      <c r="L39" s="12"/>
    </row>
    <row r="40" spans="1:12" ht="17.25" x14ac:dyDescent="0.3">
      <c r="A40" s="5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12"/>
    </row>
    <row r="41" spans="1:12" ht="37.5" customHeight="1" x14ac:dyDescent="0.3">
      <c r="A41" s="5"/>
      <c r="B41" s="139" t="s">
        <v>23</v>
      </c>
      <c r="C41" s="139"/>
      <c r="D41" s="139"/>
      <c r="E41" s="140" t="s">
        <v>24</v>
      </c>
      <c r="F41" s="140"/>
      <c r="G41" s="139"/>
      <c r="H41" s="139"/>
      <c r="I41" s="139"/>
      <c r="J41" s="139"/>
      <c r="K41" s="139"/>
      <c r="L41" s="12"/>
    </row>
    <row r="42" spans="1:12" ht="17.25" x14ac:dyDescent="0.3">
      <c r="A42" s="5"/>
      <c r="B42" s="141"/>
      <c r="C42" s="142"/>
      <c r="D42" s="143"/>
      <c r="E42" s="48" t="s">
        <v>25</v>
      </c>
      <c r="F42" s="48"/>
      <c r="G42" s="48" t="s">
        <v>26</v>
      </c>
      <c r="H42" s="49" t="s">
        <v>27</v>
      </c>
      <c r="I42" s="150" t="s">
        <v>28</v>
      </c>
      <c r="J42" s="151"/>
      <c r="K42" s="152"/>
      <c r="L42" s="50"/>
    </row>
    <row r="43" spans="1:12" ht="17.25" x14ac:dyDescent="0.3">
      <c r="A43" s="5"/>
      <c r="B43" s="144"/>
      <c r="C43" s="145"/>
      <c r="D43" s="146"/>
      <c r="E43" s="51" t="s">
        <v>29</v>
      </c>
      <c r="F43" s="51"/>
      <c r="G43" s="52" t="s">
        <v>30</v>
      </c>
      <c r="H43" s="53" t="s">
        <v>31</v>
      </c>
      <c r="I43" s="52" t="s">
        <v>32</v>
      </c>
      <c r="J43" s="52"/>
      <c r="K43" s="52" t="s">
        <v>30</v>
      </c>
      <c r="L43" s="50"/>
    </row>
    <row r="44" spans="1:12" ht="17.25" x14ac:dyDescent="0.3">
      <c r="A44" s="5"/>
      <c r="B44" s="144"/>
      <c r="C44" s="145"/>
      <c r="D44" s="146"/>
      <c r="E44" s="51" t="s">
        <v>33</v>
      </c>
      <c r="F44" s="51"/>
      <c r="G44" s="52" t="s">
        <v>30</v>
      </c>
      <c r="H44" s="51" t="s">
        <v>34</v>
      </c>
      <c r="I44" s="153" t="s">
        <v>35</v>
      </c>
      <c r="J44" s="154"/>
      <c r="K44" s="155"/>
      <c r="L44" s="12"/>
    </row>
    <row r="45" spans="1:12" ht="17.25" x14ac:dyDescent="0.3">
      <c r="A45" s="5"/>
      <c r="B45" s="144"/>
      <c r="C45" s="145"/>
      <c r="D45" s="146"/>
      <c r="E45" s="156" t="s">
        <v>36</v>
      </c>
      <c r="F45" s="54"/>
      <c r="G45" s="158" t="s">
        <v>30</v>
      </c>
      <c r="H45" s="51" t="s">
        <v>37</v>
      </c>
      <c r="I45" s="153" t="s">
        <v>35</v>
      </c>
      <c r="J45" s="154"/>
      <c r="K45" s="155"/>
      <c r="L45" s="12"/>
    </row>
    <row r="46" spans="1:12" ht="17.25" x14ac:dyDescent="0.3">
      <c r="A46" s="5"/>
      <c r="B46" s="147"/>
      <c r="C46" s="148"/>
      <c r="D46" s="149"/>
      <c r="E46" s="157"/>
      <c r="F46" s="55"/>
      <c r="G46" s="159"/>
      <c r="H46" s="51" t="s">
        <v>38</v>
      </c>
      <c r="I46" s="153" t="s">
        <v>35</v>
      </c>
      <c r="J46" s="154"/>
      <c r="K46" s="155"/>
      <c r="L46" s="12"/>
    </row>
    <row r="47" spans="1:12" ht="17.25" x14ac:dyDescent="0.3">
      <c r="A47" s="5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12"/>
    </row>
    <row r="48" spans="1:12" ht="17.25" customHeight="1" x14ac:dyDescent="0.3">
      <c r="A48" s="5"/>
      <c r="B48" s="91" t="s">
        <v>39</v>
      </c>
      <c r="C48" s="92" t="s">
        <v>40</v>
      </c>
      <c r="D48" s="92"/>
      <c r="E48" s="91" t="s">
        <v>41</v>
      </c>
      <c r="F48" s="56"/>
      <c r="G48" s="92" t="s">
        <v>42</v>
      </c>
      <c r="H48" s="92"/>
      <c r="I48" s="92"/>
      <c r="J48" s="92"/>
      <c r="K48" s="92"/>
      <c r="L48" s="12"/>
    </row>
    <row r="49" spans="1:12" ht="20.25" x14ac:dyDescent="0.3">
      <c r="A49" s="5"/>
      <c r="B49" s="91"/>
      <c r="C49" s="92"/>
      <c r="D49" s="92"/>
      <c r="E49" s="91"/>
      <c r="F49" s="56"/>
      <c r="G49" s="92"/>
      <c r="H49" s="92"/>
      <c r="I49" s="92"/>
      <c r="J49" s="92"/>
      <c r="K49" s="92"/>
      <c r="L49" s="12"/>
    </row>
    <row r="50" spans="1:12" ht="17.25" x14ac:dyDescent="0.3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9"/>
    </row>
    <row r="51" spans="1:12" ht="13.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3.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39" customHeight="1" x14ac:dyDescent="0.65">
      <c r="A53" s="1"/>
      <c r="B53" s="2"/>
      <c r="C53" s="3"/>
      <c r="D53" s="125" t="s">
        <v>43</v>
      </c>
      <c r="E53" s="126"/>
      <c r="F53" s="126"/>
      <c r="G53" s="126"/>
      <c r="H53" s="126"/>
      <c r="I53" s="126"/>
      <c r="J53" s="126"/>
      <c r="K53" s="126"/>
      <c r="L53" s="127"/>
    </row>
    <row r="54" spans="1:12" ht="39" customHeight="1" x14ac:dyDescent="0.65">
      <c r="A54" s="5"/>
      <c r="B54" s="6"/>
      <c r="C54" s="6"/>
      <c r="D54" s="128"/>
      <c r="E54" s="128"/>
      <c r="F54" s="128"/>
      <c r="G54" s="128"/>
      <c r="H54" s="128"/>
      <c r="I54" s="128"/>
      <c r="J54" s="128"/>
      <c r="K54" s="128"/>
      <c r="L54" s="129"/>
    </row>
    <row r="55" spans="1:12" ht="47.45" customHeight="1" x14ac:dyDescent="0.65">
      <c r="A55" s="5"/>
      <c r="B55" s="6"/>
      <c r="C55" s="6"/>
      <c r="D55" s="128"/>
      <c r="E55" s="128"/>
      <c r="F55" s="128"/>
      <c r="G55" s="128"/>
      <c r="H55" s="128"/>
      <c r="I55" s="128"/>
      <c r="J55" s="128"/>
      <c r="K55" s="128"/>
      <c r="L55" s="129"/>
    </row>
    <row r="56" spans="1:12" ht="26.25" customHeight="1" x14ac:dyDescent="0.65">
      <c r="A56" s="5"/>
      <c r="B56" s="6"/>
      <c r="C56" s="6"/>
      <c r="D56" s="7"/>
      <c r="E56" s="7"/>
      <c r="F56" s="7"/>
      <c r="G56" s="8" t="s">
        <v>1</v>
      </c>
      <c r="H56" s="114">
        <f>H4</f>
        <v>0</v>
      </c>
      <c r="I56" s="115"/>
      <c r="J56" s="115"/>
      <c r="K56" s="116"/>
      <c r="L56" s="9"/>
    </row>
    <row r="57" spans="1:12" ht="26.25" customHeight="1" x14ac:dyDescent="0.3">
      <c r="A57" s="5"/>
      <c r="B57" s="130" t="s">
        <v>2</v>
      </c>
      <c r="C57" s="131">
        <f>C5</f>
        <v>0</v>
      </c>
      <c r="D57" s="10"/>
      <c r="E57" s="10"/>
      <c r="F57" s="10"/>
      <c r="G57" s="11" t="s">
        <v>3</v>
      </c>
      <c r="H57" s="114" t="str">
        <f>H5</f>
        <v>목우촌</v>
      </c>
      <c r="I57" s="115"/>
      <c r="J57" s="115"/>
      <c r="K57" s="116"/>
      <c r="L57" s="12"/>
    </row>
    <row r="58" spans="1:12" ht="26.25" customHeight="1" x14ac:dyDescent="0.3">
      <c r="A58" s="5"/>
      <c r="B58" s="99"/>
      <c r="C58" s="131"/>
      <c r="D58" s="10"/>
      <c r="E58" s="10"/>
      <c r="F58" s="10"/>
      <c r="G58" s="11" t="s">
        <v>5</v>
      </c>
      <c r="H58" s="96">
        <f>H6</f>
        <v>0</v>
      </c>
      <c r="I58" s="139"/>
      <c r="J58" s="139"/>
      <c r="K58" s="139"/>
      <c r="L58" s="12"/>
    </row>
    <row r="59" spans="1:12" ht="26.25" customHeight="1" x14ac:dyDescent="0.3">
      <c r="A59" s="5"/>
      <c r="B59" s="14" t="s">
        <v>6</v>
      </c>
      <c r="C59" s="14">
        <f>C7</f>
        <v>0</v>
      </c>
      <c r="D59" s="10"/>
      <c r="E59" s="10"/>
      <c r="F59" s="10"/>
      <c r="G59" s="11" t="s">
        <v>7</v>
      </c>
      <c r="H59" s="96"/>
      <c r="I59" s="139"/>
      <c r="J59" s="139"/>
      <c r="K59" s="139"/>
      <c r="L59" s="12"/>
    </row>
    <row r="60" spans="1:12" ht="17.25" x14ac:dyDescent="0.3">
      <c r="A60" s="5"/>
      <c r="B60" s="10"/>
      <c r="C60" s="10"/>
      <c r="D60" s="15"/>
      <c r="E60" s="15"/>
      <c r="F60" s="15"/>
      <c r="G60" s="117"/>
      <c r="H60" s="117"/>
      <c r="I60" s="117"/>
      <c r="J60" s="117"/>
      <c r="K60" s="117"/>
      <c r="L60" s="12"/>
    </row>
    <row r="61" spans="1:12" ht="15" customHeight="1" x14ac:dyDescent="0.3">
      <c r="A61" s="5"/>
      <c r="B61" s="118" t="s">
        <v>8</v>
      </c>
      <c r="C61" s="120" t="s">
        <v>9</v>
      </c>
      <c r="D61" s="109" t="s">
        <v>10</v>
      </c>
      <c r="E61" s="109" t="s">
        <v>11</v>
      </c>
      <c r="F61" s="109" t="s">
        <v>12</v>
      </c>
      <c r="G61" s="109" t="s">
        <v>13</v>
      </c>
      <c r="H61" s="121" t="s">
        <v>14</v>
      </c>
      <c r="I61" s="122" t="s">
        <v>15</v>
      </c>
      <c r="J61" s="120"/>
      <c r="K61" s="123"/>
      <c r="L61" s="12"/>
    </row>
    <row r="62" spans="1:12" ht="17.25" x14ac:dyDescent="0.3">
      <c r="A62" s="5"/>
      <c r="B62" s="119"/>
      <c r="C62" s="104"/>
      <c r="D62" s="138"/>
      <c r="E62" s="138"/>
      <c r="F62" s="138"/>
      <c r="G62" s="138"/>
      <c r="H62" s="136"/>
      <c r="I62" s="137"/>
      <c r="J62" s="104"/>
      <c r="K62" s="105"/>
      <c r="L62" s="12"/>
    </row>
    <row r="63" spans="1:12" ht="33" customHeight="1" x14ac:dyDescent="0.3">
      <c r="A63" s="5"/>
      <c r="B63" s="60">
        <v>1</v>
      </c>
      <c r="C63" s="61">
        <f t="shared" ref="C63:G64" si="0">C11</f>
        <v>0</v>
      </c>
      <c r="D63" s="18"/>
      <c r="E63" s="18">
        <f>E11</f>
        <v>0</v>
      </c>
      <c r="F63" s="62">
        <f t="shared" si="0"/>
        <v>0</v>
      </c>
      <c r="G63" s="19">
        <f t="shared" si="0"/>
        <v>0</v>
      </c>
      <c r="H63" s="63"/>
      <c r="I63" s="100"/>
      <c r="J63" s="101"/>
      <c r="K63" s="102"/>
      <c r="L63" s="12"/>
    </row>
    <row r="64" spans="1:12" ht="30.75" customHeight="1" x14ac:dyDescent="0.3">
      <c r="A64" s="5"/>
      <c r="B64" s="60">
        <v>2</v>
      </c>
      <c r="C64" s="61"/>
      <c r="D64" s="18"/>
      <c r="E64" s="18"/>
      <c r="F64" s="64"/>
      <c r="G64" s="19">
        <f t="shared" si="0"/>
        <v>0</v>
      </c>
      <c r="H64" s="63"/>
      <c r="I64" s="100"/>
      <c r="J64" s="101"/>
      <c r="K64" s="102"/>
      <c r="L64" s="12"/>
    </row>
    <row r="65" spans="1:12" ht="30.75" customHeight="1" x14ac:dyDescent="0.3">
      <c r="A65" s="5"/>
      <c r="B65" s="16">
        <v>3</v>
      </c>
      <c r="C65" s="61"/>
      <c r="D65" s="18"/>
      <c r="E65" s="18"/>
      <c r="F65" s="61"/>
      <c r="G65" s="19"/>
      <c r="H65" s="63"/>
      <c r="I65" s="100"/>
      <c r="J65" s="101"/>
      <c r="K65" s="102"/>
      <c r="L65" s="12"/>
    </row>
    <row r="66" spans="1:12" ht="30.75" customHeight="1" x14ac:dyDescent="0.3">
      <c r="A66" s="5"/>
      <c r="B66" s="60">
        <v>4</v>
      </c>
      <c r="C66" s="61"/>
      <c r="D66" s="18"/>
      <c r="E66" s="18"/>
      <c r="F66" s="61"/>
      <c r="G66" s="19"/>
      <c r="H66" s="63"/>
      <c r="I66" s="100"/>
      <c r="J66" s="101"/>
      <c r="K66" s="102"/>
      <c r="L66" s="12"/>
    </row>
    <row r="67" spans="1:12" ht="30.75" customHeight="1" x14ac:dyDescent="0.3">
      <c r="A67" s="5"/>
      <c r="B67" s="60">
        <v>5</v>
      </c>
      <c r="C67" s="61"/>
      <c r="D67" s="18"/>
      <c r="E67" s="18"/>
      <c r="F67" s="61"/>
      <c r="G67" s="19"/>
      <c r="H67" s="63"/>
      <c r="I67" s="100"/>
      <c r="J67" s="101"/>
      <c r="K67" s="102"/>
      <c r="L67" s="12"/>
    </row>
    <row r="68" spans="1:12" ht="30.75" customHeight="1" x14ac:dyDescent="0.3">
      <c r="A68" s="5"/>
      <c r="B68" s="60">
        <v>6</v>
      </c>
      <c r="C68" s="61"/>
      <c r="D68" s="18"/>
      <c r="E68" s="18"/>
      <c r="F68" s="61"/>
      <c r="G68" s="19"/>
      <c r="H68" s="63"/>
      <c r="I68" s="100"/>
      <c r="J68" s="101"/>
      <c r="K68" s="102"/>
      <c r="L68" s="12"/>
    </row>
    <row r="69" spans="1:12" ht="30.75" customHeight="1" x14ac:dyDescent="0.3">
      <c r="A69" s="5"/>
      <c r="B69" s="16">
        <v>7</v>
      </c>
      <c r="C69" s="61"/>
      <c r="D69" s="18"/>
      <c r="E69" s="18"/>
      <c r="F69" s="61"/>
      <c r="G69" s="19"/>
      <c r="H69" s="63"/>
      <c r="I69" s="100"/>
      <c r="J69" s="101"/>
      <c r="K69" s="102"/>
      <c r="L69" s="12"/>
    </row>
    <row r="70" spans="1:12" ht="30.75" customHeight="1" x14ac:dyDescent="0.3">
      <c r="A70" s="5"/>
      <c r="B70" s="16">
        <v>8</v>
      </c>
      <c r="C70" s="61"/>
      <c r="D70" s="18"/>
      <c r="E70" s="18"/>
      <c r="F70" s="61"/>
      <c r="G70" s="19"/>
      <c r="H70" s="63"/>
      <c r="I70" s="100"/>
      <c r="J70" s="101"/>
      <c r="K70" s="102"/>
      <c r="L70" s="12"/>
    </row>
    <row r="71" spans="1:12" ht="30.75" customHeight="1" x14ac:dyDescent="0.3">
      <c r="A71" s="5"/>
      <c r="B71" s="16">
        <v>9</v>
      </c>
      <c r="C71" s="61"/>
      <c r="D71" s="18"/>
      <c r="E71" s="61"/>
      <c r="F71" s="61"/>
      <c r="G71" s="19"/>
      <c r="H71" s="63"/>
      <c r="I71" s="100"/>
      <c r="J71" s="101"/>
      <c r="K71" s="102"/>
      <c r="L71" s="12"/>
    </row>
    <row r="72" spans="1:12" ht="30.75" customHeight="1" x14ac:dyDescent="0.3">
      <c r="A72" s="5"/>
      <c r="B72" s="16">
        <v>10</v>
      </c>
      <c r="C72" s="61"/>
      <c r="D72" s="18"/>
      <c r="E72" s="61"/>
      <c r="F72" s="61"/>
      <c r="G72" s="19"/>
      <c r="H72" s="63"/>
      <c r="I72" s="100"/>
      <c r="J72" s="101"/>
      <c r="K72" s="102"/>
      <c r="L72" s="12"/>
    </row>
    <row r="73" spans="1:12" ht="30.75" customHeight="1" x14ac:dyDescent="0.3">
      <c r="A73" s="5"/>
      <c r="B73" s="16">
        <v>11</v>
      </c>
      <c r="C73" s="61"/>
      <c r="D73" s="18"/>
      <c r="E73" s="61"/>
      <c r="F73" s="61"/>
      <c r="G73" s="19"/>
      <c r="H73" s="63"/>
      <c r="I73" s="100"/>
      <c r="J73" s="101"/>
      <c r="K73" s="102"/>
      <c r="L73" s="12"/>
    </row>
    <row r="74" spans="1:12" ht="30.75" customHeight="1" x14ac:dyDescent="0.3">
      <c r="A74" s="5"/>
      <c r="B74" s="16">
        <v>12</v>
      </c>
      <c r="C74" s="65"/>
      <c r="D74" s="66"/>
      <c r="E74" s="65"/>
      <c r="F74" s="65"/>
      <c r="G74" s="67"/>
      <c r="H74" s="63"/>
      <c r="I74" s="100"/>
      <c r="J74" s="101"/>
      <c r="K74" s="102"/>
      <c r="L74" s="12"/>
    </row>
    <row r="75" spans="1:12" ht="30.75" customHeight="1" x14ac:dyDescent="0.3">
      <c r="A75" s="5"/>
      <c r="B75" s="16">
        <v>13</v>
      </c>
      <c r="C75" s="65"/>
      <c r="D75" s="66"/>
      <c r="E75" s="65"/>
      <c r="F75" s="65"/>
      <c r="G75" s="67"/>
      <c r="H75" s="63"/>
      <c r="I75" s="100"/>
      <c r="J75" s="101"/>
      <c r="K75" s="102"/>
      <c r="L75" s="12"/>
    </row>
    <row r="76" spans="1:12" ht="30.75" customHeight="1" x14ac:dyDescent="0.3">
      <c r="A76" s="5"/>
      <c r="B76" s="16">
        <v>14</v>
      </c>
      <c r="C76" s="65"/>
      <c r="D76" s="66"/>
      <c r="E76" s="65"/>
      <c r="F76" s="65"/>
      <c r="G76" s="67"/>
      <c r="H76" s="63"/>
      <c r="I76" s="25"/>
      <c r="J76" s="22"/>
      <c r="K76" s="23"/>
      <c r="L76" s="12"/>
    </row>
    <row r="77" spans="1:12" ht="30.75" customHeight="1" x14ac:dyDescent="0.3">
      <c r="A77" s="5"/>
      <c r="B77" s="16">
        <v>15</v>
      </c>
      <c r="C77" s="65"/>
      <c r="D77" s="66"/>
      <c r="E77" s="65"/>
      <c r="F77" s="65"/>
      <c r="G77" s="67"/>
      <c r="H77" s="63"/>
      <c r="I77" s="25"/>
      <c r="J77" s="22"/>
      <c r="K77" s="23"/>
      <c r="L77" s="12"/>
    </row>
    <row r="78" spans="1:12" ht="30.75" customHeight="1" x14ac:dyDescent="0.3">
      <c r="A78" s="5"/>
      <c r="B78" s="16">
        <v>16</v>
      </c>
      <c r="C78" s="65"/>
      <c r="D78" s="66"/>
      <c r="E78" s="65"/>
      <c r="F78" s="65"/>
      <c r="G78" s="67"/>
      <c r="H78" s="63"/>
      <c r="I78" s="25"/>
      <c r="J78" s="22"/>
      <c r="K78" s="23"/>
      <c r="L78" s="12"/>
    </row>
    <row r="79" spans="1:12" ht="30.75" customHeight="1" x14ac:dyDescent="0.3">
      <c r="A79" s="5"/>
      <c r="B79" s="16">
        <v>17</v>
      </c>
      <c r="C79" s="65"/>
      <c r="D79" s="66"/>
      <c r="E79" s="65"/>
      <c r="F79" s="65"/>
      <c r="G79" s="67"/>
      <c r="H79" s="63"/>
      <c r="I79" s="100"/>
      <c r="J79" s="101"/>
      <c r="K79" s="102"/>
      <c r="L79" s="12"/>
    </row>
    <row r="80" spans="1:12" ht="17.25" x14ac:dyDescent="0.3">
      <c r="A80" s="5"/>
      <c r="B80" s="103" t="s">
        <v>16</v>
      </c>
      <c r="C80" s="104"/>
      <c r="D80" s="105"/>
      <c r="E80" s="133">
        <f>SUM(E63:E79)</f>
        <v>0</v>
      </c>
      <c r="F80" s="134">
        <f>SUM(F63:F79)</f>
        <v>0</v>
      </c>
      <c r="G80" s="111">
        <f>SUM(G63:G79)</f>
        <v>0</v>
      </c>
      <c r="H80" s="113"/>
      <c r="I80" s="68"/>
      <c r="J80" s="68"/>
      <c r="K80" s="69"/>
      <c r="L80" s="12"/>
    </row>
    <row r="81" spans="1:12" ht="17.25" x14ac:dyDescent="0.3">
      <c r="A81" s="5"/>
      <c r="B81" s="106"/>
      <c r="C81" s="107"/>
      <c r="D81" s="108"/>
      <c r="E81" s="110"/>
      <c r="F81" s="135"/>
      <c r="G81" s="112"/>
      <c r="H81" s="113"/>
      <c r="I81" s="39"/>
      <c r="J81" s="39"/>
      <c r="K81" s="40"/>
      <c r="L81" s="12"/>
    </row>
    <row r="82" spans="1:12" ht="17.25" x14ac:dyDescent="0.3">
      <c r="A82" s="5"/>
      <c r="B82" s="41"/>
      <c r="C82" s="41"/>
      <c r="D82" s="42"/>
      <c r="E82" s="42"/>
      <c r="F82" s="42"/>
      <c r="G82" s="43"/>
      <c r="H82" s="44"/>
      <c r="I82" s="44"/>
      <c r="J82" s="44"/>
      <c r="K82" s="44"/>
      <c r="L82" s="12"/>
    </row>
    <row r="83" spans="1:12" ht="17.25" customHeight="1" x14ac:dyDescent="0.3">
      <c r="A83" s="5"/>
      <c r="B83" s="93" t="s">
        <v>17</v>
      </c>
      <c r="C83" s="96" t="s">
        <v>18</v>
      </c>
      <c r="D83" s="132" t="str">
        <f>D31</f>
        <v>경기도 오산시 오산동 736 켄달스퀘어 7층 B블럭 B-7</v>
      </c>
      <c r="E83" s="132"/>
      <c r="F83" s="132"/>
      <c r="G83" s="132"/>
      <c r="H83" s="132"/>
      <c r="I83" s="132"/>
      <c r="J83" s="132"/>
      <c r="K83" s="132"/>
      <c r="L83" s="12"/>
    </row>
    <row r="84" spans="1:12" ht="17.25" customHeight="1" x14ac:dyDescent="0.3">
      <c r="A84" s="5"/>
      <c r="B84" s="94"/>
      <c r="C84" s="96"/>
      <c r="D84" s="132"/>
      <c r="E84" s="132"/>
      <c r="F84" s="132"/>
      <c r="G84" s="132"/>
      <c r="H84" s="132"/>
      <c r="I84" s="132"/>
      <c r="J84" s="132"/>
      <c r="K84" s="132"/>
      <c r="L84" s="12"/>
    </row>
    <row r="85" spans="1:12" ht="17.25" customHeight="1" x14ac:dyDescent="0.3">
      <c r="A85" s="5"/>
      <c r="B85" s="94"/>
      <c r="C85" s="96" t="s">
        <v>20</v>
      </c>
      <c r="D85" s="132" t="str">
        <f>D33</f>
        <v>박영규</v>
      </c>
      <c r="E85" s="132"/>
      <c r="F85" s="132"/>
      <c r="G85" s="132"/>
      <c r="H85" s="132"/>
      <c r="I85" s="132"/>
      <c r="J85" s="132"/>
      <c r="K85" s="132"/>
      <c r="L85" s="12"/>
    </row>
    <row r="86" spans="1:12" ht="17.25" customHeight="1" x14ac:dyDescent="0.3">
      <c r="A86" s="5"/>
      <c r="B86" s="95"/>
      <c r="C86" s="96"/>
      <c r="D86" s="132"/>
      <c r="E86" s="132"/>
      <c r="F86" s="132"/>
      <c r="G86" s="132"/>
      <c r="H86" s="132"/>
      <c r="I86" s="132"/>
      <c r="J86" s="132"/>
      <c r="K86" s="132"/>
      <c r="L86" s="12"/>
    </row>
    <row r="87" spans="1:12" ht="17.25" x14ac:dyDescent="0.3">
      <c r="A87" s="5"/>
      <c r="B87" s="36"/>
      <c r="C87" s="36"/>
      <c r="D87" s="45"/>
      <c r="E87" s="45"/>
      <c r="F87" s="45"/>
      <c r="G87" s="45"/>
      <c r="H87" s="46"/>
      <c r="I87" s="46"/>
      <c r="J87" s="46"/>
      <c r="K87" s="46"/>
      <c r="L87" s="12"/>
    </row>
    <row r="88" spans="1:12" ht="15" customHeight="1" x14ac:dyDescent="0.3">
      <c r="A88" s="5"/>
      <c r="B88" s="98" t="s">
        <v>22</v>
      </c>
      <c r="C88" s="96" t="s">
        <v>18</v>
      </c>
      <c r="D88" s="97">
        <f>D36</f>
        <v>0</v>
      </c>
      <c r="E88" s="97"/>
      <c r="F88" s="97"/>
      <c r="G88" s="97"/>
      <c r="H88" s="97"/>
      <c r="I88" s="97"/>
      <c r="J88" s="97"/>
      <c r="K88" s="97"/>
      <c r="L88" s="12"/>
    </row>
    <row r="89" spans="1:12" ht="15" customHeight="1" x14ac:dyDescent="0.3">
      <c r="A89" s="5"/>
      <c r="B89" s="99"/>
      <c r="C89" s="96"/>
      <c r="D89" s="97"/>
      <c r="E89" s="97"/>
      <c r="F89" s="97"/>
      <c r="G89" s="97"/>
      <c r="H89" s="97"/>
      <c r="I89" s="97"/>
      <c r="J89" s="97"/>
      <c r="K89" s="97"/>
      <c r="L89" s="12"/>
    </row>
    <row r="90" spans="1:12" ht="15" customHeight="1" x14ac:dyDescent="0.3">
      <c r="A90" s="5"/>
      <c r="B90" s="99"/>
      <c r="C90" s="96" t="s">
        <v>20</v>
      </c>
      <c r="D90" s="97">
        <f>D38</f>
        <v>0</v>
      </c>
      <c r="E90" s="97"/>
      <c r="F90" s="97"/>
      <c r="G90" s="97"/>
      <c r="H90" s="97"/>
      <c r="I90" s="97"/>
      <c r="J90" s="97"/>
      <c r="K90" s="97"/>
      <c r="L90" s="12"/>
    </row>
    <row r="91" spans="1:12" ht="15" customHeight="1" x14ac:dyDescent="0.3">
      <c r="A91" s="5"/>
      <c r="B91" s="79"/>
      <c r="C91" s="96"/>
      <c r="D91" s="97"/>
      <c r="E91" s="97"/>
      <c r="F91" s="97"/>
      <c r="G91" s="97"/>
      <c r="H91" s="97"/>
      <c r="I91" s="97"/>
      <c r="J91" s="97"/>
      <c r="K91" s="97"/>
      <c r="L91" s="12"/>
    </row>
    <row r="92" spans="1:12" ht="17.25" x14ac:dyDescent="0.3">
      <c r="A92" s="5"/>
      <c r="B92" s="41"/>
      <c r="C92" s="41"/>
      <c r="D92" s="42"/>
      <c r="E92" s="42"/>
      <c r="F92" s="42"/>
      <c r="G92" s="42"/>
      <c r="H92" s="44"/>
      <c r="I92" s="44"/>
      <c r="J92" s="44"/>
      <c r="K92" s="44"/>
      <c r="L92" s="12"/>
    </row>
    <row r="93" spans="1:12" ht="17.25" x14ac:dyDescent="0.3">
      <c r="A93" s="5"/>
      <c r="B93" s="76" t="s">
        <v>44</v>
      </c>
      <c r="C93" s="77"/>
      <c r="D93" s="77"/>
      <c r="E93" s="77"/>
      <c r="F93" s="77"/>
      <c r="G93" s="77"/>
      <c r="H93" s="77"/>
      <c r="I93" s="77"/>
      <c r="J93" s="77"/>
      <c r="K93" s="78"/>
      <c r="L93" s="12"/>
    </row>
    <row r="94" spans="1:12" ht="17.25" x14ac:dyDescent="0.3">
      <c r="A94" s="5"/>
      <c r="B94" s="79"/>
      <c r="C94" s="80"/>
      <c r="D94" s="80"/>
      <c r="E94" s="80"/>
      <c r="F94" s="80"/>
      <c r="G94" s="80"/>
      <c r="H94" s="80"/>
      <c r="I94" s="80"/>
      <c r="J94" s="80"/>
      <c r="K94" s="81"/>
      <c r="L94" s="12"/>
    </row>
    <row r="95" spans="1:12" ht="17.25" x14ac:dyDescent="0.3">
      <c r="A95" s="5"/>
      <c r="B95" s="82">
        <f>B42</f>
        <v>0</v>
      </c>
      <c r="C95" s="83"/>
      <c r="D95" s="83"/>
      <c r="E95" s="83"/>
      <c r="F95" s="83"/>
      <c r="G95" s="83"/>
      <c r="H95" s="83"/>
      <c r="I95" s="83"/>
      <c r="J95" s="83"/>
      <c r="K95" s="84"/>
      <c r="L95" s="12"/>
    </row>
    <row r="96" spans="1:12" ht="17.25" x14ac:dyDescent="0.3">
      <c r="A96" s="5"/>
      <c r="B96" s="85"/>
      <c r="C96" s="86"/>
      <c r="D96" s="86"/>
      <c r="E96" s="86"/>
      <c r="F96" s="86"/>
      <c r="G96" s="86"/>
      <c r="H96" s="86"/>
      <c r="I96" s="86"/>
      <c r="J96" s="86"/>
      <c r="K96" s="87"/>
      <c r="L96" s="12"/>
    </row>
    <row r="97" spans="1:12" ht="17.25" x14ac:dyDescent="0.3">
      <c r="A97" s="5"/>
      <c r="B97" s="85"/>
      <c r="C97" s="86"/>
      <c r="D97" s="86"/>
      <c r="E97" s="86"/>
      <c r="F97" s="86"/>
      <c r="G97" s="86"/>
      <c r="H97" s="86"/>
      <c r="I97" s="86"/>
      <c r="J97" s="86"/>
      <c r="K97" s="87"/>
      <c r="L97" s="12"/>
    </row>
    <row r="98" spans="1:12" ht="17.25" x14ac:dyDescent="0.3">
      <c r="A98" s="5"/>
      <c r="B98" s="85"/>
      <c r="C98" s="86"/>
      <c r="D98" s="86"/>
      <c r="E98" s="86"/>
      <c r="F98" s="86"/>
      <c r="G98" s="86"/>
      <c r="H98" s="86"/>
      <c r="I98" s="86"/>
      <c r="J98" s="86"/>
      <c r="K98" s="87"/>
      <c r="L98" s="12"/>
    </row>
    <row r="99" spans="1:12" ht="17.25" x14ac:dyDescent="0.3">
      <c r="A99" s="5"/>
      <c r="B99" s="85"/>
      <c r="C99" s="86"/>
      <c r="D99" s="86"/>
      <c r="E99" s="86"/>
      <c r="F99" s="86"/>
      <c r="G99" s="86"/>
      <c r="H99" s="86"/>
      <c r="I99" s="86"/>
      <c r="J99" s="86"/>
      <c r="K99" s="87"/>
      <c r="L99" s="12"/>
    </row>
    <row r="100" spans="1:12" ht="17.25" x14ac:dyDescent="0.3">
      <c r="A100" s="5"/>
      <c r="B100" s="88"/>
      <c r="C100" s="89"/>
      <c r="D100" s="89"/>
      <c r="E100" s="89"/>
      <c r="F100" s="89"/>
      <c r="G100" s="89"/>
      <c r="H100" s="89"/>
      <c r="I100" s="89"/>
      <c r="J100" s="89"/>
      <c r="K100" s="90"/>
      <c r="L100" s="12"/>
    </row>
    <row r="101" spans="1:12" ht="17.25" x14ac:dyDescent="0.3">
      <c r="A101" s="5"/>
      <c r="B101" s="41"/>
      <c r="C101" s="41"/>
      <c r="D101" s="42"/>
      <c r="E101" s="42"/>
      <c r="F101" s="42"/>
      <c r="G101" s="42"/>
      <c r="H101" s="44"/>
      <c r="I101" s="44"/>
      <c r="J101" s="44"/>
      <c r="K101" s="44"/>
      <c r="L101" s="12"/>
    </row>
    <row r="102" spans="1:12" ht="17.25" customHeight="1" x14ac:dyDescent="0.3">
      <c r="A102" s="5"/>
      <c r="B102" s="91" t="s">
        <v>41</v>
      </c>
      <c r="C102" s="92" t="s">
        <v>40</v>
      </c>
      <c r="D102" s="92"/>
      <c r="E102" s="91" t="s">
        <v>45</v>
      </c>
      <c r="F102" s="56"/>
      <c r="G102" s="92" t="s">
        <v>42</v>
      </c>
      <c r="H102" s="92"/>
      <c r="I102" s="92"/>
      <c r="J102" s="92"/>
      <c r="K102" s="92"/>
      <c r="L102" s="12"/>
    </row>
    <row r="103" spans="1:12" ht="20.25" x14ac:dyDescent="0.3">
      <c r="A103" s="5"/>
      <c r="B103" s="91"/>
      <c r="C103" s="92"/>
      <c r="D103" s="92"/>
      <c r="E103" s="91"/>
      <c r="F103" s="56"/>
      <c r="G103" s="92"/>
      <c r="H103" s="92"/>
      <c r="I103" s="92"/>
      <c r="J103" s="92"/>
      <c r="K103" s="92"/>
      <c r="L103" s="12"/>
    </row>
    <row r="104" spans="1:12" ht="17.25" x14ac:dyDescent="0.3">
      <c r="A104" s="57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9"/>
    </row>
    <row r="105" spans="1:12" ht="39" customHeight="1" x14ac:dyDescent="0.65">
      <c r="A105" s="1"/>
      <c r="B105" s="2"/>
      <c r="C105" s="3"/>
      <c r="D105" s="125" t="s">
        <v>46</v>
      </c>
      <c r="E105" s="126"/>
      <c r="F105" s="126"/>
      <c r="G105" s="126"/>
      <c r="H105" s="126"/>
      <c r="I105" s="126"/>
      <c r="J105" s="126"/>
      <c r="K105" s="126"/>
      <c r="L105" s="127"/>
    </row>
    <row r="106" spans="1:12" ht="39" customHeight="1" x14ac:dyDescent="0.65">
      <c r="A106" s="5"/>
      <c r="B106" s="6"/>
      <c r="C106" s="6"/>
      <c r="D106" s="128"/>
      <c r="E106" s="128"/>
      <c r="F106" s="128"/>
      <c r="G106" s="128"/>
      <c r="H106" s="128"/>
      <c r="I106" s="128"/>
      <c r="J106" s="128"/>
      <c r="K106" s="128"/>
      <c r="L106" s="129"/>
    </row>
    <row r="107" spans="1:12" ht="47.45" customHeight="1" x14ac:dyDescent="0.65">
      <c r="A107" s="5"/>
      <c r="B107" s="6"/>
      <c r="C107" s="6"/>
      <c r="D107" s="128"/>
      <c r="E107" s="128"/>
      <c r="F107" s="128"/>
      <c r="G107" s="128"/>
      <c r="H107" s="128"/>
      <c r="I107" s="128"/>
      <c r="J107" s="128"/>
      <c r="K107" s="128"/>
      <c r="L107" s="129"/>
    </row>
    <row r="108" spans="1:12" ht="26.25" customHeight="1" x14ac:dyDescent="0.65">
      <c r="A108" s="5"/>
      <c r="B108" s="6"/>
      <c r="C108" s="6"/>
      <c r="D108" s="7"/>
      <c r="E108" s="7"/>
      <c r="F108" s="7"/>
      <c r="G108" s="8" t="s">
        <v>1</v>
      </c>
      <c r="H108" s="114">
        <f>H4</f>
        <v>0</v>
      </c>
      <c r="I108" s="115"/>
      <c r="J108" s="115"/>
      <c r="K108" s="116"/>
      <c r="L108" s="9"/>
    </row>
    <row r="109" spans="1:12" ht="26.25" customHeight="1" x14ac:dyDescent="0.3">
      <c r="A109" s="5"/>
      <c r="B109" s="130" t="s">
        <v>2</v>
      </c>
      <c r="C109" s="131">
        <f>C5</f>
        <v>0</v>
      </c>
      <c r="D109" s="10"/>
      <c r="E109" s="10"/>
      <c r="F109" s="10"/>
      <c r="G109" s="11" t="s">
        <v>3</v>
      </c>
      <c r="H109" s="114" t="str">
        <f t="shared" ref="H109:H111" si="1">H5</f>
        <v>목우촌</v>
      </c>
      <c r="I109" s="115"/>
      <c r="J109" s="115"/>
      <c r="K109" s="116"/>
      <c r="L109" s="12"/>
    </row>
    <row r="110" spans="1:12" ht="26.25" customHeight="1" x14ac:dyDescent="0.3">
      <c r="A110" s="5"/>
      <c r="B110" s="99"/>
      <c r="C110" s="131"/>
      <c r="D110" s="10"/>
      <c r="E110" s="10"/>
      <c r="F110" s="10"/>
      <c r="G110" s="11" t="s">
        <v>5</v>
      </c>
      <c r="H110" s="114">
        <f t="shared" si="1"/>
        <v>0</v>
      </c>
      <c r="I110" s="115"/>
      <c r="J110" s="115"/>
      <c r="K110" s="116"/>
      <c r="L110" s="12"/>
    </row>
    <row r="111" spans="1:12" ht="26.25" customHeight="1" x14ac:dyDescent="0.3">
      <c r="A111" s="5"/>
      <c r="B111" s="14" t="s">
        <v>6</v>
      </c>
      <c r="C111" s="14">
        <f>C7</f>
        <v>0</v>
      </c>
      <c r="D111" s="10"/>
      <c r="E111" s="10"/>
      <c r="F111" s="10"/>
      <c r="G111" s="11" t="s">
        <v>7</v>
      </c>
      <c r="H111" s="114">
        <f t="shared" si="1"/>
        <v>0</v>
      </c>
      <c r="I111" s="115"/>
      <c r="J111" s="115"/>
      <c r="K111" s="116"/>
      <c r="L111" s="12"/>
    </row>
    <row r="112" spans="1:12" ht="17.25" x14ac:dyDescent="0.3">
      <c r="A112" s="5"/>
      <c r="B112" s="10"/>
      <c r="C112" s="10"/>
      <c r="D112" s="15"/>
      <c r="E112" s="15"/>
      <c r="F112" s="15"/>
      <c r="G112" s="117"/>
      <c r="H112" s="117"/>
      <c r="I112" s="117"/>
      <c r="J112" s="117"/>
      <c r="K112" s="117"/>
      <c r="L112" s="12"/>
    </row>
    <row r="113" spans="1:12" ht="15" customHeight="1" x14ac:dyDescent="0.3">
      <c r="A113" s="5"/>
      <c r="B113" s="118" t="s">
        <v>8</v>
      </c>
      <c r="C113" s="120" t="s">
        <v>9</v>
      </c>
      <c r="D113" s="109" t="s">
        <v>10</v>
      </c>
      <c r="E113" s="109" t="s">
        <v>11</v>
      </c>
      <c r="F113" s="32"/>
      <c r="G113" s="109" t="s">
        <v>13</v>
      </c>
      <c r="H113" s="121" t="s">
        <v>14</v>
      </c>
      <c r="I113" s="122" t="s">
        <v>15</v>
      </c>
      <c r="J113" s="120"/>
      <c r="K113" s="123"/>
      <c r="L113" s="12"/>
    </row>
    <row r="114" spans="1:12" ht="17.25" x14ac:dyDescent="0.3">
      <c r="A114" s="5"/>
      <c r="B114" s="119"/>
      <c r="C114" s="107"/>
      <c r="D114" s="110"/>
      <c r="E114" s="110"/>
      <c r="F114" s="70"/>
      <c r="G114" s="110"/>
      <c r="H114" s="121"/>
      <c r="I114" s="124"/>
      <c r="J114" s="107"/>
      <c r="K114" s="108"/>
      <c r="L114" s="12"/>
    </row>
    <row r="115" spans="1:12" ht="30.75" customHeight="1" x14ac:dyDescent="0.3">
      <c r="A115" s="5"/>
      <c r="B115" s="16">
        <v>1</v>
      </c>
      <c r="C115" s="71">
        <f>C11</f>
        <v>0</v>
      </c>
      <c r="D115" s="72">
        <f>D11</f>
        <v>0</v>
      </c>
      <c r="E115" s="73">
        <f>E11</f>
        <v>0</v>
      </c>
      <c r="F115" s="74"/>
      <c r="G115" s="75">
        <f>G11</f>
        <v>0</v>
      </c>
      <c r="H115" s="21">
        <f>H11</f>
        <v>0</v>
      </c>
      <c r="I115" s="100"/>
      <c r="J115" s="101"/>
      <c r="K115" s="102"/>
      <c r="L115" s="12"/>
    </row>
    <row r="116" spans="1:12" ht="30.75" customHeight="1" x14ac:dyDescent="0.3">
      <c r="A116" s="5"/>
      <c r="B116" s="16">
        <v>2</v>
      </c>
      <c r="C116" s="71">
        <f t="shared" ref="C116:H128" si="2">C12</f>
        <v>0</v>
      </c>
      <c r="D116" s="72">
        <f>D12</f>
        <v>0</v>
      </c>
      <c r="E116" s="73">
        <f t="shared" si="2"/>
        <v>0</v>
      </c>
      <c r="F116" s="74"/>
      <c r="G116" s="75">
        <f t="shared" si="2"/>
        <v>0</v>
      </c>
      <c r="H116" s="21">
        <f t="shared" si="2"/>
        <v>0</v>
      </c>
      <c r="I116" s="100"/>
      <c r="J116" s="101"/>
      <c r="K116" s="102"/>
      <c r="L116" s="12"/>
    </row>
    <row r="117" spans="1:12" ht="30.75" customHeight="1" x14ac:dyDescent="0.3">
      <c r="A117" s="5"/>
      <c r="B117" s="16">
        <v>3</v>
      </c>
      <c r="C117" s="71">
        <f t="shared" si="2"/>
        <v>0</v>
      </c>
      <c r="D117" s="72">
        <f>D13</f>
        <v>0</v>
      </c>
      <c r="E117" s="73">
        <f t="shared" si="2"/>
        <v>0</v>
      </c>
      <c r="F117" s="74"/>
      <c r="G117" s="75">
        <f t="shared" si="2"/>
        <v>0</v>
      </c>
      <c r="H117" s="21">
        <f t="shared" si="2"/>
        <v>0</v>
      </c>
      <c r="I117" s="100"/>
      <c r="J117" s="101"/>
      <c r="K117" s="102"/>
      <c r="L117" s="12"/>
    </row>
    <row r="118" spans="1:12" ht="30.75" customHeight="1" x14ac:dyDescent="0.3">
      <c r="A118" s="5"/>
      <c r="B118" s="16">
        <v>4</v>
      </c>
      <c r="C118" s="71">
        <f t="shared" si="2"/>
        <v>0</v>
      </c>
      <c r="D118" s="72">
        <f t="shared" si="2"/>
        <v>0</v>
      </c>
      <c r="E118" s="73">
        <f t="shared" si="2"/>
        <v>0</v>
      </c>
      <c r="F118" s="74"/>
      <c r="G118" s="75">
        <f t="shared" si="2"/>
        <v>0</v>
      </c>
      <c r="H118" s="21">
        <f t="shared" si="2"/>
        <v>0</v>
      </c>
      <c r="I118" s="100"/>
      <c r="J118" s="101"/>
      <c r="K118" s="102"/>
      <c r="L118" s="12"/>
    </row>
    <row r="119" spans="1:12" ht="30.75" customHeight="1" x14ac:dyDescent="0.3">
      <c r="A119" s="5"/>
      <c r="B119" s="16">
        <v>5</v>
      </c>
      <c r="C119" s="71">
        <f t="shared" si="2"/>
        <v>0</v>
      </c>
      <c r="D119" s="72">
        <f t="shared" si="2"/>
        <v>0</v>
      </c>
      <c r="E119" s="73">
        <f t="shared" si="2"/>
        <v>0</v>
      </c>
      <c r="F119" s="74"/>
      <c r="G119" s="75">
        <f t="shared" si="2"/>
        <v>0</v>
      </c>
      <c r="H119" s="21">
        <f t="shared" si="2"/>
        <v>0</v>
      </c>
      <c r="I119" s="100"/>
      <c r="J119" s="101"/>
      <c r="K119" s="102"/>
      <c r="L119" s="12"/>
    </row>
    <row r="120" spans="1:12" ht="30.75" customHeight="1" x14ac:dyDescent="0.3">
      <c r="A120" s="5"/>
      <c r="B120" s="16">
        <v>6</v>
      </c>
      <c r="C120" s="71">
        <f t="shared" si="2"/>
        <v>0</v>
      </c>
      <c r="D120" s="72">
        <f t="shared" si="2"/>
        <v>0</v>
      </c>
      <c r="E120" s="73">
        <f t="shared" si="2"/>
        <v>0</v>
      </c>
      <c r="F120" s="74"/>
      <c r="G120" s="75">
        <f t="shared" si="2"/>
        <v>0</v>
      </c>
      <c r="H120" s="21">
        <f t="shared" si="2"/>
        <v>0</v>
      </c>
      <c r="I120" s="100"/>
      <c r="J120" s="101"/>
      <c r="K120" s="102"/>
      <c r="L120" s="12"/>
    </row>
    <row r="121" spans="1:12" ht="30.75" customHeight="1" x14ac:dyDescent="0.3">
      <c r="A121" s="5"/>
      <c r="B121" s="16">
        <v>7</v>
      </c>
      <c r="C121" s="71">
        <f t="shared" si="2"/>
        <v>0</v>
      </c>
      <c r="D121" s="72">
        <f t="shared" si="2"/>
        <v>0</v>
      </c>
      <c r="E121" s="73">
        <f t="shared" si="2"/>
        <v>0</v>
      </c>
      <c r="F121" s="74"/>
      <c r="G121" s="75">
        <f t="shared" si="2"/>
        <v>0</v>
      </c>
      <c r="H121" s="21">
        <f t="shared" si="2"/>
        <v>0</v>
      </c>
      <c r="I121" s="100"/>
      <c r="J121" s="101"/>
      <c r="K121" s="102"/>
      <c r="L121" s="12"/>
    </row>
    <row r="122" spans="1:12" ht="30.75" customHeight="1" x14ac:dyDescent="0.3">
      <c r="A122" s="5"/>
      <c r="B122" s="16">
        <v>8</v>
      </c>
      <c r="C122" s="71">
        <f t="shared" si="2"/>
        <v>0</v>
      </c>
      <c r="D122" s="72">
        <f t="shared" si="2"/>
        <v>0</v>
      </c>
      <c r="E122" s="73">
        <f t="shared" si="2"/>
        <v>0</v>
      </c>
      <c r="F122" s="74"/>
      <c r="G122" s="75">
        <f t="shared" si="2"/>
        <v>0</v>
      </c>
      <c r="H122" s="21">
        <f t="shared" si="2"/>
        <v>0</v>
      </c>
      <c r="I122" s="100"/>
      <c r="J122" s="101"/>
      <c r="K122" s="102"/>
      <c r="L122" s="12"/>
    </row>
    <row r="123" spans="1:12" ht="30.75" customHeight="1" x14ac:dyDescent="0.3">
      <c r="A123" s="5"/>
      <c r="B123" s="16">
        <v>9</v>
      </c>
      <c r="C123" s="71">
        <f t="shared" si="2"/>
        <v>0</v>
      </c>
      <c r="D123" s="72">
        <f t="shared" si="2"/>
        <v>0</v>
      </c>
      <c r="E123" s="73">
        <f t="shared" si="2"/>
        <v>0</v>
      </c>
      <c r="F123" s="74"/>
      <c r="G123" s="75">
        <f t="shared" si="2"/>
        <v>0</v>
      </c>
      <c r="H123" s="21">
        <f t="shared" si="2"/>
        <v>0</v>
      </c>
      <c r="I123" s="100"/>
      <c r="J123" s="101"/>
      <c r="K123" s="102"/>
      <c r="L123" s="12"/>
    </row>
    <row r="124" spans="1:12" ht="30.75" customHeight="1" x14ac:dyDescent="0.3">
      <c r="A124" s="5"/>
      <c r="B124" s="16">
        <v>10</v>
      </c>
      <c r="C124" s="71">
        <f t="shared" si="2"/>
        <v>0</v>
      </c>
      <c r="D124" s="72">
        <f t="shared" si="2"/>
        <v>0</v>
      </c>
      <c r="E124" s="73">
        <f t="shared" si="2"/>
        <v>0</v>
      </c>
      <c r="F124" s="74"/>
      <c r="G124" s="75">
        <f t="shared" si="2"/>
        <v>0</v>
      </c>
      <c r="H124" s="21">
        <f t="shared" si="2"/>
        <v>0</v>
      </c>
      <c r="I124" s="100"/>
      <c r="J124" s="101"/>
      <c r="K124" s="102"/>
      <c r="L124" s="12"/>
    </row>
    <row r="125" spans="1:12" ht="30.75" customHeight="1" x14ac:dyDescent="0.3">
      <c r="A125" s="5"/>
      <c r="B125" s="16">
        <v>11</v>
      </c>
      <c r="C125" s="71">
        <f t="shared" si="2"/>
        <v>0</v>
      </c>
      <c r="D125" s="72">
        <f t="shared" si="2"/>
        <v>0</v>
      </c>
      <c r="E125" s="73">
        <f t="shared" si="2"/>
        <v>0</v>
      </c>
      <c r="F125" s="74"/>
      <c r="G125" s="75">
        <f t="shared" si="2"/>
        <v>0</v>
      </c>
      <c r="H125" s="21">
        <f t="shared" si="2"/>
        <v>0</v>
      </c>
      <c r="I125" s="100"/>
      <c r="J125" s="101"/>
      <c r="K125" s="102"/>
      <c r="L125" s="12"/>
    </row>
    <row r="126" spans="1:12" ht="30.75" customHeight="1" x14ac:dyDescent="0.3">
      <c r="A126" s="5"/>
      <c r="B126" s="16">
        <v>12</v>
      </c>
      <c r="C126" s="71">
        <f t="shared" si="2"/>
        <v>0</v>
      </c>
      <c r="D126" s="72">
        <f t="shared" si="2"/>
        <v>0</v>
      </c>
      <c r="E126" s="73">
        <f t="shared" si="2"/>
        <v>0</v>
      </c>
      <c r="F126" s="74"/>
      <c r="G126" s="75">
        <f t="shared" si="2"/>
        <v>0</v>
      </c>
      <c r="H126" s="21">
        <f t="shared" si="2"/>
        <v>0</v>
      </c>
      <c r="I126" s="100"/>
      <c r="J126" s="101"/>
      <c r="K126" s="102"/>
      <c r="L126" s="12"/>
    </row>
    <row r="127" spans="1:12" ht="30.75" customHeight="1" x14ac:dyDescent="0.3">
      <c r="A127" s="5"/>
      <c r="B127" s="16">
        <v>13</v>
      </c>
      <c r="C127" s="71">
        <f t="shared" si="2"/>
        <v>0</v>
      </c>
      <c r="D127" s="72">
        <f t="shared" si="2"/>
        <v>0</v>
      </c>
      <c r="E127" s="73">
        <f t="shared" si="2"/>
        <v>0</v>
      </c>
      <c r="F127" s="74"/>
      <c r="G127" s="75">
        <f t="shared" si="2"/>
        <v>0</v>
      </c>
      <c r="H127" s="21">
        <f t="shared" si="2"/>
        <v>0</v>
      </c>
      <c r="I127" s="100"/>
      <c r="J127" s="101"/>
      <c r="K127" s="102"/>
      <c r="L127" s="12"/>
    </row>
    <row r="128" spans="1:12" ht="30.75" customHeight="1" x14ac:dyDescent="0.3">
      <c r="A128" s="5"/>
      <c r="B128" s="60">
        <v>14</v>
      </c>
      <c r="C128" s="71">
        <f t="shared" si="2"/>
        <v>0</v>
      </c>
      <c r="D128" s="72">
        <f t="shared" si="2"/>
        <v>0</v>
      </c>
      <c r="E128" s="73">
        <f t="shared" si="2"/>
        <v>0</v>
      </c>
      <c r="F128" s="74"/>
      <c r="G128" s="75">
        <f t="shared" si="2"/>
        <v>0</v>
      </c>
      <c r="H128" s="21">
        <f t="shared" si="2"/>
        <v>0</v>
      </c>
      <c r="I128" s="100"/>
      <c r="J128" s="101"/>
      <c r="K128" s="102"/>
      <c r="L128" s="12"/>
    </row>
    <row r="129" spans="1:12" ht="17.25" x14ac:dyDescent="0.3">
      <c r="A129" s="5"/>
      <c r="B129" s="103" t="s">
        <v>16</v>
      </c>
      <c r="C129" s="104"/>
      <c r="D129" s="105"/>
      <c r="E129" s="109">
        <f>SUM(E115:E128)</f>
        <v>0</v>
      </c>
      <c r="F129" s="35"/>
      <c r="G129" s="111">
        <f>SUM(G115:G128)</f>
        <v>0</v>
      </c>
      <c r="H129" s="113"/>
      <c r="I129" s="68"/>
      <c r="J129" s="68"/>
      <c r="K129" s="69"/>
      <c r="L129" s="12"/>
    </row>
    <row r="130" spans="1:12" ht="17.25" x14ac:dyDescent="0.3">
      <c r="A130" s="5"/>
      <c r="B130" s="106"/>
      <c r="C130" s="107"/>
      <c r="D130" s="108"/>
      <c r="E130" s="110"/>
      <c r="F130" s="70"/>
      <c r="G130" s="112"/>
      <c r="H130" s="113"/>
      <c r="I130" s="39"/>
      <c r="J130" s="39"/>
      <c r="K130" s="40"/>
      <c r="L130" s="12"/>
    </row>
    <row r="131" spans="1:12" ht="17.25" x14ac:dyDescent="0.3">
      <c r="A131" s="5"/>
      <c r="B131" s="41"/>
      <c r="C131" s="41"/>
      <c r="D131" s="42"/>
      <c r="E131" s="42"/>
      <c r="F131" s="42"/>
      <c r="G131" s="43"/>
      <c r="H131" s="44"/>
      <c r="I131" s="44"/>
      <c r="J131" s="44"/>
      <c r="K131" s="44"/>
      <c r="L131" s="12"/>
    </row>
    <row r="132" spans="1:12" ht="17.25" customHeight="1" x14ac:dyDescent="0.3">
      <c r="A132" s="5"/>
      <c r="B132" s="93" t="s">
        <v>17</v>
      </c>
      <c r="C132" s="96" t="s">
        <v>18</v>
      </c>
      <c r="D132" s="97">
        <f>D80</f>
        <v>0</v>
      </c>
      <c r="E132" s="97"/>
      <c r="F132" s="97"/>
      <c r="G132" s="97"/>
      <c r="H132" s="97"/>
      <c r="I132" s="97"/>
      <c r="J132" s="97"/>
      <c r="K132" s="97"/>
      <c r="L132" s="12"/>
    </row>
    <row r="133" spans="1:12" ht="17.25" customHeight="1" x14ac:dyDescent="0.3">
      <c r="A133" s="5"/>
      <c r="B133" s="94"/>
      <c r="C133" s="96"/>
      <c r="D133" s="97"/>
      <c r="E133" s="97"/>
      <c r="F133" s="97"/>
      <c r="G133" s="97"/>
      <c r="H133" s="97"/>
      <c r="I133" s="97"/>
      <c r="J133" s="97"/>
      <c r="K133" s="97"/>
      <c r="L133" s="12"/>
    </row>
    <row r="134" spans="1:12" ht="17.25" customHeight="1" x14ac:dyDescent="0.3">
      <c r="A134" s="5"/>
      <c r="B134" s="94"/>
      <c r="C134" s="96" t="s">
        <v>20</v>
      </c>
      <c r="D134" s="97">
        <f>D82</f>
        <v>0</v>
      </c>
      <c r="E134" s="97"/>
      <c r="F134" s="97"/>
      <c r="G134" s="97"/>
      <c r="H134" s="97"/>
      <c r="I134" s="97"/>
      <c r="J134" s="97"/>
      <c r="K134" s="97"/>
      <c r="L134" s="12"/>
    </row>
    <row r="135" spans="1:12" ht="17.25" customHeight="1" x14ac:dyDescent="0.3">
      <c r="A135" s="5"/>
      <c r="B135" s="95"/>
      <c r="C135" s="96"/>
      <c r="D135" s="97"/>
      <c r="E135" s="97"/>
      <c r="F135" s="97"/>
      <c r="G135" s="97"/>
      <c r="H135" s="97"/>
      <c r="I135" s="97"/>
      <c r="J135" s="97"/>
      <c r="K135" s="97"/>
      <c r="L135" s="12"/>
    </row>
    <row r="136" spans="1:12" ht="17.25" x14ac:dyDescent="0.3">
      <c r="A136" s="5"/>
      <c r="B136" s="36"/>
      <c r="C136" s="36"/>
      <c r="D136" s="45"/>
      <c r="E136" s="45"/>
      <c r="F136" s="45"/>
      <c r="G136" s="45"/>
      <c r="H136" s="46"/>
      <c r="I136" s="46"/>
      <c r="J136" s="46"/>
      <c r="K136" s="46"/>
      <c r="L136" s="12"/>
    </row>
    <row r="137" spans="1:12" ht="15" customHeight="1" x14ac:dyDescent="0.3">
      <c r="A137" s="5"/>
      <c r="B137" s="98" t="s">
        <v>22</v>
      </c>
      <c r="C137" s="96" t="s">
        <v>18</v>
      </c>
      <c r="D137" s="97" t="str">
        <f>D85</f>
        <v>박영규</v>
      </c>
      <c r="E137" s="97"/>
      <c r="F137" s="97"/>
      <c r="G137" s="97"/>
      <c r="H137" s="97"/>
      <c r="I137" s="97"/>
      <c r="J137" s="97"/>
      <c r="K137" s="97"/>
      <c r="L137" s="12"/>
    </row>
    <row r="138" spans="1:12" ht="15" customHeight="1" x14ac:dyDescent="0.3">
      <c r="A138" s="5"/>
      <c r="B138" s="99"/>
      <c r="C138" s="96"/>
      <c r="D138" s="97"/>
      <c r="E138" s="97"/>
      <c r="F138" s="97"/>
      <c r="G138" s="97"/>
      <c r="H138" s="97"/>
      <c r="I138" s="97"/>
      <c r="J138" s="97"/>
      <c r="K138" s="97"/>
      <c r="L138" s="12"/>
    </row>
    <row r="139" spans="1:12" ht="15" customHeight="1" x14ac:dyDescent="0.3">
      <c r="A139" s="5"/>
      <c r="B139" s="99"/>
      <c r="C139" s="96" t="s">
        <v>20</v>
      </c>
      <c r="D139" s="97">
        <f>D87</f>
        <v>0</v>
      </c>
      <c r="E139" s="97"/>
      <c r="F139" s="97"/>
      <c r="G139" s="97"/>
      <c r="H139" s="97"/>
      <c r="I139" s="97"/>
      <c r="J139" s="97"/>
      <c r="K139" s="97"/>
      <c r="L139" s="12"/>
    </row>
    <row r="140" spans="1:12" ht="15" customHeight="1" x14ac:dyDescent="0.3">
      <c r="A140" s="5"/>
      <c r="B140" s="79"/>
      <c r="C140" s="96"/>
      <c r="D140" s="97"/>
      <c r="E140" s="97"/>
      <c r="F140" s="97"/>
      <c r="G140" s="97"/>
      <c r="H140" s="97"/>
      <c r="I140" s="97"/>
      <c r="J140" s="97"/>
      <c r="K140" s="97"/>
      <c r="L140" s="12"/>
    </row>
    <row r="141" spans="1:12" ht="17.25" x14ac:dyDescent="0.3">
      <c r="A141" s="5"/>
      <c r="B141" s="41"/>
      <c r="C141" s="41"/>
      <c r="D141" s="42"/>
      <c r="E141" s="42"/>
      <c r="F141" s="42"/>
      <c r="G141" s="42"/>
      <c r="H141" s="44"/>
      <c r="I141" s="44"/>
      <c r="J141" s="44"/>
      <c r="K141" s="44"/>
      <c r="L141" s="12"/>
    </row>
    <row r="142" spans="1:12" ht="17.25" x14ac:dyDescent="0.3">
      <c r="A142" s="5"/>
      <c r="B142" s="76" t="s">
        <v>44</v>
      </c>
      <c r="C142" s="77"/>
      <c r="D142" s="77"/>
      <c r="E142" s="77"/>
      <c r="F142" s="77"/>
      <c r="G142" s="77"/>
      <c r="H142" s="77"/>
      <c r="I142" s="77"/>
      <c r="J142" s="77"/>
      <c r="K142" s="78"/>
      <c r="L142" s="12"/>
    </row>
    <row r="143" spans="1:12" ht="17.25" x14ac:dyDescent="0.3">
      <c r="A143" s="5"/>
      <c r="B143" s="79"/>
      <c r="C143" s="80"/>
      <c r="D143" s="80"/>
      <c r="E143" s="80"/>
      <c r="F143" s="80"/>
      <c r="G143" s="80"/>
      <c r="H143" s="80"/>
      <c r="I143" s="80"/>
      <c r="J143" s="80"/>
      <c r="K143" s="81"/>
      <c r="L143" s="12"/>
    </row>
    <row r="144" spans="1:12" ht="17.25" x14ac:dyDescent="0.3">
      <c r="A144" s="5"/>
      <c r="B144" s="82">
        <f>B95</f>
        <v>0</v>
      </c>
      <c r="C144" s="83"/>
      <c r="D144" s="83"/>
      <c r="E144" s="83"/>
      <c r="F144" s="83"/>
      <c r="G144" s="83"/>
      <c r="H144" s="83"/>
      <c r="I144" s="83"/>
      <c r="J144" s="83"/>
      <c r="K144" s="84"/>
      <c r="L144" s="12"/>
    </row>
    <row r="145" spans="1:12" ht="17.25" x14ac:dyDescent="0.3">
      <c r="A145" s="5"/>
      <c r="B145" s="85"/>
      <c r="C145" s="86"/>
      <c r="D145" s="86"/>
      <c r="E145" s="86"/>
      <c r="F145" s="86"/>
      <c r="G145" s="86"/>
      <c r="H145" s="86"/>
      <c r="I145" s="86"/>
      <c r="J145" s="86"/>
      <c r="K145" s="87"/>
      <c r="L145" s="12"/>
    </row>
    <row r="146" spans="1:12" ht="17.25" x14ac:dyDescent="0.3">
      <c r="A146" s="5"/>
      <c r="B146" s="85"/>
      <c r="C146" s="86"/>
      <c r="D146" s="86"/>
      <c r="E146" s="86"/>
      <c r="F146" s="86"/>
      <c r="G146" s="86"/>
      <c r="H146" s="86"/>
      <c r="I146" s="86"/>
      <c r="J146" s="86"/>
      <c r="K146" s="87"/>
      <c r="L146" s="12"/>
    </row>
    <row r="147" spans="1:12" ht="17.25" x14ac:dyDescent="0.3">
      <c r="A147" s="5"/>
      <c r="B147" s="85"/>
      <c r="C147" s="86"/>
      <c r="D147" s="86"/>
      <c r="E147" s="86"/>
      <c r="F147" s="86"/>
      <c r="G147" s="86"/>
      <c r="H147" s="86"/>
      <c r="I147" s="86"/>
      <c r="J147" s="86"/>
      <c r="K147" s="87"/>
      <c r="L147" s="12"/>
    </row>
    <row r="148" spans="1:12" ht="17.25" x14ac:dyDescent="0.3">
      <c r="A148" s="5"/>
      <c r="B148" s="85"/>
      <c r="C148" s="86"/>
      <c r="D148" s="86"/>
      <c r="E148" s="86"/>
      <c r="F148" s="86"/>
      <c r="G148" s="86"/>
      <c r="H148" s="86"/>
      <c r="I148" s="86"/>
      <c r="J148" s="86"/>
      <c r="K148" s="87"/>
      <c r="L148" s="12"/>
    </row>
    <row r="149" spans="1:12" ht="17.25" x14ac:dyDescent="0.3">
      <c r="A149" s="5"/>
      <c r="B149" s="88"/>
      <c r="C149" s="89"/>
      <c r="D149" s="89"/>
      <c r="E149" s="89"/>
      <c r="F149" s="89"/>
      <c r="G149" s="89"/>
      <c r="H149" s="89"/>
      <c r="I149" s="89"/>
      <c r="J149" s="89"/>
      <c r="K149" s="90"/>
      <c r="L149" s="12"/>
    </row>
    <row r="150" spans="1:12" ht="17.25" x14ac:dyDescent="0.3">
      <c r="A150" s="5"/>
      <c r="B150" s="41"/>
      <c r="C150" s="41"/>
      <c r="D150" s="42"/>
      <c r="E150" s="42"/>
      <c r="F150" s="42"/>
      <c r="G150" s="42"/>
      <c r="H150" s="44"/>
      <c r="I150" s="44"/>
      <c r="J150" s="44"/>
      <c r="K150" s="44"/>
      <c r="L150" s="12"/>
    </row>
    <row r="151" spans="1:12" ht="17.25" customHeight="1" x14ac:dyDescent="0.3">
      <c r="A151" s="5"/>
      <c r="B151" s="91" t="s">
        <v>41</v>
      </c>
      <c r="C151" s="92" t="s">
        <v>40</v>
      </c>
      <c r="D151" s="92"/>
      <c r="E151" s="91" t="s">
        <v>45</v>
      </c>
      <c r="F151" s="56"/>
      <c r="G151" s="92" t="s">
        <v>42</v>
      </c>
      <c r="H151" s="92"/>
      <c r="I151" s="92"/>
      <c r="J151" s="92"/>
      <c r="K151" s="92"/>
      <c r="L151" s="12"/>
    </row>
    <row r="152" spans="1:12" ht="20.25" x14ac:dyDescent="0.3">
      <c r="A152" s="5"/>
      <c r="B152" s="91"/>
      <c r="C152" s="92"/>
      <c r="D152" s="92"/>
      <c r="E152" s="91"/>
      <c r="F152" s="56"/>
      <c r="G152" s="92"/>
      <c r="H152" s="92"/>
      <c r="I152" s="92"/>
      <c r="J152" s="92"/>
      <c r="K152" s="92"/>
      <c r="L152" s="12"/>
    </row>
    <row r="153" spans="1:12" ht="17.25" x14ac:dyDescent="0.3">
      <c r="A153" s="57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9"/>
    </row>
    <row r="154" spans="1:12" ht="13.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3.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3.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3.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3.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3.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3.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3.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3.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3.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3.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3.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3.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3.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3.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3.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3.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3.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3.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3.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3.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3.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3.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3.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3.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3.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3.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3.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3.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3.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3.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3.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3.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3.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3.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3.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3.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3.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3.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3.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3.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3.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3.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3.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3.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3.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3.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3.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3.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3.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3.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3.5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3.5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3.5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3.5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3.5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3.5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3.5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3.5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3.5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3.5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3.5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3.5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3.5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3.5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3.5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3.5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3.5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3.5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3.5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3.5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3.5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3.5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3.5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3.5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3.5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3.5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3.5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3.5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3.5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3.5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3.5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3.5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3.5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3.5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3.5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3.5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3.5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3.5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3.5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3.5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3.5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3.5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3.5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3.5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3.5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3.5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3.5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3.5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3.5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3.5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3.5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3.5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3.5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3.5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3.5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3.5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3.5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3.5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3.5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3.5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3.5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3.5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3.5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3.5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3.5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3.5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3.5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3.5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3.5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3.5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3.5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3.5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3.5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3.5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3.5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3.5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3.5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3.5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3.5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3.5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3.5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3.5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3.5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3.5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3.5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3.5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3.5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3.5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3.5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3.5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3.5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3.5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3.5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3.5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3.5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3.5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3.5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3.5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3.5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3.5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3.5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3.5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3.5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3.5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3.5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3.5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3.5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3.5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3.5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3.5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3.5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3.5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3.5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3.5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3.5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3.5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3.5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3.5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3.5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3.5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3.5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3.5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3.5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3.5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3.5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3.5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3.5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3.5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3.5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3.5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3.5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3.5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3.5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3.5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3.5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3.5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3.5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3.5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3.5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3.5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3.5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3.5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3.5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3.5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3.5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3.5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3.5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3.5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3.5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3.5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3.5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3.5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3.5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3.5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3.5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3.5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3.5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3.5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3.5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3.5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3.5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3.5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3.5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3.5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3.5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3.5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3.5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3.5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3.5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3.5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3.5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3.5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3.5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3.5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3.5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3.5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3.5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3.5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3.5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3.5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3.5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3.5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3.5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3.5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3.5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3.5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3.5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3.5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3.5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3.5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3.5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3.5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3.5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3.5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3.5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3.5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3.5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3.5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3.5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3.5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3.5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3.5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3.5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3.5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3.5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3.5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3.5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3.5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3.5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3.5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3.5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3.5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3.5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3.5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3.5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3.5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3.5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3.5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3.5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3.5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3.5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3.5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3.5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3.5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3.5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3.5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3.5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3.5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3.5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3.5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3.5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3.5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3.5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3.5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3.5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3.5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3.5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3.5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3.5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3.5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3.5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3.5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3.5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3.5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3.5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3.5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3.5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3.5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3.5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3.5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3.5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3.5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3.5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3.5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3.5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3.5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3.5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3.5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3.5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3.5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3.5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3.5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3.5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3.5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3.5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3.5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3.5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3.5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3.5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3.5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3.5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3.5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3.5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3.5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3.5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3.5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3.5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3.5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3.5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3.5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3.5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3.5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3.5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3.5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3.5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3.5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3.5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3.5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3.5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3.5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3.5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3.5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3.5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3.5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3.5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3.5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3.5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3.5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3.5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3.5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3.5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3.5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3.5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3.5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3.5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3.5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3.5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3.5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3.5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3.5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3.5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3.5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3.5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3.5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3.5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3.5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3.5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3.5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3.5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3.5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3.5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3.5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3.5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3.5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3.5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3.5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3.5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3.5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3.5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3.5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3.5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3.5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3.5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3.5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3.5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3.5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3.5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3.5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3.5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3.5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3.5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3.5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3.5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3.5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3.5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3.5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3.5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3.5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3.5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3.5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3.5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3.5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3.5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3.5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3.5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3.5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3.5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3.5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3.5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3.5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3.5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3.5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3.5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3.5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3.5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3.5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3.5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3.5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3.5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3.5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3.5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3.5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3.5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3.5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3.5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3.5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3.5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3.5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3.5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3.5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3.5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3.5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3.5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3.5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3.5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3.5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3.5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3.5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3.5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3.5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3.5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3.5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3.5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3.5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3.5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3.5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3.5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3.5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3.5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3.5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3.5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3.5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3.5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3.5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3.5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3.5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3.5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3.5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3.5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3.5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3.5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3.5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3.5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3.5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3.5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3.5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3.5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3.5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3.5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3.5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3.5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3.5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3.5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3.5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3.5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3.5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3.5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3.5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3.5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3.5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3.5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3.5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3.5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3.5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3.5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3.5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3.5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3.5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3.5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3.5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3.5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3.5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3.5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3.5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3.5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3.5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3.5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3.5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3.5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3.5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3.5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3.5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3.5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3.5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3.5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3.5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3.5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3.5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3.5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3.5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3.5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3.5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3.5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3.5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3.5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3.5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3.5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3.5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3.5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3.5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3.5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3.5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3.5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3.5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3.5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3.5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3.5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3.5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3.5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3.5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3.5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3.5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3.5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3.5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3.5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3.5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3.5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3.5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3.5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3.5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3.5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3.5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3.5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3.5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3.5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3.5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3.5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3.5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3.5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3.5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3.5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3.5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3.5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3.5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3.5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3.5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3.5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3.5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3.5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3.5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3.5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3.5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3.5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3.5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3.5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3.5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3.5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3.5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3.5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3.5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3.5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3.5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3.5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3.5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3.5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3.5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3.5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3.5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3.5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3.5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3.5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3.5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3.5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3.5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3.5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3.5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3.5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3.5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3.5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3.5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3.5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3.5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3.5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3.5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3.5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3.5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3.5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3.5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3.5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3.5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3.5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3.5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3.5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3.5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3.5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3.5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3.5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3.5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3.5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3.5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3.5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3.5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3.5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3.5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3.5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3.5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3.5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3.5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3.5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3.5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3.5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3.5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3.5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3.5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3.5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3.5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3.5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3.5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3.5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3.5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3.5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3.5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3.5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3.5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3.5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3.5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3.5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3.5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3.5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3.5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3.5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3.5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3.5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3.5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3.5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3.5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3.5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3.5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3.5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3.5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3.5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3.5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3.5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3.5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3.5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3.5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3.5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3.5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3.5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3.5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3.5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3.5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3.5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3.5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3.5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3.5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3.5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3.5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3.5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3.5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3.5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3.5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3.5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3.5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3.5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3.5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3.5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3.5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3.5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3.5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3.5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3.5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3.5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3.5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3.5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3.5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3.5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3.5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3.5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3.5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3.5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3.5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3.5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3.5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3.5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3.5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3.5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3.5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3.5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3.5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3.5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3.5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3.5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3.5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3.5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3.5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3.5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3.5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3.5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3.5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3.5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3.5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3.5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3.5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3.5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3.5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3.5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3.5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3.5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3.5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3.5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3.5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3.5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3.5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3.5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3.5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3.5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</sheetData>
  <mergeCells count="150">
    <mergeCell ref="D1:L3"/>
    <mergeCell ref="H4:K4"/>
    <mergeCell ref="B5:B6"/>
    <mergeCell ref="C5:C6"/>
    <mergeCell ref="H5:K5"/>
    <mergeCell ref="H6:K6"/>
    <mergeCell ref="H7:K7"/>
    <mergeCell ref="G8:K8"/>
    <mergeCell ref="B9:B10"/>
    <mergeCell ref="C9:C10"/>
    <mergeCell ref="D9:D10"/>
    <mergeCell ref="E9:E10"/>
    <mergeCell ref="F9:F10"/>
    <mergeCell ref="G9:G10"/>
    <mergeCell ref="H9:H10"/>
    <mergeCell ref="I9:K10"/>
    <mergeCell ref="I23:K23"/>
    <mergeCell ref="I24:K24"/>
    <mergeCell ref="I25:K25"/>
    <mergeCell ref="I26:K26"/>
    <mergeCell ref="I27:K27"/>
    <mergeCell ref="B28:D29"/>
    <mergeCell ref="E28:E29"/>
    <mergeCell ref="F28:F29"/>
    <mergeCell ref="G28:G29"/>
    <mergeCell ref="H28:H29"/>
    <mergeCell ref="B31:B34"/>
    <mergeCell ref="C31:C32"/>
    <mergeCell ref="D31:K32"/>
    <mergeCell ref="C33:C34"/>
    <mergeCell ref="D33:K34"/>
    <mergeCell ref="B36:B39"/>
    <mergeCell ref="C36:C37"/>
    <mergeCell ref="D36:K37"/>
    <mergeCell ref="C38:C39"/>
    <mergeCell ref="D38:K39"/>
    <mergeCell ref="B48:B49"/>
    <mergeCell ref="C48:D49"/>
    <mergeCell ref="E48:E49"/>
    <mergeCell ref="G48:K49"/>
    <mergeCell ref="D53:L55"/>
    <mergeCell ref="H56:K56"/>
    <mergeCell ref="B41:D41"/>
    <mergeCell ref="E41:G41"/>
    <mergeCell ref="H41:K41"/>
    <mergeCell ref="B42:D46"/>
    <mergeCell ref="I42:K42"/>
    <mergeCell ref="I44:K44"/>
    <mergeCell ref="E45:E46"/>
    <mergeCell ref="G45:G46"/>
    <mergeCell ref="I45:K45"/>
    <mergeCell ref="I46:K46"/>
    <mergeCell ref="B61:B62"/>
    <mergeCell ref="C61:C62"/>
    <mergeCell ref="D61:D62"/>
    <mergeCell ref="E61:E62"/>
    <mergeCell ref="F61:F62"/>
    <mergeCell ref="G61:G62"/>
    <mergeCell ref="B57:B58"/>
    <mergeCell ref="C57:C58"/>
    <mergeCell ref="H57:K57"/>
    <mergeCell ref="H58:K58"/>
    <mergeCell ref="H59:K59"/>
    <mergeCell ref="G60:K60"/>
    <mergeCell ref="I67:K67"/>
    <mergeCell ref="I68:K68"/>
    <mergeCell ref="I69:K69"/>
    <mergeCell ref="I70:K70"/>
    <mergeCell ref="I71:K71"/>
    <mergeCell ref="I72:K72"/>
    <mergeCell ref="H61:H62"/>
    <mergeCell ref="I61:K62"/>
    <mergeCell ref="I63:K63"/>
    <mergeCell ref="I64:K64"/>
    <mergeCell ref="I65:K65"/>
    <mergeCell ref="I66:K66"/>
    <mergeCell ref="I73:K73"/>
    <mergeCell ref="I74:K74"/>
    <mergeCell ref="I75:K75"/>
    <mergeCell ref="I79:K79"/>
    <mergeCell ref="B80:D81"/>
    <mergeCell ref="E80:E81"/>
    <mergeCell ref="F80:F81"/>
    <mergeCell ref="G80:G81"/>
    <mergeCell ref="H80:H81"/>
    <mergeCell ref="B83:B86"/>
    <mergeCell ref="C83:C84"/>
    <mergeCell ref="D83:K84"/>
    <mergeCell ref="C85:C86"/>
    <mergeCell ref="D85:K86"/>
    <mergeCell ref="B88:B91"/>
    <mergeCell ref="C88:C89"/>
    <mergeCell ref="D88:K89"/>
    <mergeCell ref="C90:C91"/>
    <mergeCell ref="D90:K91"/>
    <mergeCell ref="D105:L107"/>
    <mergeCell ref="H108:K108"/>
    <mergeCell ref="B109:B110"/>
    <mergeCell ref="C109:C110"/>
    <mergeCell ref="H109:K109"/>
    <mergeCell ref="H110:K110"/>
    <mergeCell ref="B93:K94"/>
    <mergeCell ref="B95:K100"/>
    <mergeCell ref="B102:B103"/>
    <mergeCell ref="C102:D103"/>
    <mergeCell ref="E102:E103"/>
    <mergeCell ref="G102:K103"/>
    <mergeCell ref="I115:K115"/>
    <mergeCell ref="I116:K116"/>
    <mergeCell ref="I117:K117"/>
    <mergeCell ref="I118:K118"/>
    <mergeCell ref="I119:K119"/>
    <mergeCell ref="I120:K120"/>
    <mergeCell ref="H111:K111"/>
    <mergeCell ref="G112:K112"/>
    <mergeCell ref="B113:B114"/>
    <mergeCell ref="C113:C114"/>
    <mergeCell ref="D113:D114"/>
    <mergeCell ref="E113:E114"/>
    <mergeCell ref="G113:G114"/>
    <mergeCell ref="H113:H114"/>
    <mergeCell ref="I113:K114"/>
    <mergeCell ref="I127:K127"/>
    <mergeCell ref="I128:K128"/>
    <mergeCell ref="B129:D130"/>
    <mergeCell ref="E129:E130"/>
    <mergeCell ref="G129:G130"/>
    <mergeCell ref="H129:H130"/>
    <mergeCell ref="I121:K121"/>
    <mergeCell ref="I122:K122"/>
    <mergeCell ref="I123:K123"/>
    <mergeCell ref="I124:K124"/>
    <mergeCell ref="I125:K125"/>
    <mergeCell ref="I126:K126"/>
    <mergeCell ref="B142:K143"/>
    <mergeCell ref="B144:K149"/>
    <mergeCell ref="B151:B152"/>
    <mergeCell ref="C151:D152"/>
    <mergeCell ref="E151:E152"/>
    <mergeCell ref="G151:K152"/>
    <mergeCell ref="B132:B135"/>
    <mergeCell ref="C132:C133"/>
    <mergeCell ref="D132:K133"/>
    <mergeCell ref="C134:C135"/>
    <mergeCell ref="D134:K135"/>
    <mergeCell ref="B137:B140"/>
    <mergeCell ref="C137:C138"/>
    <mergeCell ref="D137:K138"/>
    <mergeCell ref="C139:C140"/>
    <mergeCell ref="D139:K140"/>
  </mergeCells>
  <phoneticPr fontId="3" type="noConversion"/>
  <printOptions horizontalCentered="1"/>
  <pageMargins left="0.7" right="0.7" top="0.75" bottom="0.75" header="0.3" footer="0.3"/>
  <pageSetup paperSize="9" scale="49" fitToHeight="0" pageOrder="overThenDown" orientation="portrait" cellComments="atEnd" verticalDpi="300" r:id="rId1"/>
  <rowBreaks count="2" manualBreakCount="2">
    <brk id="52" max="16383" man="1"/>
    <brk id="10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목우촌 차량출고</vt:lpstr>
      <vt:lpstr>'목우촌 차량출고'!Print_Area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안효빈</dc:creator>
  <cp:lastModifiedBy>효빈 안</cp:lastModifiedBy>
  <dcterms:created xsi:type="dcterms:W3CDTF">2026-09-21T00:21:16Z</dcterms:created>
  <dcterms:modified xsi:type="dcterms:W3CDTF">2026-09-21T15:23:04Z</dcterms:modified>
</cp:coreProperties>
</file>